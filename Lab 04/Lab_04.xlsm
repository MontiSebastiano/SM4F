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1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2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Sebastiano\Desktop\PHYSICS OF DATA\Primo Anno\Secondo Semestre\Stochastic methods for finance\Lab sessions\04\"/>
    </mc:Choice>
  </mc:AlternateContent>
  <xr:revisionPtr revIDLastSave="0" documentId="13_ncr:1_{4DFC7C36-8055-4E90-9FFB-E4421EEBF06F}" xr6:coauthVersionLast="47" xr6:coauthVersionMax="47" xr10:uidLastSave="{00000000-0000-0000-0000-000000000000}"/>
  <bookViews>
    <workbookView xWindow="-108" yWindow="-108" windowWidth="23256" windowHeight="12576" xr2:uid="{B05CAE14-9607-44C4-99E4-B7AA483839F4}"/>
  </bookViews>
  <sheets>
    <sheet name="Greeks" sheetId="1" r:id="rId1"/>
    <sheet name="T=1m" sheetId="2" r:id="rId2"/>
    <sheet name="T=3m" sheetId="3" r:id="rId3"/>
    <sheet name="T=6m" sheetId="4" r:id="rId4"/>
    <sheet name="T=9m" sheetId="6" r:id="rId5"/>
    <sheet name="T=1y" sheetId="5" r:id="rId6"/>
    <sheet name="T=2y" sheetId="7" r:id="rId7"/>
    <sheet name="Smile" sheetId="8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4" i="2" l="1"/>
  <c r="AG3" i="7"/>
  <c r="AG3" i="5"/>
  <c r="AG3" i="6"/>
  <c r="AG3" i="4"/>
  <c r="AG3" i="3"/>
  <c r="AG3" i="2"/>
  <c r="R4" i="7"/>
  <c r="R5" i="7"/>
  <c r="R6" i="7" s="1"/>
  <c r="R7" i="7" s="1"/>
  <c r="R8" i="7" s="1"/>
  <c r="R9" i="7" s="1"/>
  <c r="R10" i="7" s="1"/>
  <c r="R11" i="7" s="1"/>
  <c r="R12" i="7" s="1"/>
  <c r="R13" i="7" s="1"/>
  <c r="R14" i="7" s="1"/>
  <c r="R15" i="7" s="1"/>
  <c r="R16" i="7" s="1"/>
  <c r="R17" i="7" s="1"/>
  <c r="R18" i="7" s="1"/>
  <c r="R19" i="7" s="1"/>
  <c r="R20" i="7" s="1"/>
  <c r="R21" i="7" s="1"/>
  <c r="R22" i="7" s="1"/>
  <c r="R23" i="7" s="1"/>
  <c r="R24" i="7" s="1"/>
  <c r="R25" i="7" s="1"/>
  <c r="R26" i="7" s="1"/>
  <c r="R27" i="7" s="1"/>
  <c r="R28" i="7" s="1"/>
  <c r="R29" i="7" s="1"/>
  <c r="R30" i="7" s="1"/>
  <c r="R31" i="7" s="1"/>
  <c r="R32" i="7" s="1"/>
  <c r="R33" i="7" s="1"/>
  <c r="R34" i="7" s="1"/>
  <c r="R35" i="7" s="1"/>
  <c r="R36" i="7" s="1"/>
  <c r="R37" i="7" s="1"/>
  <c r="R38" i="7" s="1"/>
  <c r="R39" i="7" s="1"/>
  <c r="R40" i="7" s="1"/>
  <c r="R41" i="7" s="1"/>
  <c r="R42" i="7" s="1"/>
  <c r="R43" i="7" s="1"/>
  <c r="R44" i="7" s="1"/>
  <c r="R45" i="7" s="1"/>
  <c r="R46" i="7" s="1"/>
  <c r="R47" i="7" s="1"/>
  <c r="R48" i="7" s="1"/>
  <c r="R49" i="7" s="1"/>
  <c r="R50" i="7" s="1"/>
  <c r="R51" i="7" s="1"/>
  <c r="R52" i="7" s="1"/>
  <c r="R53" i="7" s="1"/>
  <c r="R3" i="7"/>
  <c r="R4" i="5"/>
  <c r="R5" i="5"/>
  <c r="R6" i="5" s="1"/>
  <c r="R7" i="5" s="1"/>
  <c r="R8" i="5" s="1"/>
  <c r="R9" i="5" s="1"/>
  <c r="R10" i="5" s="1"/>
  <c r="R11" i="5" s="1"/>
  <c r="R12" i="5" s="1"/>
  <c r="R13" i="5" s="1"/>
  <c r="R14" i="5" s="1"/>
  <c r="R15" i="5" s="1"/>
  <c r="R16" i="5" s="1"/>
  <c r="R17" i="5" s="1"/>
  <c r="R18" i="5" s="1"/>
  <c r="R19" i="5" s="1"/>
  <c r="R20" i="5" s="1"/>
  <c r="R21" i="5" s="1"/>
  <c r="R22" i="5" s="1"/>
  <c r="R23" i="5" s="1"/>
  <c r="R24" i="5" s="1"/>
  <c r="R25" i="5" s="1"/>
  <c r="R26" i="5" s="1"/>
  <c r="R27" i="5" s="1"/>
  <c r="R28" i="5" s="1"/>
  <c r="R29" i="5" s="1"/>
  <c r="R30" i="5" s="1"/>
  <c r="R31" i="5" s="1"/>
  <c r="R32" i="5" s="1"/>
  <c r="R33" i="5" s="1"/>
  <c r="R34" i="5" s="1"/>
  <c r="R35" i="5" s="1"/>
  <c r="R36" i="5" s="1"/>
  <c r="R37" i="5" s="1"/>
  <c r="R38" i="5" s="1"/>
  <c r="R39" i="5" s="1"/>
  <c r="R40" i="5" s="1"/>
  <c r="R41" i="5" s="1"/>
  <c r="R42" i="5" s="1"/>
  <c r="R3" i="5"/>
  <c r="R4" i="6"/>
  <c r="R5" i="6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3" i="6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" i="4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3" i="3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4" i="2"/>
  <c r="R3" i="2"/>
  <c r="AB2" i="8"/>
  <c r="AA2" i="8"/>
  <c r="Z2" i="8"/>
  <c r="Y2" i="8"/>
  <c r="X2" i="8"/>
  <c r="W2" i="8"/>
  <c r="R2" i="8"/>
  <c r="Q2" i="8"/>
  <c r="P2" i="8"/>
  <c r="O2" i="8"/>
  <c r="N2" i="8"/>
  <c r="M2" i="8"/>
  <c r="H2" i="8"/>
  <c r="G2" i="8"/>
  <c r="F2" i="8"/>
  <c r="E2" i="8"/>
  <c r="D2" i="8"/>
  <c r="C2" i="8"/>
  <c r="R2" i="7"/>
  <c r="Q2" i="7"/>
  <c r="Z4" i="7"/>
  <c r="Z5" i="7"/>
  <c r="Z6" i="7"/>
  <c r="Z7" i="7"/>
  <c r="Z8" i="7"/>
  <c r="Z9" i="7"/>
  <c r="Z10" i="7"/>
  <c r="Z11" i="7"/>
  <c r="Z12" i="7"/>
  <c r="Z13" i="7"/>
  <c r="Z14" i="7"/>
  <c r="Z15" i="7"/>
  <c r="Z16" i="7"/>
  <c r="Z17" i="7"/>
  <c r="Z18" i="7"/>
  <c r="Z19" i="7"/>
  <c r="Z20" i="7"/>
  <c r="Z21" i="7"/>
  <c r="Z22" i="7"/>
  <c r="Z23" i="7"/>
  <c r="Z24" i="7"/>
  <c r="Z25" i="7"/>
  <c r="Z26" i="7"/>
  <c r="Z27" i="7"/>
  <c r="Z28" i="7"/>
  <c r="Z29" i="7"/>
  <c r="Z30" i="7"/>
  <c r="Z31" i="7"/>
  <c r="Z32" i="7"/>
  <c r="Z33" i="7"/>
  <c r="Z34" i="7"/>
  <c r="Z35" i="7"/>
  <c r="Z36" i="7"/>
  <c r="Z37" i="7"/>
  <c r="Z38" i="7"/>
  <c r="Z39" i="7"/>
  <c r="Z40" i="7"/>
  <c r="Z41" i="7"/>
  <c r="Z42" i="7"/>
  <c r="Z43" i="7"/>
  <c r="Z44" i="7"/>
  <c r="Z45" i="7"/>
  <c r="Z46" i="7"/>
  <c r="Z47" i="7"/>
  <c r="Z48" i="7"/>
  <c r="Z49" i="7"/>
  <c r="Z50" i="7"/>
  <c r="Z51" i="7"/>
  <c r="Z52" i="7"/>
  <c r="Z53" i="7"/>
  <c r="Z54" i="7"/>
  <c r="Z55" i="7"/>
  <c r="Z56" i="7"/>
  <c r="Z57" i="7"/>
  <c r="Z58" i="7"/>
  <c r="Z59" i="7"/>
  <c r="Z60" i="7"/>
  <c r="Z61" i="7"/>
  <c r="Z62" i="7"/>
  <c r="Z63" i="7"/>
  <c r="Z64" i="7"/>
  <c r="Z65" i="7"/>
  <c r="Z66" i="7"/>
  <c r="Z67" i="7"/>
  <c r="Z68" i="7"/>
  <c r="Z69" i="7"/>
  <c r="Z70" i="7"/>
  <c r="Z71" i="7"/>
  <c r="Z72" i="7"/>
  <c r="Z73" i="7"/>
  <c r="Z74" i="7"/>
  <c r="Z75" i="7"/>
  <c r="Z76" i="7"/>
  <c r="Z77" i="7"/>
  <c r="Z78" i="7"/>
  <c r="Z79" i="7"/>
  <c r="Z80" i="7"/>
  <c r="Z81" i="7"/>
  <c r="Z82" i="7"/>
  <c r="Z83" i="7"/>
  <c r="Z84" i="7"/>
  <c r="Z85" i="7"/>
  <c r="Z86" i="7"/>
  <c r="Z87" i="7"/>
  <c r="Z88" i="7"/>
  <c r="Z89" i="7"/>
  <c r="Z90" i="7"/>
  <c r="Z91" i="7"/>
  <c r="Z92" i="7"/>
  <c r="Z93" i="7"/>
  <c r="Z94" i="7"/>
  <c r="Z95" i="7"/>
  <c r="Z96" i="7"/>
  <c r="Z97" i="7"/>
  <c r="Z98" i="7"/>
  <c r="Z99" i="7"/>
  <c r="Z100" i="7"/>
  <c r="Z101" i="7"/>
  <c r="Z102" i="7"/>
  <c r="Z103" i="7"/>
  <c r="Z104" i="7"/>
  <c r="Z105" i="7"/>
  <c r="Z106" i="7"/>
  <c r="Z107" i="7"/>
  <c r="Z108" i="7"/>
  <c r="Z109" i="7"/>
  <c r="Z110" i="7"/>
  <c r="Z111" i="7"/>
  <c r="Z112" i="7"/>
  <c r="Z113" i="7"/>
  <c r="Z114" i="7"/>
  <c r="Z115" i="7"/>
  <c r="Z116" i="7"/>
  <c r="Z117" i="7"/>
  <c r="Z118" i="7"/>
  <c r="Z119" i="7"/>
  <c r="Z120" i="7"/>
  <c r="Z121" i="7"/>
  <c r="Z122" i="7"/>
  <c r="Z123" i="7"/>
  <c r="Z124" i="7"/>
  <c r="Z125" i="7"/>
  <c r="Z126" i="7"/>
  <c r="Z127" i="7"/>
  <c r="Z128" i="7"/>
  <c r="Z129" i="7"/>
  <c r="Z130" i="7"/>
  <c r="Z131" i="7"/>
  <c r="Z132" i="7"/>
  <c r="Z133" i="7"/>
  <c r="Z134" i="7"/>
  <c r="Z135" i="7"/>
  <c r="Z136" i="7"/>
  <c r="Z137" i="7"/>
  <c r="Z138" i="7"/>
  <c r="Z139" i="7"/>
  <c r="Z140" i="7"/>
  <c r="Z141" i="7"/>
  <c r="Z142" i="7"/>
  <c r="Z143" i="7"/>
  <c r="Z144" i="7"/>
  <c r="Z145" i="7"/>
  <c r="Z146" i="7"/>
  <c r="Z147" i="7"/>
  <c r="Z148" i="7"/>
  <c r="Z149" i="7"/>
  <c r="Z150" i="7"/>
  <c r="Z151" i="7"/>
  <c r="Z152" i="7"/>
  <c r="Z153" i="7"/>
  <c r="Z154" i="7"/>
  <c r="Z155" i="7"/>
  <c r="Z156" i="7"/>
  <c r="Z157" i="7"/>
  <c r="Z158" i="7"/>
  <c r="Z159" i="7"/>
  <c r="Z160" i="7"/>
  <c r="Z161" i="7"/>
  <c r="Z162" i="7"/>
  <c r="Z163" i="7"/>
  <c r="Z164" i="7"/>
  <c r="Z165" i="7"/>
  <c r="Z166" i="7"/>
  <c r="Z167" i="7"/>
  <c r="Z168" i="7"/>
  <c r="Z169" i="7"/>
  <c r="Z170" i="7"/>
  <c r="Z171" i="7"/>
  <c r="Z172" i="7"/>
  <c r="Z173" i="7"/>
  <c r="Z174" i="7"/>
  <c r="Z175" i="7"/>
  <c r="Z176" i="7"/>
  <c r="Z177" i="7"/>
  <c r="Z178" i="7"/>
  <c r="Z179" i="7"/>
  <c r="Z180" i="7"/>
  <c r="Z181" i="7"/>
  <c r="Z182" i="7"/>
  <c r="Z183" i="7"/>
  <c r="Z184" i="7"/>
  <c r="Z185" i="7"/>
  <c r="Z186" i="7"/>
  <c r="Z187" i="7"/>
  <c r="Z188" i="7"/>
  <c r="Z189" i="7"/>
  <c r="Z190" i="7"/>
  <c r="Z191" i="7"/>
  <c r="Z192" i="7"/>
  <c r="Z193" i="7"/>
  <c r="Z194" i="7"/>
  <c r="Z195" i="7"/>
  <c r="Z196" i="7"/>
  <c r="Z197" i="7"/>
  <c r="Z198" i="7"/>
  <c r="Z199" i="7"/>
  <c r="Z200" i="7"/>
  <c r="Z201" i="7"/>
  <c r="Z202" i="7"/>
  <c r="Z203" i="7"/>
  <c r="Z204" i="7"/>
  <c r="Z205" i="7"/>
  <c r="Z206" i="7"/>
  <c r="Z207" i="7"/>
  <c r="Z208" i="7"/>
  <c r="Z209" i="7"/>
  <c r="Z210" i="7"/>
  <c r="Z211" i="7"/>
  <c r="Z212" i="7"/>
  <c r="Z213" i="7"/>
  <c r="Z214" i="7"/>
  <c r="Z215" i="7"/>
  <c r="Z216" i="7"/>
  <c r="Z217" i="7"/>
  <c r="Z218" i="7"/>
  <c r="Z219" i="7"/>
  <c r="Z220" i="7"/>
  <c r="Z221" i="7"/>
  <c r="Z222" i="7"/>
  <c r="Z223" i="7"/>
  <c r="Z224" i="7"/>
  <c r="Z225" i="7"/>
  <c r="Z226" i="7"/>
  <c r="Z227" i="7"/>
  <c r="Z228" i="7"/>
  <c r="Z229" i="7"/>
  <c r="Z230" i="7"/>
  <c r="Z231" i="7"/>
  <c r="Z232" i="7"/>
  <c r="Z233" i="7"/>
  <c r="Z234" i="7"/>
  <c r="Z235" i="7"/>
  <c r="Z236" i="7"/>
  <c r="Z237" i="7"/>
  <c r="Z238" i="7"/>
  <c r="Z239" i="7"/>
  <c r="Z240" i="7"/>
  <c r="Z241" i="7"/>
  <c r="Z242" i="7"/>
  <c r="Z243" i="7"/>
  <c r="Z244" i="7"/>
  <c r="Z245" i="7"/>
  <c r="Z246" i="7"/>
  <c r="Z247" i="7"/>
  <c r="Z248" i="7"/>
  <c r="Z249" i="7"/>
  <c r="Z250" i="7"/>
  <c r="Z251" i="7"/>
  <c r="Z252" i="7"/>
  <c r="Z253" i="7"/>
  <c r="Z254" i="7"/>
  <c r="Z255" i="7"/>
  <c r="Z256" i="7"/>
  <c r="Z257" i="7"/>
  <c r="Z258" i="7"/>
  <c r="Z259" i="7"/>
  <c r="Z260" i="7"/>
  <c r="Z261" i="7"/>
  <c r="Z262" i="7"/>
  <c r="Z263" i="7"/>
  <c r="Z264" i="7"/>
  <c r="Z265" i="7"/>
  <c r="Z266" i="7"/>
  <c r="Z267" i="7"/>
  <c r="Z268" i="7"/>
  <c r="Z269" i="7"/>
  <c r="Z270" i="7"/>
  <c r="Z271" i="7"/>
  <c r="Z272" i="7"/>
  <c r="Z273" i="7"/>
  <c r="Z274" i="7"/>
  <c r="Z275" i="7"/>
  <c r="Z276" i="7"/>
  <c r="Z277" i="7"/>
  <c r="Z278" i="7"/>
  <c r="Z279" i="7"/>
  <c r="Z280" i="7"/>
  <c r="Z281" i="7"/>
  <c r="Z282" i="7"/>
  <c r="Z283" i="7"/>
  <c r="Z284" i="7"/>
  <c r="Z285" i="7"/>
  <c r="Z286" i="7"/>
  <c r="Z287" i="7"/>
  <c r="Z288" i="7"/>
  <c r="Z289" i="7"/>
  <c r="Z290" i="7"/>
  <c r="Z291" i="7"/>
  <c r="Z292" i="7"/>
  <c r="Z293" i="7"/>
  <c r="Z294" i="7"/>
  <c r="Z295" i="7"/>
  <c r="Z296" i="7"/>
  <c r="Z297" i="7"/>
  <c r="Z298" i="7"/>
  <c r="Z299" i="7"/>
  <c r="Z300" i="7"/>
  <c r="Z301" i="7"/>
  <c r="Z302" i="7"/>
  <c r="Z303" i="7"/>
  <c r="Z304" i="7"/>
  <c r="Z305" i="7"/>
  <c r="Z306" i="7"/>
  <c r="Z307" i="7"/>
  <c r="Z308" i="7"/>
  <c r="Z309" i="7"/>
  <c r="Z310" i="7"/>
  <c r="Z311" i="7"/>
  <c r="Z312" i="7"/>
  <c r="Z313" i="7"/>
  <c r="Z314" i="7"/>
  <c r="Z315" i="7"/>
  <c r="Z316" i="7"/>
  <c r="Z317" i="7"/>
  <c r="Z318" i="7"/>
  <c r="Z319" i="7"/>
  <c r="Z320" i="7"/>
  <c r="Z321" i="7"/>
  <c r="Z322" i="7"/>
  <c r="Z323" i="7"/>
  <c r="Z324" i="7"/>
  <c r="Z325" i="7"/>
  <c r="Z326" i="7"/>
  <c r="Z327" i="7"/>
  <c r="Z328" i="7"/>
  <c r="Z329" i="7"/>
  <c r="Z330" i="7"/>
  <c r="Z331" i="7"/>
  <c r="Z332" i="7"/>
  <c r="Z333" i="7"/>
  <c r="Z334" i="7"/>
  <c r="Z335" i="7"/>
  <c r="Z336" i="7"/>
  <c r="Z337" i="7"/>
  <c r="Z338" i="7"/>
  <c r="Z339" i="7"/>
  <c r="Z340" i="7"/>
  <c r="Z341" i="7"/>
  <c r="Z342" i="7"/>
  <c r="Z343" i="7"/>
  <c r="Z344" i="7"/>
  <c r="Z345" i="7"/>
  <c r="Z346" i="7"/>
  <c r="Z347" i="7"/>
  <c r="Z348" i="7"/>
  <c r="Z349" i="7"/>
  <c r="Z350" i="7"/>
  <c r="Z351" i="7"/>
  <c r="Z352" i="7"/>
  <c r="Z353" i="7"/>
  <c r="Z354" i="7"/>
  <c r="Z355" i="7"/>
  <c r="Z356" i="7"/>
  <c r="Z357" i="7"/>
  <c r="Z358" i="7"/>
  <c r="Z359" i="7"/>
  <c r="Z360" i="7"/>
  <c r="Z361" i="7"/>
  <c r="Z362" i="7"/>
  <c r="Z363" i="7"/>
  <c r="Z364" i="7"/>
  <c r="Z365" i="7"/>
  <c r="Z366" i="7"/>
  <c r="Z367" i="7"/>
  <c r="Z368" i="7"/>
  <c r="Z369" i="7"/>
  <c r="Z370" i="7"/>
  <c r="Z371" i="7"/>
  <c r="Z372" i="7"/>
  <c r="Z373" i="7"/>
  <c r="Z374" i="7"/>
  <c r="Z375" i="7"/>
  <c r="Z376" i="7"/>
  <c r="Z377" i="7"/>
  <c r="Z378" i="7"/>
  <c r="Z379" i="7"/>
  <c r="Z380" i="7"/>
  <c r="Z381" i="7"/>
  <c r="Z382" i="7"/>
  <c r="Z383" i="7"/>
  <c r="Z384" i="7"/>
  <c r="Z385" i="7"/>
  <c r="Z386" i="7"/>
  <c r="Z387" i="7"/>
  <c r="Z388" i="7"/>
  <c r="Z389" i="7"/>
  <c r="Z390" i="7"/>
  <c r="Z391" i="7"/>
  <c r="Z392" i="7"/>
  <c r="Z393" i="7"/>
  <c r="Z394" i="7"/>
  <c r="Z395" i="7"/>
  <c r="Z396" i="7"/>
  <c r="Z397" i="7"/>
  <c r="Z398" i="7"/>
  <c r="Z399" i="7"/>
  <c r="Z400" i="7"/>
  <c r="Z401" i="7"/>
  <c r="Z402" i="7"/>
  <c r="Z403" i="7"/>
  <c r="Z404" i="7"/>
  <c r="Z405" i="7"/>
  <c r="Z406" i="7"/>
  <c r="Z407" i="7"/>
  <c r="Z408" i="7"/>
  <c r="Z409" i="7"/>
  <c r="Z410" i="7"/>
  <c r="Z411" i="7"/>
  <c r="Z412" i="7"/>
  <c r="Z413" i="7"/>
  <c r="Z414" i="7"/>
  <c r="Z415" i="7"/>
  <c r="Z416" i="7"/>
  <c r="Z417" i="7"/>
  <c r="Z418" i="7"/>
  <c r="Z419" i="7"/>
  <c r="Z420" i="7"/>
  <c r="Z421" i="7"/>
  <c r="Z422" i="7"/>
  <c r="Z423" i="7"/>
  <c r="Z424" i="7"/>
  <c r="Z425" i="7"/>
  <c r="Z426" i="7"/>
  <c r="Z427" i="7"/>
  <c r="Z428" i="7"/>
  <c r="Z429" i="7"/>
  <c r="Z430" i="7"/>
  <c r="Z431" i="7"/>
  <c r="Z432" i="7"/>
  <c r="Z433" i="7"/>
  <c r="Z434" i="7"/>
  <c r="Z435" i="7"/>
  <c r="Z436" i="7"/>
  <c r="Z437" i="7"/>
  <c r="Z438" i="7"/>
  <c r="Z439" i="7"/>
  <c r="Z440" i="7"/>
  <c r="Z441" i="7"/>
  <c r="Z442" i="7"/>
  <c r="Z443" i="7"/>
  <c r="Z444" i="7"/>
  <c r="Z445" i="7"/>
  <c r="Z446" i="7"/>
  <c r="Z447" i="7"/>
  <c r="Z448" i="7"/>
  <c r="Z449" i="7"/>
  <c r="Z450" i="7"/>
  <c r="Z451" i="7"/>
  <c r="Z452" i="7"/>
  <c r="Z453" i="7"/>
  <c r="Z454" i="7"/>
  <c r="Z455" i="7"/>
  <c r="Z456" i="7"/>
  <c r="Z457" i="7"/>
  <c r="Z458" i="7"/>
  <c r="Z459" i="7"/>
  <c r="Z460" i="7"/>
  <c r="Z461" i="7"/>
  <c r="Z462" i="7"/>
  <c r="Z463" i="7"/>
  <c r="Z464" i="7"/>
  <c r="Z465" i="7"/>
  <c r="Z466" i="7"/>
  <c r="Z467" i="7"/>
  <c r="Z468" i="7"/>
  <c r="Z469" i="7"/>
  <c r="Z470" i="7"/>
  <c r="Z471" i="7"/>
  <c r="Z472" i="7"/>
  <c r="Z473" i="7"/>
  <c r="Z474" i="7"/>
  <c r="Z475" i="7"/>
  <c r="Z476" i="7"/>
  <c r="Z477" i="7"/>
  <c r="Z478" i="7"/>
  <c r="Z479" i="7"/>
  <c r="Z480" i="7"/>
  <c r="Z481" i="7"/>
  <c r="Z482" i="7"/>
  <c r="Z483" i="7"/>
  <c r="Z484" i="7"/>
  <c r="Z485" i="7"/>
  <c r="Z486" i="7"/>
  <c r="Z487" i="7"/>
  <c r="Z488" i="7"/>
  <c r="Z489" i="7"/>
  <c r="Z490" i="7"/>
  <c r="Z491" i="7"/>
  <c r="Z492" i="7"/>
  <c r="Z493" i="7"/>
  <c r="Z494" i="7"/>
  <c r="Z495" i="7"/>
  <c r="Z496" i="7"/>
  <c r="Z497" i="7"/>
  <c r="Z498" i="7"/>
  <c r="Z499" i="7"/>
  <c r="Z500" i="7"/>
  <c r="Z501" i="7"/>
  <c r="Z502" i="7"/>
  <c r="Z503" i="7"/>
  <c r="Z504" i="7"/>
  <c r="Z505" i="7"/>
  <c r="Z506" i="7"/>
  <c r="Z3" i="7"/>
  <c r="M2" i="7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2" i="7"/>
  <c r="R2" i="6"/>
  <c r="Q2" i="6"/>
  <c r="Z4" i="6"/>
  <c r="Z5" i="6"/>
  <c r="Z6" i="6"/>
  <c r="Z7" i="6"/>
  <c r="Z8" i="6"/>
  <c r="Z9" i="6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Z26" i="6"/>
  <c r="Z27" i="6"/>
  <c r="Z28" i="6"/>
  <c r="Z29" i="6"/>
  <c r="Z30" i="6"/>
  <c r="Z31" i="6"/>
  <c r="Z32" i="6"/>
  <c r="Z33" i="6"/>
  <c r="Z34" i="6"/>
  <c r="Z35" i="6"/>
  <c r="Z36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Z65" i="6"/>
  <c r="Z66" i="6"/>
  <c r="Z67" i="6"/>
  <c r="Z68" i="6"/>
  <c r="Z69" i="6"/>
  <c r="Z70" i="6"/>
  <c r="Z71" i="6"/>
  <c r="Z72" i="6"/>
  <c r="Z73" i="6"/>
  <c r="Z74" i="6"/>
  <c r="Z75" i="6"/>
  <c r="Z76" i="6"/>
  <c r="Z77" i="6"/>
  <c r="Z78" i="6"/>
  <c r="Z79" i="6"/>
  <c r="Z80" i="6"/>
  <c r="Z81" i="6"/>
  <c r="Z82" i="6"/>
  <c r="Z83" i="6"/>
  <c r="Z84" i="6"/>
  <c r="Z85" i="6"/>
  <c r="Z86" i="6"/>
  <c r="Z87" i="6"/>
  <c r="Z88" i="6"/>
  <c r="Z89" i="6"/>
  <c r="Z90" i="6"/>
  <c r="Z91" i="6"/>
  <c r="Z92" i="6"/>
  <c r="Z93" i="6"/>
  <c r="Z94" i="6"/>
  <c r="Z95" i="6"/>
  <c r="Z96" i="6"/>
  <c r="Z97" i="6"/>
  <c r="Z98" i="6"/>
  <c r="Z99" i="6"/>
  <c r="Z100" i="6"/>
  <c r="Z101" i="6"/>
  <c r="Z102" i="6"/>
  <c r="Z103" i="6"/>
  <c r="Z104" i="6"/>
  <c r="Z105" i="6"/>
  <c r="Z106" i="6"/>
  <c r="Z107" i="6"/>
  <c r="Z108" i="6"/>
  <c r="Z109" i="6"/>
  <c r="Z110" i="6"/>
  <c r="Z111" i="6"/>
  <c r="Z112" i="6"/>
  <c r="Z113" i="6"/>
  <c r="Z114" i="6"/>
  <c r="Z115" i="6"/>
  <c r="Z116" i="6"/>
  <c r="Z117" i="6"/>
  <c r="Z118" i="6"/>
  <c r="Z119" i="6"/>
  <c r="Z120" i="6"/>
  <c r="Z121" i="6"/>
  <c r="Z122" i="6"/>
  <c r="Z123" i="6"/>
  <c r="Z124" i="6"/>
  <c r="Z125" i="6"/>
  <c r="Z126" i="6"/>
  <c r="Z127" i="6"/>
  <c r="Z128" i="6"/>
  <c r="Z129" i="6"/>
  <c r="Z130" i="6"/>
  <c r="Z131" i="6"/>
  <c r="Z132" i="6"/>
  <c r="Z133" i="6"/>
  <c r="Z134" i="6"/>
  <c r="Z135" i="6"/>
  <c r="Z136" i="6"/>
  <c r="Z137" i="6"/>
  <c r="Z138" i="6"/>
  <c r="Z139" i="6"/>
  <c r="Z140" i="6"/>
  <c r="Z141" i="6"/>
  <c r="Z142" i="6"/>
  <c r="Z143" i="6"/>
  <c r="Z144" i="6"/>
  <c r="Z145" i="6"/>
  <c r="Z146" i="6"/>
  <c r="Z147" i="6"/>
  <c r="Z148" i="6"/>
  <c r="Z149" i="6"/>
  <c r="Z150" i="6"/>
  <c r="Z151" i="6"/>
  <c r="Z152" i="6"/>
  <c r="Z153" i="6"/>
  <c r="Z154" i="6"/>
  <c r="Z155" i="6"/>
  <c r="Z156" i="6"/>
  <c r="Z157" i="6"/>
  <c r="Z158" i="6"/>
  <c r="Z159" i="6"/>
  <c r="Z160" i="6"/>
  <c r="Z161" i="6"/>
  <c r="Z162" i="6"/>
  <c r="Z163" i="6"/>
  <c r="Z164" i="6"/>
  <c r="Z165" i="6"/>
  <c r="Z166" i="6"/>
  <c r="Z167" i="6"/>
  <c r="Z168" i="6"/>
  <c r="Z169" i="6"/>
  <c r="Z170" i="6"/>
  <c r="Z171" i="6"/>
  <c r="Z172" i="6"/>
  <c r="Z173" i="6"/>
  <c r="Z174" i="6"/>
  <c r="Z175" i="6"/>
  <c r="Z176" i="6"/>
  <c r="Z177" i="6"/>
  <c r="Z178" i="6"/>
  <c r="Z179" i="6"/>
  <c r="Z180" i="6"/>
  <c r="Z181" i="6"/>
  <c r="Z182" i="6"/>
  <c r="Z183" i="6"/>
  <c r="Z184" i="6"/>
  <c r="Z185" i="6"/>
  <c r="Z186" i="6"/>
  <c r="Z187" i="6"/>
  <c r="Z188" i="6"/>
  <c r="Z189" i="6"/>
  <c r="Z190" i="6"/>
  <c r="Z191" i="6"/>
  <c r="Z192" i="6"/>
  <c r="Z3" i="6"/>
  <c r="M2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2" i="6"/>
  <c r="R2" i="5"/>
  <c r="Q2" i="5"/>
  <c r="Z4" i="5"/>
  <c r="Z5" i="5"/>
  <c r="Z6" i="5"/>
  <c r="Z7" i="5"/>
  <c r="Z8" i="5"/>
  <c r="Z9" i="5"/>
  <c r="Z10" i="5"/>
  <c r="Z11" i="5"/>
  <c r="Z12" i="5"/>
  <c r="Z13" i="5"/>
  <c r="Z14" i="5"/>
  <c r="Z15" i="5"/>
  <c r="Z16" i="5"/>
  <c r="Z17" i="5"/>
  <c r="Z18" i="5"/>
  <c r="Z19" i="5"/>
  <c r="Z20" i="5"/>
  <c r="Z21" i="5"/>
  <c r="Z22" i="5"/>
  <c r="Z23" i="5"/>
  <c r="Z24" i="5"/>
  <c r="Z25" i="5"/>
  <c r="Z26" i="5"/>
  <c r="Z27" i="5"/>
  <c r="Z28" i="5"/>
  <c r="Z29" i="5"/>
  <c r="Z30" i="5"/>
  <c r="Z31" i="5"/>
  <c r="Z32" i="5"/>
  <c r="Z33" i="5"/>
  <c r="Z34" i="5"/>
  <c r="Z35" i="5"/>
  <c r="Z36" i="5"/>
  <c r="Z37" i="5"/>
  <c r="Z38" i="5"/>
  <c r="Z39" i="5"/>
  <c r="Z40" i="5"/>
  <c r="Z41" i="5"/>
  <c r="Z42" i="5"/>
  <c r="Z43" i="5"/>
  <c r="Z44" i="5"/>
  <c r="Z45" i="5"/>
  <c r="Z46" i="5"/>
  <c r="Z47" i="5"/>
  <c r="Z48" i="5"/>
  <c r="Z49" i="5"/>
  <c r="Z50" i="5"/>
  <c r="Z51" i="5"/>
  <c r="Z52" i="5"/>
  <c r="Z53" i="5"/>
  <c r="Z54" i="5"/>
  <c r="Z55" i="5"/>
  <c r="Z56" i="5"/>
  <c r="Z57" i="5"/>
  <c r="Z58" i="5"/>
  <c r="Z59" i="5"/>
  <c r="Z60" i="5"/>
  <c r="Z61" i="5"/>
  <c r="Z62" i="5"/>
  <c r="Z63" i="5"/>
  <c r="Z64" i="5"/>
  <c r="Z65" i="5"/>
  <c r="Z66" i="5"/>
  <c r="Z67" i="5"/>
  <c r="Z68" i="5"/>
  <c r="Z69" i="5"/>
  <c r="Z70" i="5"/>
  <c r="Z71" i="5"/>
  <c r="Z72" i="5"/>
  <c r="Z73" i="5"/>
  <c r="Z74" i="5"/>
  <c r="Z75" i="5"/>
  <c r="Z76" i="5"/>
  <c r="Z77" i="5"/>
  <c r="Z78" i="5"/>
  <c r="Z79" i="5"/>
  <c r="Z80" i="5"/>
  <c r="Z81" i="5"/>
  <c r="Z82" i="5"/>
  <c r="Z83" i="5"/>
  <c r="Z84" i="5"/>
  <c r="Z85" i="5"/>
  <c r="Z86" i="5"/>
  <c r="Z87" i="5"/>
  <c r="Z88" i="5"/>
  <c r="Z89" i="5"/>
  <c r="Z90" i="5"/>
  <c r="Z91" i="5"/>
  <c r="Z92" i="5"/>
  <c r="Z93" i="5"/>
  <c r="Z94" i="5"/>
  <c r="Z95" i="5"/>
  <c r="Z96" i="5"/>
  <c r="Z97" i="5"/>
  <c r="Z98" i="5"/>
  <c r="Z99" i="5"/>
  <c r="Z100" i="5"/>
  <c r="Z101" i="5"/>
  <c r="Z102" i="5"/>
  <c r="Z103" i="5"/>
  <c r="Z104" i="5"/>
  <c r="Z105" i="5"/>
  <c r="Z106" i="5"/>
  <c r="Z107" i="5"/>
  <c r="Z108" i="5"/>
  <c r="Z109" i="5"/>
  <c r="Z110" i="5"/>
  <c r="Z111" i="5"/>
  <c r="Z112" i="5"/>
  <c r="Z113" i="5"/>
  <c r="Z114" i="5"/>
  <c r="Z115" i="5"/>
  <c r="Z116" i="5"/>
  <c r="Z117" i="5"/>
  <c r="Z118" i="5"/>
  <c r="Z119" i="5"/>
  <c r="Z120" i="5"/>
  <c r="Z121" i="5"/>
  <c r="Z122" i="5"/>
  <c r="Z123" i="5"/>
  <c r="Z124" i="5"/>
  <c r="Z125" i="5"/>
  <c r="Z126" i="5"/>
  <c r="Z127" i="5"/>
  <c r="Z128" i="5"/>
  <c r="Z129" i="5"/>
  <c r="Z130" i="5"/>
  <c r="Z131" i="5"/>
  <c r="Z132" i="5"/>
  <c r="Z133" i="5"/>
  <c r="Z134" i="5"/>
  <c r="Z135" i="5"/>
  <c r="Z136" i="5"/>
  <c r="Z137" i="5"/>
  <c r="Z138" i="5"/>
  <c r="Z139" i="5"/>
  <c r="Z140" i="5"/>
  <c r="Z141" i="5"/>
  <c r="Z142" i="5"/>
  <c r="Z143" i="5"/>
  <c r="Z144" i="5"/>
  <c r="Z145" i="5"/>
  <c r="Z146" i="5"/>
  <c r="Z147" i="5"/>
  <c r="Z148" i="5"/>
  <c r="Z149" i="5"/>
  <c r="Z150" i="5"/>
  <c r="Z151" i="5"/>
  <c r="Z152" i="5"/>
  <c r="Z153" i="5"/>
  <c r="Z154" i="5"/>
  <c r="Z155" i="5"/>
  <c r="Z156" i="5"/>
  <c r="Z157" i="5"/>
  <c r="Z158" i="5"/>
  <c r="Z159" i="5"/>
  <c r="Z160" i="5"/>
  <c r="Z161" i="5"/>
  <c r="Z162" i="5"/>
  <c r="Z163" i="5"/>
  <c r="Z164" i="5"/>
  <c r="Z165" i="5"/>
  <c r="Z166" i="5"/>
  <c r="Z167" i="5"/>
  <c r="Z168" i="5"/>
  <c r="Z169" i="5"/>
  <c r="Z170" i="5"/>
  <c r="Z171" i="5"/>
  <c r="Z172" i="5"/>
  <c r="Z173" i="5"/>
  <c r="Z174" i="5"/>
  <c r="Z175" i="5"/>
  <c r="Z176" i="5"/>
  <c r="Z177" i="5"/>
  <c r="Z178" i="5"/>
  <c r="Z179" i="5"/>
  <c r="Z180" i="5"/>
  <c r="Z181" i="5"/>
  <c r="Z182" i="5"/>
  <c r="Z183" i="5"/>
  <c r="Z184" i="5"/>
  <c r="Z185" i="5"/>
  <c r="Z186" i="5"/>
  <c r="Z187" i="5"/>
  <c r="Z188" i="5"/>
  <c r="Z189" i="5"/>
  <c r="Z190" i="5"/>
  <c r="Z191" i="5"/>
  <c r="Z192" i="5"/>
  <c r="Z193" i="5"/>
  <c r="Z194" i="5"/>
  <c r="Z195" i="5"/>
  <c r="Z196" i="5"/>
  <c r="Z197" i="5"/>
  <c r="Z198" i="5"/>
  <c r="Z199" i="5"/>
  <c r="Z200" i="5"/>
  <c r="Z201" i="5"/>
  <c r="Z202" i="5"/>
  <c r="Z203" i="5"/>
  <c r="Z204" i="5"/>
  <c r="Z205" i="5"/>
  <c r="Z206" i="5"/>
  <c r="Z207" i="5"/>
  <c r="Z208" i="5"/>
  <c r="Z209" i="5"/>
  <c r="Z210" i="5"/>
  <c r="Z211" i="5"/>
  <c r="Z212" i="5"/>
  <c r="Z213" i="5"/>
  <c r="Z214" i="5"/>
  <c r="Z215" i="5"/>
  <c r="Z216" i="5"/>
  <c r="Z217" i="5"/>
  <c r="Z218" i="5"/>
  <c r="Z219" i="5"/>
  <c r="Z220" i="5"/>
  <c r="Z221" i="5"/>
  <c r="Z222" i="5"/>
  <c r="Z223" i="5"/>
  <c r="Z224" i="5"/>
  <c r="Z225" i="5"/>
  <c r="Z226" i="5"/>
  <c r="Z227" i="5"/>
  <c r="Z228" i="5"/>
  <c r="Z229" i="5"/>
  <c r="Z230" i="5"/>
  <c r="Z231" i="5"/>
  <c r="Z232" i="5"/>
  <c r="Z233" i="5"/>
  <c r="Z234" i="5"/>
  <c r="Z235" i="5"/>
  <c r="Z236" i="5"/>
  <c r="Z237" i="5"/>
  <c r="Z238" i="5"/>
  <c r="Z239" i="5"/>
  <c r="Z240" i="5"/>
  <c r="Z241" i="5"/>
  <c r="Z242" i="5"/>
  <c r="Z243" i="5"/>
  <c r="Z244" i="5"/>
  <c r="Z245" i="5"/>
  <c r="Z246" i="5"/>
  <c r="Z247" i="5"/>
  <c r="Z248" i="5"/>
  <c r="Z249" i="5"/>
  <c r="Z250" i="5"/>
  <c r="Z251" i="5"/>
  <c r="Z252" i="5"/>
  <c r="Z253" i="5"/>
  <c r="Z254" i="5"/>
  <c r="Z255" i="5"/>
  <c r="Z3" i="5"/>
  <c r="M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2" i="5"/>
  <c r="R2" i="4"/>
  <c r="Q2" i="4"/>
  <c r="Z4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Z64" i="4"/>
  <c r="Z65" i="4"/>
  <c r="Z66" i="4"/>
  <c r="Z67" i="4"/>
  <c r="Z68" i="4"/>
  <c r="Z69" i="4"/>
  <c r="Z70" i="4"/>
  <c r="Z71" i="4"/>
  <c r="Z72" i="4"/>
  <c r="Z73" i="4"/>
  <c r="Z74" i="4"/>
  <c r="Z75" i="4"/>
  <c r="Z76" i="4"/>
  <c r="Z77" i="4"/>
  <c r="Z78" i="4"/>
  <c r="Z79" i="4"/>
  <c r="Z80" i="4"/>
  <c r="Z81" i="4"/>
  <c r="Z82" i="4"/>
  <c r="Z83" i="4"/>
  <c r="Z84" i="4"/>
  <c r="Z85" i="4"/>
  <c r="Z86" i="4"/>
  <c r="Z87" i="4"/>
  <c r="Z88" i="4"/>
  <c r="Z89" i="4"/>
  <c r="Z90" i="4"/>
  <c r="Z91" i="4"/>
  <c r="Z92" i="4"/>
  <c r="Z93" i="4"/>
  <c r="Z94" i="4"/>
  <c r="Z95" i="4"/>
  <c r="Z96" i="4"/>
  <c r="Z97" i="4"/>
  <c r="Z98" i="4"/>
  <c r="Z99" i="4"/>
  <c r="Z100" i="4"/>
  <c r="Z101" i="4"/>
  <c r="Z102" i="4"/>
  <c r="Z103" i="4"/>
  <c r="Z104" i="4"/>
  <c r="Z105" i="4"/>
  <c r="Z106" i="4"/>
  <c r="Z107" i="4"/>
  <c r="Z108" i="4"/>
  <c r="Z109" i="4"/>
  <c r="Z110" i="4"/>
  <c r="Z111" i="4"/>
  <c r="Z112" i="4"/>
  <c r="Z113" i="4"/>
  <c r="Z114" i="4"/>
  <c r="Z115" i="4"/>
  <c r="Z116" i="4"/>
  <c r="Z117" i="4"/>
  <c r="Z118" i="4"/>
  <c r="Z119" i="4"/>
  <c r="Z120" i="4"/>
  <c r="Z121" i="4"/>
  <c r="Z122" i="4"/>
  <c r="Z123" i="4"/>
  <c r="Z124" i="4"/>
  <c r="Z125" i="4"/>
  <c r="Z126" i="4"/>
  <c r="Z127" i="4"/>
  <c r="Z3" i="4"/>
  <c r="Z3" i="3"/>
  <c r="M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2" i="4"/>
  <c r="R2" i="3"/>
  <c r="Q2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3" i="2"/>
  <c r="M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2" i="3"/>
  <c r="R2" i="2"/>
  <c r="Q2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AM24" i="1" a="1"/>
  <c r="T26" i="1" a="1"/>
  <c r="AF4" i="7" a="1"/>
  <c r="AE4" i="7" a="1"/>
  <c r="AF3" i="7" a="1"/>
  <c r="AF4" i="5" a="1"/>
  <c r="AE4" i="5" a="1"/>
  <c r="AE3" i="5" a="1"/>
  <c r="AF3" i="5" a="1"/>
  <c r="AF4" i="6" a="1"/>
  <c r="AE4" i="6" a="1"/>
  <c r="AE3" i="6" a="1"/>
  <c r="AF3" i="6" a="1"/>
  <c r="AE4" i="4" a="1"/>
  <c r="AE3" i="4" a="1"/>
  <c r="AF4" i="4" a="1"/>
  <c r="AF3" i="4" a="1"/>
  <c r="AF4" i="3" a="1"/>
  <c r="AE4" i="3" a="1"/>
  <c r="AE3" i="3" a="1"/>
  <c r="AF3" i="3" a="1"/>
  <c r="AF4" i="2" a="1"/>
  <c r="AE4" i="2" a="1"/>
  <c r="AE3" i="2" a="1"/>
  <c r="AF3" i="2" a="1"/>
  <c r="AE3" i="7" a="1"/>
  <c r="AE3" i="7" l="1"/>
  <c r="AF4" i="7"/>
  <c r="AE4" i="7"/>
  <c r="AF3" i="7"/>
  <c r="AF4" i="5"/>
  <c r="AE4" i="5"/>
  <c r="AE3" i="5"/>
  <c r="AF3" i="5"/>
  <c r="AF4" i="6"/>
  <c r="AE4" i="6"/>
  <c r="AE3" i="6"/>
  <c r="AF3" i="6"/>
  <c r="AE4" i="4"/>
  <c r="AE3" i="4"/>
  <c r="AF4" i="4"/>
  <c r="AF3" i="4"/>
  <c r="AF4" i="3"/>
  <c r="AE4" i="3"/>
  <c r="AE3" i="3"/>
  <c r="AF3" i="3"/>
  <c r="AF4" i="2"/>
  <c r="AE4" i="2"/>
  <c r="AE3" i="2"/>
  <c r="AF3" i="2"/>
  <c r="AM24" i="1"/>
  <c r="T26" i="1"/>
  <c r="M2" i="2"/>
  <c r="L3" i="2" l="1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2" i="2"/>
  <c r="AL121" i="1" a="1"/>
  <c r="AP121" i="1" a="1"/>
  <c r="AT121" i="1" a="1"/>
  <c r="AX121" i="1" a="1"/>
  <c r="AN122" i="1" a="1"/>
  <c r="AR122" i="1" a="1"/>
  <c r="AV122" i="1" a="1"/>
  <c r="AL123" i="1" a="1"/>
  <c r="AP123" i="1" a="1"/>
  <c r="AT123" i="1" a="1"/>
  <c r="AX123" i="1" a="1"/>
  <c r="AN124" i="1" a="1"/>
  <c r="AR124" i="1" a="1"/>
  <c r="AL125" i="1" a="1"/>
  <c r="AP125" i="1" a="1"/>
  <c r="AT125" i="1" a="1"/>
  <c r="AX125" i="1" a="1"/>
  <c r="AN126" i="1" a="1"/>
  <c r="AR126" i="1" a="1"/>
  <c r="AV126" i="1" a="1"/>
  <c r="AL127" i="1" a="1"/>
  <c r="AP127" i="1" a="1"/>
  <c r="AT127" i="1" a="1"/>
  <c r="AX127" i="1" a="1"/>
  <c r="AR128" i="1" a="1"/>
  <c r="AV128" i="1" a="1"/>
  <c r="AP129" i="1" a="1"/>
  <c r="AN130" i="1" a="1"/>
  <c r="AV130" i="1" a="1"/>
  <c r="AP131" i="1" a="1"/>
  <c r="AN132" i="1" a="1"/>
  <c r="AL133" i="1" a="1"/>
  <c r="AX133" i="1" a="1"/>
  <c r="AR134" i="1" a="1"/>
  <c r="AL135" i="1" a="1"/>
  <c r="AT135" i="1" a="1"/>
  <c r="AN136" i="1" a="1"/>
  <c r="AR136" i="1" a="1"/>
  <c r="AP134" i="1" a="1"/>
  <c r="AL136" i="1" a="1"/>
  <c r="AQ122" i="1" a="1"/>
  <c r="AO123" i="1" a="1"/>
  <c r="AO125" i="1" a="1"/>
  <c r="AY126" i="1" a="1"/>
  <c r="AM125" i="1" a="1"/>
  <c r="AO128" i="1" a="1"/>
  <c r="AM129" i="1" a="1"/>
  <c r="AU129" i="1" a="1"/>
  <c r="AO130" i="1" a="1"/>
  <c r="AW130" i="1" a="1"/>
  <c r="AQ131" i="1" a="1"/>
  <c r="AY131" i="1" a="1"/>
  <c r="AW132" i="1" a="1"/>
  <c r="AQ133" i="1" a="1"/>
  <c r="AY133" i="1" a="1"/>
  <c r="AO134" i="1" a="1"/>
  <c r="AM135" i="1" a="1"/>
  <c r="AU135" i="1" a="1"/>
  <c r="AO136" i="1" a="1"/>
  <c r="AW136" i="1" a="1"/>
  <c r="AT132" i="1" a="1"/>
  <c r="AV133" i="1" a="1"/>
  <c r="AX134" i="1" a="1"/>
  <c r="AX136" i="1" a="1"/>
  <c r="AS121" i="1" a="1"/>
  <c r="AM124" i="1" a="1"/>
  <c r="AQ126" i="1" a="1"/>
  <c r="AW127" i="1" a="1"/>
  <c r="AM121" i="1" a="1"/>
  <c r="AQ121" i="1" a="1"/>
  <c r="AU121" i="1" a="1"/>
  <c r="AY121" i="1" a="1"/>
  <c r="AO122" i="1" a="1"/>
  <c r="AS122" i="1" a="1"/>
  <c r="AW122" i="1" a="1"/>
  <c r="AM123" i="1" a="1"/>
  <c r="AQ123" i="1" a="1"/>
  <c r="AU123" i="1" a="1"/>
  <c r="AY123" i="1" a="1"/>
  <c r="AO124" i="1" a="1"/>
  <c r="AS124" i="1" a="1"/>
  <c r="AW124" i="1" a="1"/>
  <c r="AQ125" i="1" a="1"/>
  <c r="AU125" i="1" a="1"/>
  <c r="AY125" i="1" a="1"/>
  <c r="AO126" i="1" a="1"/>
  <c r="AS126" i="1" a="1"/>
  <c r="AW126" i="1" a="1"/>
  <c r="AM127" i="1" a="1"/>
  <c r="AQ127" i="1" a="1"/>
  <c r="AU127" i="1" a="1"/>
  <c r="AY127" i="1" a="1"/>
  <c r="AS128" i="1" a="1"/>
  <c r="AW128" i="1" a="1"/>
  <c r="AQ129" i="1" a="1"/>
  <c r="AY129" i="1" a="1"/>
  <c r="AS130" i="1" a="1"/>
  <c r="AM131" i="1" a="1"/>
  <c r="AU131" i="1" a="1"/>
  <c r="AO132" i="1" a="1"/>
  <c r="AS132" i="1" a="1"/>
  <c r="AM133" i="1" a="1"/>
  <c r="AU133" i="1" a="1"/>
  <c r="AS134" i="1" a="1"/>
  <c r="AW134" i="1" a="1"/>
  <c r="AQ135" i="1" a="1"/>
  <c r="AY135" i="1" a="1"/>
  <c r="AS136" i="1" a="1"/>
  <c r="AL134" i="1" a="1"/>
  <c r="AV135" i="1" a="1"/>
  <c r="AW121" i="1" a="1"/>
  <c r="AS123" i="1" a="1"/>
  <c r="AQ124" i="1" a="1"/>
  <c r="AW125" i="1" a="1"/>
  <c r="AO127" i="1" a="1"/>
  <c r="AR121" i="1" a="1"/>
  <c r="AR123" i="1" a="1"/>
  <c r="AP124" i="1" a="1"/>
  <c r="AT124" i="1" a="1"/>
  <c r="AN125" i="1" a="1"/>
  <c r="AV125" i="1" a="1"/>
  <c r="AP126" i="1" a="1"/>
  <c r="AX126" i="1" a="1"/>
  <c r="AR127" i="1" a="1"/>
  <c r="AL128" i="1" a="1"/>
  <c r="AT128" i="1" a="1"/>
  <c r="AN129" i="1" a="1"/>
  <c r="AV129" i="1" a="1"/>
  <c r="AL130" i="1" a="1"/>
  <c r="AT130" i="1" a="1"/>
  <c r="AX130" i="1" a="1"/>
  <c r="AR131" i="1" a="1"/>
  <c r="AL132" i="1" a="1"/>
  <c r="AX132" i="1" a="1"/>
  <c r="AT134" i="1" a="1"/>
  <c r="AT136" i="1" a="1"/>
  <c r="AM122" i="1" a="1"/>
  <c r="AY122" i="1" a="1"/>
  <c r="AY124" i="1" a="1"/>
  <c r="AU126" i="1" a="1"/>
  <c r="AN121" i="1" a="1"/>
  <c r="AV121" i="1" a="1"/>
  <c r="AL122" i="1" a="1"/>
  <c r="AP122" i="1" a="1"/>
  <c r="AT122" i="1" a="1"/>
  <c r="AX122" i="1" a="1"/>
  <c r="AN123" i="1" a="1"/>
  <c r="AV123" i="1" a="1"/>
  <c r="AL124" i="1" a="1"/>
  <c r="AX124" i="1" a="1"/>
  <c r="AR125" i="1" a="1"/>
  <c r="AL126" i="1" a="1"/>
  <c r="AT126" i="1" a="1"/>
  <c r="AN127" i="1" a="1"/>
  <c r="AV127" i="1" a="1"/>
  <c r="AP128" i="1" a="1"/>
  <c r="AX128" i="1" a="1"/>
  <c r="AR129" i="1" a="1"/>
  <c r="AP130" i="1" a="1"/>
  <c r="AN131" i="1" a="1"/>
  <c r="AV131" i="1" a="1"/>
  <c r="AP132" i="1" a="1"/>
  <c r="AR133" i="1" a="1"/>
  <c r="AR135" i="1" a="1"/>
  <c r="AU122" i="1" a="1"/>
  <c r="AW123" i="1" a="1"/>
  <c r="AS125" i="1" a="1"/>
  <c r="AS127" i="1" a="1"/>
  <c r="AV124" i="1" a="1"/>
  <c r="AN128" i="1" a="1"/>
  <c r="AL129" i="1" a="1"/>
  <c r="AT129" i="1" a="1"/>
  <c r="AX129" i="1" a="1"/>
  <c r="AR130" i="1" a="1"/>
  <c r="AL131" i="1" a="1"/>
  <c r="AT131" i="1" a="1"/>
  <c r="AX131" i="1" a="1"/>
  <c r="AR132" i="1" a="1"/>
  <c r="AV132" i="1" a="1"/>
  <c r="AP133" i="1" a="1"/>
  <c r="AT133" i="1" a="1"/>
  <c r="AN134" i="1" a="1"/>
  <c r="AV134" i="1" a="1"/>
  <c r="AP135" i="1" a="1"/>
  <c r="AX135" i="1" a="1"/>
  <c r="AV136" i="1" a="1"/>
  <c r="AN133" i="1" a="1"/>
  <c r="AN135" i="1" a="1"/>
  <c r="AP136" i="1" a="1"/>
  <c r="AO121" i="1" a="1"/>
  <c r="AU124" i="1" a="1"/>
  <c r="AM126" i="1" a="1"/>
  <c r="AM128" i="1" a="1"/>
  <c r="AU128" i="1" a="1"/>
  <c r="AY130" i="1" a="1"/>
  <c r="AY128" i="1" a="1"/>
  <c r="AO131" i="1" a="1"/>
  <c r="AS133" i="1" a="1"/>
  <c r="AW135" i="1" a="1"/>
  <c r="AS131" i="1" a="1"/>
  <c r="AW133" i="1" a="1"/>
  <c r="AW131" i="1" a="1"/>
  <c r="AQ136" i="1" a="1"/>
  <c r="AY134" i="1" a="1"/>
  <c r="AO135" i="1" a="1"/>
  <c r="AO129" i="1" a="1"/>
  <c r="AM136" i="1" a="1"/>
  <c r="AQ130" i="1" a="1"/>
  <c r="AY132" i="1" a="1"/>
  <c r="AS135" i="1" a="1"/>
  <c r="AS129" i="1" a="1"/>
  <c r="AM134" i="1" a="1"/>
  <c r="AQ128" i="1" a="1"/>
  <c r="AW129" i="1" a="1"/>
  <c r="AM132" i="1" a="1"/>
  <c r="AQ134" i="1" a="1"/>
  <c r="AU136" i="1" a="1"/>
  <c r="AM130" i="1" a="1"/>
  <c r="AQ132" i="1" a="1"/>
  <c r="AU134" i="1" a="1"/>
  <c r="AY136" i="1" a="1"/>
  <c r="AU132" i="1" a="1"/>
  <c r="AU130" i="1" a="1"/>
  <c r="AO133" i="1" a="1"/>
  <c r="AY120" i="1" a="1"/>
  <c r="AX120" i="1" a="1"/>
  <c r="AW120" i="1" a="1"/>
  <c r="AV120" i="1" a="1"/>
  <c r="AU120" i="1" a="1"/>
  <c r="AT120" i="1" a="1"/>
  <c r="AS120" i="1" a="1"/>
  <c r="AR120" i="1" a="1"/>
  <c r="AQ120" i="1" a="1"/>
  <c r="AP120" i="1" a="1"/>
  <c r="AO120" i="1" a="1"/>
  <c r="AN120" i="1" a="1"/>
  <c r="AM120" i="1" a="1"/>
  <c r="AL120" i="1" a="1"/>
  <c r="AL97" i="1" a="1"/>
  <c r="AP97" i="1" a="1"/>
  <c r="AT97" i="1" a="1"/>
  <c r="AX97" i="1" a="1"/>
  <c r="AN98" i="1" a="1"/>
  <c r="AR98" i="1" a="1"/>
  <c r="AV98" i="1" a="1"/>
  <c r="AL99" i="1" a="1"/>
  <c r="AP99" i="1" a="1"/>
  <c r="AT99" i="1" a="1"/>
  <c r="AX99" i="1" a="1"/>
  <c r="AN100" i="1" a="1"/>
  <c r="AR100" i="1" a="1"/>
  <c r="AV100" i="1" a="1"/>
  <c r="AL101" i="1" a="1"/>
  <c r="AP101" i="1" a="1"/>
  <c r="AT101" i="1" a="1"/>
  <c r="AX101" i="1" a="1"/>
  <c r="AN102" i="1" a="1"/>
  <c r="AR102" i="1" a="1"/>
  <c r="AV102" i="1" a="1"/>
  <c r="AL103" i="1" a="1"/>
  <c r="AP103" i="1" a="1"/>
  <c r="AT103" i="1" a="1"/>
  <c r="AX103" i="1" a="1"/>
  <c r="AN104" i="1" a="1"/>
  <c r="AR104" i="1" a="1"/>
  <c r="AV104" i="1" a="1"/>
  <c r="AL105" i="1" a="1"/>
  <c r="AP105" i="1" a="1"/>
  <c r="AT105" i="1" a="1"/>
  <c r="AX105" i="1" a="1"/>
  <c r="AN106" i="1" a="1"/>
  <c r="AR106" i="1" a="1"/>
  <c r="AV106" i="1" a="1"/>
  <c r="AL107" i="1" a="1"/>
  <c r="AP107" i="1" a="1"/>
  <c r="AT107" i="1" a="1"/>
  <c r="AX107" i="1" a="1"/>
  <c r="AN108" i="1" a="1"/>
  <c r="AR108" i="1" a="1"/>
  <c r="AV108" i="1" a="1"/>
  <c r="AL109" i="1" a="1"/>
  <c r="AP109" i="1" a="1"/>
  <c r="AT109" i="1" a="1"/>
  <c r="AX109" i="1" a="1"/>
  <c r="AN110" i="1" a="1"/>
  <c r="AR110" i="1" a="1"/>
  <c r="AV110" i="1" a="1"/>
  <c r="AL111" i="1" a="1"/>
  <c r="AU97" i="1" a="1"/>
  <c r="AQ99" i="1" a="1"/>
  <c r="AO100" i="1" a="1"/>
  <c r="AW100" i="1" a="1"/>
  <c r="AQ101" i="1" a="1"/>
  <c r="AY101" i="1" a="1"/>
  <c r="AS102" i="1" a="1"/>
  <c r="AM103" i="1" a="1"/>
  <c r="AU103" i="1" a="1"/>
  <c r="AO104" i="1" a="1"/>
  <c r="AW104" i="1" a="1"/>
  <c r="AQ105" i="1" a="1"/>
  <c r="AY105" i="1" a="1"/>
  <c r="AS106" i="1" a="1"/>
  <c r="AM107" i="1" a="1"/>
  <c r="AU107" i="1" a="1"/>
  <c r="AO108" i="1" a="1"/>
  <c r="AM109" i="1" a="1"/>
  <c r="AU109" i="1" a="1"/>
  <c r="AO110" i="1" a="1"/>
  <c r="AW110" i="1" a="1"/>
  <c r="AQ111" i="1" a="1"/>
  <c r="AY111" i="1" a="1"/>
  <c r="AS112" i="1" a="1"/>
  <c r="AX112" i="1" a="1"/>
  <c r="AO103" i="1" a="1"/>
  <c r="AQ104" i="1" a="1"/>
  <c r="AS105" i="1" a="1"/>
  <c r="AQ106" i="1" a="1"/>
  <c r="AW107" i="1" a="1"/>
  <c r="AY108" i="1" a="1"/>
  <c r="AQ110" i="1" a="1"/>
  <c r="AW111" i="1" a="1"/>
  <c r="AM97" i="1" a="1"/>
  <c r="AQ97" i="1" a="1"/>
  <c r="AY97" i="1" a="1"/>
  <c r="AO98" i="1" a="1"/>
  <c r="AS98" i="1" a="1"/>
  <c r="AW98" i="1" a="1"/>
  <c r="AM99" i="1" a="1"/>
  <c r="AU99" i="1" a="1"/>
  <c r="AY99" i="1" a="1"/>
  <c r="AS100" i="1" a="1"/>
  <c r="AM101" i="1" a="1"/>
  <c r="AU101" i="1" a="1"/>
  <c r="AO102" i="1" a="1"/>
  <c r="AW102" i="1" a="1"/>
  <c r="AQ103" i="1" a="1"/>
  <c r="AY103" i="1" a="1"/>
  <c r="AS104" i="1" a="1"/>
  <c r="AM105" i="1" a="1"/>
  <c r="AU105" i="1" a="1"/>
  <c r="AO106" i="1" a="1"/>
  <c r="AW106" i="1" a="1"/>
  <c r="AQ107" i="1" a="1"/>
  <c r="AY107" i="1" a="1"/>
  <c r="AS108" i="1" a="1"/>
  <c r="AW108" i="1" a="1"/>
  <c r="AQ109" i="1" a="1"/>
  <c r="AY109" i="1" a="1"/>
  <c r="AS110" i="1" a="1"/>
  <c r="AM111" i="1" a="1"/>
  <c r="AU111" i="1" a="1"/>
  <c r="AO112" i="1" a="1"/>
  <c r="AW112" i="1" a="1"/>
  <c r="AM102" i="1" a="1"/>
  <c r="AS103" i="1" a="1"/>
  <c r="AY104" i="1" a="1"/>
  <c r="AM106" i="1" a="1"/>
  <c r="AO107" i="1" a="1"/>
  <c r="AU108" i="1" a="1"/>
  <c r="AW109" i="1" a="1"/>
  <c r="AS111" i="1" a="1"/>
  <c r="AY112" i="1" a="1"/>
  <c r="AP98" i="1" a="1"/>
  <c r="AT100" i="1" a="1"/>
  <c r="AV101" i="1" a="1"/>
  <c r="AP102" i="1" a="1"/>
  <c r="AT102" i="1" a="1"/>
  <c r="AN103" i="1" a="1"/>
  <c r="AL104" i="1" a="1"/>
  <c r="AT104" i="1" a="1"/>
  <c r="AN105" i="1" a="1"/>
  <c r="AV105" i="1" a="1"/>
  <c r="AP106" i="1" a="1"/>
  <c r="AX106" i="1" a="1"/>
  <c r="AR107" i="1" a="1"/>
  <c r="AL108" i="1" a="1"/>
  <c r="AT108" i="1" a="1"/>
  <c r="AN109" i="1" a="1"/>
  <c r="AV109" i="1" a="1"/>
  <c r="AP110" i="1" a="1"/>
  <c r="AX110" i="1" a="1"/>
  <c r="AR111" i="1" a="1"/>
  <c r="AL112" i="1" a="1"/>
  <c r="AP112" i="1" a="1"/>
  <c r="AU102" i="1" a="1"/>
  <c r="AW103" i="1" a="1"/>
  <c r="AO105" i="1" a="1"/>
  <c r="AU106" i="1" a="1"/>
  <c r="AM108" i="1" a="1"/>
  <c r="AO109" i="1" a="1"/>
  <c r="AU110" i="1" a="1"/>
  <c r="AQ112" i="1" a="1"/>
  <c r="AN97" i="1" a="1"/>
  <c r="AR97" i="1" a="1"/>
  <c r="AV97" i="1" a="1"/>
  <c r="AL98" i="1" a="1"/>
  <c r="AT98" i="1" a="1"/>
  <c r="AX98" i="1" a="1"/>
  <c r="AN99" i="1" a="1"/>
  <c r="AR99" i="1" a="1"/>
  <c r="AV99" i="1" a="1"/>
  <c r="AL100" i="1" a="1"/>
  <c r="AP100" i="1" a="1"/>
  <c r="AX100" i="1" a="1"/>
  <c r="AN101" i="1" a="1"/>
  <c r="AR101" i="1" a="1"/>
  <c r="AL102" i="1" a="1"/>
  <c r="AX102" i="1" a="1"/>
  <c r="AR103" i="1" a="1"/>
  <c r="AV103" i="1" a="1"/>
  <c r="AP104" i="1" a="1"/>
  <c r="AX104" i="1" a="1"/>
  <c r="AR105" i="1" a="1"/>
  <c r="AL106" i="1" a="1"/>
  <c r="AT106" i="1" a="1"/>
  <c r="AN107" i="1" a="1"/>
  <c r="AV107" i="1" a="1"/>
  <c r="AP108" i="1" a="1"/>
  <c r="AX108" i="1" a="1"/>
  <c r="AR109" i="1" a="1"/>
  <c r="AL110" i="1" a="1"/>
  <c r="AT110" i="1" a="1"/>
  <c r="AN111" i="1" a="1"/>
  <c r="AV111" i="1" a="1"/>
  <c r="AT112" i="1" a="1"/>
  <c r="AY102" i="1" a="1"/>
  <c r="AU104" i="1" a="1"/>
  <c r="AW105" i="1" a="1"/>
  <c r="AY106" i="1" a="1"/>
  <c r="AQ108" i="1" a="1"/>
  <c r="AS109" i="1" a="1"/>
  <c r="AY110" i="1" a="1"/>
  <c r="AU112" i="1" a="1"/>
  <c r="AM98" i="1" a="1"/>
  <c r="AY98" i="1" a="1"/>
  <c r="AO99" i="1" a="1"/>
  <c r="AS99" i="1" a="1"/>
  <c r="AW99" i="1" a="1"/>
  <c r="AM100" i="1" a="1"/>
  <c r="AQ100" i="1" a="1"/>
  <c r="AU100" i="1" a="1"/>
  <c r="AY100" i="1" a="1"/>
  <c r="AO101" i="1" a="1"/>
  <c r="AS101" i="1" a="1"/>
  <c r="AW101" i="1" a="1"/>
  <c r="AQ102" i="1" a="1"/>
  <c r="AM104" i="1" a="1"/>
  <c r="AS107" i="1" a="1"/>
  <c r="AM110" i="1" a="1"/>
  <c r="AM112" i="1" a="1"/>
  <c r="AO97" i="1" a="1"/>
  <c r="AS97" i="1" a="1"/>
  <c r="AW97" i="1" a="1"/>
  <c r="AQ98" i="1" a="1"/>
  <c r="AU98" i="1" a="1"/>
  <c r="AO111" i="1" a="1"/>
  <c r="AR112" i="1" a="1"/>
  <c r="AT111" i="1" a="1"/>
  <c r="AV112" i="1" a="1"/>
  <c r="AX111" i="1" a="1"/>
  <c r="AN112" i="1" a="1"/>
  <c r="AP111" i="1" a="1"/>
  <c r="AY96" i="1" a="1"/>
  <c r="AX96" i="1" a="1"/>
  <c r="AW96" i="1" a="1"/>
  <c r="AV96" i="1" a="1"/>
  <c r="AU96" i="1" a="1"/>
  <c r="AT96" i="1" a="1"/>
  <c r="AS96" i="1" a="1"/>
  <c r="AR96" i="1" a="1"/>
  <c r="AQ96" i="1" a="1"/>
  <c r="AP96" i="1" a="1"/>
  <c r="AO96" i="1" a="1"/>
  <c r="AN96" i="1" a="1"/>
  <c r="AM96" i="1" a="1"/>
  <c r="AL96" i="1" a="1"/>
  <c r="AL73" i="1" a="1"/>
  <c r="AP73" i="1" a="1"/>
  <c r="AT73" i="1" a="1"/>
  <c r="AX73" i="1" a="1"/>
  <c r="AN74" i="1" a="1"/>
  <c r="AR74" i="1" a="1"/>
  <c r="AV74" i="1" a="1"/>
  <c r="AL75" i="1" a="1"/>
  <c r="AP75" i="1" a="1"/>
  <c r="AT75" i="1" a="1"/>
  <c r="AX75" i="1" a="1"/>
  <c r="AN76" i="1" a="1"/>
  <c r="AR76" i="1" a="1"/>
  <c r="AV76" i="1" a="1"/>
  <c r="AL77" i="1" a="1"/>
  <c r="AP77" i="1" a="1"/>
  <c r="AT77" i="1" a="1"/>
  <c r="AX77" i="1" a="1"/>
  <c r="AN78" i="1" a="1"/>
  <c r="AR78" i="1" a="1"/>
  <c r="AV78" i="1" a="1"/>
  <c r="AL79" i="1" a="1"/>
  <c r="AP79" i="1" a="1"/>
  <c r="AT79" i="1" a="1"/>
  <c r="AX79" i="1" a="1"/>
  <c r="AN80" i="1" a="1"/>
  <c r="AR80" i="1" a="1"/>
  <c r="AV80" i="1" a="1"/>
  <c r="AL81" i="1" a="1"/>
  <c r="AP81" i="1" a="1"/>
  <c r="AT81" i="1" a="1"/>
  <c r="AX81" i="1" a="1"/>
  <c r="AN82" i="1" a="1"/>
  <c r="AR82" i="1" a="1"/>
  <c r="AV82" i="1" a="1"/>
  <c r="AL83" i="1" a="1"/>
  <c r="AP83" i="1" a="1"/>
  <c r="AT83" i="1" a="1"/>
  <c r="AX83" i="1" a="1"/>
  <c r="AN84" i="1" a="1"/>
  <c r="AR84" i="1" a="1"/>
  <c r="AV84" i="1" a="1"/>
  <c r="AL85" i="1" a="1"/>
  <c r="AP85" i="1" a="1"/>
  <c r="AT85" i="1" a="1"/>
  <c r="AX85" i="1" a="1"/>
  <c r="AN86" i="1" a="1"/>
  <c r="AR86" i="1" a="1"/>
  <c r="AV86" i="1" a="1"/>
  <c r="AL87" i="1" a="1"/>
  <c r="AP87" i="1" a="1"/>
  <c r="AT87" i="1" a="1"/>
  <c r="AX87" i="1" a="1"/>
  <c r="AU73" i="1" a="1"/>
  <c r="AU75" i="1" a="1"/>
  <c r="AO76" i="1" a="1"/>
  <c r="AW76" i="1" a="1"/>
  <c r="AQ77" i="1" a="1"/>
  <c r="AO78" i="1" a="1"/>
  <c r="AW78" i="1" a="1"/>
  <c r="AQ79" i="1" a="1"/>
  <c r="AY79" i="1" a="1"/>
  <c r="AS80" i="1" a="1"/>
  <c r="AM81" i="1" a="1"/>
  <c r="AU81" i="1" a="1"/>
  <c r="AO82" i="1" a="1"/>
  <c r="AW82" i="1" a="1"/>
  <c r="AQ83" i="1" a="1"/>
  <c r="AY83" i="1" a="1"/>
  <c r="AS84" i="1" a="1"/>
  <c r="AM85" i="1" a="1"/>
  <c r="AU85" i="1" a="1"/>
  <c r="AO86" i="1" a="1"/>
  <c r="AW86" i="1" a="1"/>
  <c r="AQ87" i="1" a="1"/>
  <c r="AY87" i="1" a="1"/>
  <c r="AS88" i="1" a="1"/>
  <c r="AM84" i="1" a="1"/>
  <c r="AW85" i="1" a="1"/>
  <c r="AO87" i="1" a="1"/>
  <c r="AQ88" i="1" a="1"/>
  <c r="AM73" i="1" a="1"/>
  <c r="AQ73" i="1" a="1"/>
  <c r="AY73" i="1" a="1"/>
  <c r="AO74" i="1" a="1"/>
  <c r="AS74" i="1" a="1"/>
  <c r="AW74" i="1" a="1"/>
  <c r="AM75" i="1" a="1"/>
  <c r="AQ75" i="1" a="1"/>
  <c r="AY75" i="1" a="1"/>
  <c r="AS76" i="1" a="1"/>
  <c r="AM77" i="1" a="1"/>
  <c r="AU77" i="1" a="1"/>
  <c r="AY77" i="1" a="1"/>
  <c r="AS78" i="1" a="1"/>
  <c r="AM79" i="1" a="1"/>
  <c r="AU79" i="1" a="1"/>
  <c r="AO80" i="1" a="1"/>
  <c r="AW80" i="1" a="1"/>
  <c r="AQ81" i="1" a="1"/>
  <c r="AY81" i="1" a="1"/>
  <c r="AS82" i="1" a="1"/>
  <c r="AM83" i="1" a="1"/>
  <c r="AU83" i="1" a="1"/>
  <c r="AO84" i="1" a="1"/>
  <c r="AW84" i="1" a="1"/>
  <c r="AQ85" i="1" a="1"/>
  <c r="AY85" i="1" a="1"/>
  <c r="AS86" i="1" a="1"/>
  <c r="AM87" i="1" a="1"/>
  <c r="AU87" i="1" a="1"/>
  <c r="AO88" i="1" a="1"/>
  <c r="AW88" i="1" a="1"/>
  <c r="AQ84" i="1" a="1"/>
  <c r="AS85" i="1" a="1"/>
  <c r="AY86" i="1" a="1"/>
  <c r="AW87" i="1" a="1"/>
  <c r="AY88" i="1" a="1"/>
  <c r="AT74" i="1" a="1"/>
  <c r="AX76" i="1" a="1"/>
  <c r="AV77" i="1" a="1"/>
  <c r="AP78" i="1" a="1"/>
  <c r="AX78" i="1" a="1"/>
  <c r="AR79" i="1" a="1"/>
  <c r="AL80" i="1" a="1"/>
  <c r="AT80" i="1" a="1"/>
  <c r="AN81" i="1" a="1"/>
  <c r="AV81" i="1" a="1"/>
  <c r="AP82" i="1" a="1"/>
  <c r="AX82" i="1" a="1"/>
  <c r="AR83" i="1" a="1"/>
  <c r="AL84" i="1" a="1"/>
  <c r="AT84" i="1" a="1"/>
  <c r="AN85" i="1" a="1"/>
  <c r="AV85" i="1" a="1"/>
  <c r="AP86" i="1" a="1"/>
  <c r="AX86" i="1" a="1"/>
  <c r="AR87" i="1" a="1"/>
  <c r="AL88" i="1" a="1"/>
  <c r="AT88" i="1" a="1"/>
  <c r="AS81" i="1" a="1"/>
  <c r="AU82" i="1" a="1"/>
  <c r="AO83" i="1" a="1"/>
  <c r="AU84" i="1" a="1"/>
  <c r="AO85" i="1" a="1"/>
  <c r="AU86" i="1" a="1"/>
  <c r="AM88" i="1" a="1"/>
  <c r="AN73" i="1" a="1"/>
  <c r="AR73" i="1" a="1"/>
  <c r="AV73" i="1" a="1"/>
  <c r="AL74" i="1" a="1"/>
  <c r="AP74" i="1" a="1"/>
  <c r="AX74" i="1" a="1"/>
  <c r="AN75" i="1" a="1"/>
  <c r="AR75" i="1" a="1"/>
  <c r="AV75" i="1" a="1"/>
  <c r="AL76" i="1" a="1"/>
  <c r="AP76" i="1" a="1"/>
  <c r="AT76" i="1" a="1"/>
  <c r="AN77" i="1" a="1"/>
  <c r="AR77" i="1" a="1"/>
  <c r="AL78" i="1" a="1"/>
  <c r="AT78" i="1" a="1"/>
  <c r="AN79" i="1" a="1"/>
  <c r="AV79" i="1" a="1"/>
  <c r="AP80" i="1" a="1"/>
  <c r="AX80" i="1" a="1"/>
  <c r="AR81" i="1" a="1"/>
  <c r="AL82" i="1" a="1"/>
  <c r="AT82" i="1" a="1"/>
  <c r="AN83" i="1" a="1"/>
  <c r="AV83" i="1" a="1"/>
  <c r="AP84" i="1" a="1"/>
  <c r="AX84" i="1" a="1"/>
  <c r="AR85" i="1" a="1"/>
  <c r="AL86" i="1" a="1"/>
  <c r="AT86" i="1" a="1"/>
  <c r="AN87" i="1" a="1"/>
  <c r="AV87" i="1" a="1"/>
  <c r="AP88" i="1" a="1"/>
  <c r="AX88" i="1" a="1"/>
  <c r="AW81" i="1" a="1"/>
  <c r="AQ82" i="1" a="1"/>
  <c r="AY82" i="1" a="1"/>
  <c r="AW83" i="1" a="1"/>
  <c r="AY84" i="1" a="1"/>
  <c r="AM86" i="1" a="1"/>
  <c r="AS87" i="1" a="1"/>
  <c r="AU88" i="1" a="1"/>
  <c r="AU74" i="1" a="1"/>
  <c r="AQ76" i="1" a="1"/>
  <c r="AY76" i="1" a="1"/>
  <c r="AS77" i="1" a="1"/>
  <c r="AO73" i="1" a="1"/>
  <c r="AS73" i="1" a="1"/>
  <c r="AW73" i="1" a="1"/>
  <c r="AM74" i="1" a="1"/>
  <c r="AQ74" i="1" a="1"/>
  <c r="AY74" i="1" a="1"/>
  <c r="AO75" i="1" a="1"/>
  <c r="AS75" i="1" a="1"/>
  <c r="AW75" i="1" a="1"/>
  <c r="AM76" i="1" a="1"/>
  <c r="AU76" i="1" a="1"/>
  <c r="AO77" i="1" a="1"/>
  <c r="AW77" i="1" a="1"/>
  <c r="AM78" i="1" a="1"/>
  <c r="AQ78" i="1" a="1"/>
  <c r="AU78" i="1" a="1"/>
  <c r="AY78" i="1" a="1"/>
  <c r="AO79" i="1" a="1"/>
  <c r="AS79" i="1" a="1"/>
  <c r="AW79" i="1" a="1"/>
  <c r="AM80" i="1" a="1"/>
  <c r="AQ80" i="1" a="1"/>
  <c r="AU80" i="1" a="1"/>
  <c r="AY80" i="1" a="1"/>
  <c r="AO81" i="1" a="1"/>
  <c r="AM82" i="1" a="1"/>
  <c r="AS83" i="1" a="1"/>
  <c r="AQ86" i="1" a="1"/>
  <c r="AN88" i="1" a="1"/>
  <c r="AV88" i="1" a="1"/>
  <c r="AR88" i="1" a="1"/>
  <c r="AY72" i="1" a="1"/>
  <c r="AX72" i="1" a="1"/>
  <c r="AW72" i="1" a="1"/>
  <c r="AV72" i="1" a="1"/>
  <c r="AU72" i="1" a="1"/>
  <c r="AT72" i="1" a="1"/>
  <c r="AS72" i="1" a="1"/>
  <c r="AR72" i="1" a="1"/>
  <c r="AQ72" i="1" a="1"/>
  <c r="AP72" i="1" a="1"/>
  <c r="AO72" i="1" a="1"/>
  <c r="AN72" i="1" a="1"/>
  <c r="AM72" i="1" a="1"/>
  <c r="AL72" i="1" a="1"/>
  <c r="AL49" i="1" a="1"/>
  <c r="AP49" i="1" a="1"/>
  <c r="AT49" i="1" a="1"/>
  <c r="AX49" i="1" a="1"/>
  <c r="AN50" i="1" a="1"/>
  <c r="AR50" i="1" a="1"/>
  <c r="AV50" i="1" a="1"/>
  <c r="AL51" i="1" a="1"/>
  <c r="AP51" i="1" a="1"/>
  <c r="AT51" i="1" a="1"/>
  <c r="AX51" i="1" a="1"/>
  <c r="AN52" i="1" a="1"/>
  <c r="AR52" i="1" a="1"/>
  <c r="AV52" i="1" a="1"/>
  <c r="AL53" i="1" a="1"/>
  <c r="AP53" i="1" a="1"/>
  <c r="AT53" i="1" a="1"/>
  <c r="AX53" i="1" a="1"/>
  <c r="AN54" i="1" a="1"/>
  <c r="AR54" i="1" a="1"/>
  <c r="AV54" i="1" a="1"/>
  <c r="AL55" i="1" a="1"/>
  <c r="AP55" i="1" a="1"/>
  <c r="AT55" i="1" a="1"/>
  <c r="AX55" i="1" a="1"/>
  <c r="AN56" i="1" a="1"/>
  <c r="AR56" i="1" a="1"/>
  <c r="AV56" i="1" a="1"/>
  <c r="AL57" i="1" a="1"/>
  <c r="AP57" i="1" a="1"/>
  <c r="AT57" i="1" a="1"/>
  <c r="AX57" i="1" a="1"/>
  <c r="AN58" i="1" a="1"/>
  <c r="AR58" i="1" a="1"/>
  <c r="AV58" i="1" a="1"/>
  <c r="AL59" i="1" a="1"/>
  <c r="AP59" i="1" a="1"/>
  <c r="AT59" i="1" a="1"/>
  <c r="AX59" i="1" a="1"/>
  <c r="AN60" i="1" a="1"/>
  <c r="AR60" i="1" a="1"/>
  <c r="AV60" i="1" a="1"/>
  <c r="AL61" i="1" a="1"/>
  <c r="AP61" i="1" a="1"/>
  <c r="AT61" i="1" a="1"/>
  <c r="AX61" i="1" a="1"/>
  <c r="AQ51" i="1" a="1"/>
  <c r="AM53" i="1" a="1"/>
  <c r="AY53" i="1" a="1"/>
  <c r="AS54" i="1" a="1"/>
  <c r="AM55" i="1" a="1"/>
  <c r="AU55" i="1" a="1"/>
  <c r="AO56" i="1" a="1"/>
  <c r="AW56" i="1" a="1"/>
  <c r="AQ57" i="1" a="1"/>
  <c r="AY57" i="1" a="1"/>
  <c r="AS58" i="1" a="1"/>
  <c r="AM59" i="1" a="1"/>
  <c r="AU59" i="1" a="1"/>
  <c r="AO60" i="1" a="1"/>
  <c r="AW60" i="1" a="1"/>
  <c r="AQ61" i="1" a="1"/>
  <c r="AO62" i="1" a="1"/>
  <c r="AW62" i="1" a="1"/>
  <c r="AQ63" i="1" a="1"/>
  <c r="AY63" i="1" a="1"/>
  <c r="AS64" i="1" a="1"/>
  <c r="AV63" i="1" a="1"/>
  <c r="AT64" i="1" a="1"/>
  <c r="AM58" i="1" a="1"/>
  <c r="AO59" i="1" a="1"/>
  <c r="AU60" i="1" a="1"/>
  <c r="AW61" i="1" a="1"/>
  <c r="AY62" i="1" a="1"/>
  <c r="AQ64" i="1" a="1"/>
  <c r="AM49" i="1" a="1"/>
  <c r="AQ49" i="1" a="1"/>
  <c r="AU49" i="1" a="1"/>
  <c r="AY49" i="1" a="1"/>
  <c r="AO50" i="1" a="1"/>
  <c r="AS50" i="1" a="1"/>
  <c r="AW50" i="1" a="1"/>
  <c r="AM51" i="1" a="1"/>
  <c r="AU51" i="1" a="1"/>
  <c r="AY51" i="1" a="1"/>
  <c r="AO52" i="1" a="1"/>
  <c r="AS52" i="1" a="1"/>
  <c r="AW52" i="1" a="1"/>
  <c r="AQ53" i="1" a="1"/>
  <c r="AU53" i="1" a="1"/>
  <c r="AO54" i="1" a="1"/>
  <c r="AW54" i="1" a="1"/>
  <c r="AQ55" i="1" a="1"/>
  <c r="AY55" i="1" a="1"/>
  <c r="AS56" i="1" a="1"/>
  <c r="AM57" i="1" a="1"/>
  <c r="AU57" i="1" a="1"/>
  <c r="AO58" i="1" a="1"/>
  <c r="AW58" i="1" a="1"/>
  <c r="AQ59" i="1" a="1"/>
  <c r="AY59" i="1" a="1"/>
  <c r="AS60" i="1" a="1"/>
  <c r="AM61" i="1" a="1"/>
  <c r="AU61" i="1" a="1"/>
  <c r="AY61" i="1" a="1"/>
  <c r="AS62" i="1" a="1"/>
  <c r="AM63" i="1" a="1"/>
  <c r="AU63" i="1" a="1"/>
  <c r="AO64" i="1" a="1"/>
  <c r="AW64" i="1" a="1"/>
  <c r="AP64" i="1" a="1"/>
  <c r="AS57" i="1" a="1"/>
  <c r="AY58" i="1" a="1"/>
  <c r="AM60" i="1" a="1"/>
  <c r="AS61" i="1" a="1"/>
  <c r="AU62" i="1" a="1"/>
  <c r="AW63" i="1" a="1"/>
  <c r="AT50" i="1" a="1"/>
  <c r="AX52" i="1" a="1"/>
  <c r="AV53" i="1" a="1"/>
  <c r="AT54" i="1" a="1"/>
  <c r="AN55" i="1" a="1"/>
  <c r="AV55" i="1" a="1"/>
  <c r="AP56" i="1" a="1"/>
  <c r="AX56" i="1" a="1"/>
  <c r="AR57" i="1" a="1"/>
  <c r="AL58" i="1" a="1"/>
  <c r="AT58" i="1" a="1"/>
  <c r="AN59" i="1" a="1"/>
  <c r="AV59" i="1" a="1"/>
  <c r="AP60" i="1" a="1"/>
  <c r="AX60" i="1" a="1"/>
  <c r="AR61" i="1" a="1"/>
  <c r="AL62" i="1" a="1"/>
  <c r="AT62" i="1" a="1"/>
  <c r="AX62" i="1" a="1"/>
  <c r="AR63" i="1" a="1"/>
  <c r="AL64" i="1" a="1"/>
  <c r="AW57" i="1" a="1"/>
  <c r="AS59" i="1" a="1"/>
  <c r="AY60" i="1" a="1"/>
  <c r="AM62" i="1" a="1"/>
  <c r="AO63" i="1" a="1"/>
  <c r="AU64" i="1" a="1"/>
  <c r="AN49" i="1" a="1"/>
  <c r="AR49" i="1" a="1"/>
  <c r="AV49" i="1" a="1"/>
  <c r="AL50" i="1" a="1"/>
  <c r="AP50" i="1" a="1"/>
  <c r="AX50" i="1" a="1"/>
  <c r="AN51" i="1" a="1"/>
  <c r="AR51" i="1" a="1"/>
  <c r="AV51" i="1" a="1"/>
  <c r="AL52" i="1" a="1"/>
  <c r="AP52" i="1" a="1"/>
  <c r="AT52" i="1" a="1"/>
  <c r="AN53" i="1" a="1"/>
  <c r="AR53" i="1" a="1"/>
  <c r="AL54" i="1" a="1"/>
  <c r="AP54" i="1" a="1"/>
  <c r="AX54" i="1" a="1"/>
  <c r="AR55" i="1" a="1"/>
  <c r="AL56" i="1" a="1"/>
  <c r="AT56" i="1" a="1"/>
  <c r="AN57" i="1" a="1"/>
  <c r="AV57" i="1" a="1"/>
  <c r="AP58" i="1" a="1"/>
  <c r="AX58" i="1" a="1"/>
  <c r="AR59" i="1" a="1"/>
  <c r="AL60" i="1" a="1"/>
  <c r="AT60" i="1" a="1"/>
  <c r="AN61" i="1" a="1"/>
  <c r="AV61" i="1" a="1"/>
  <c r="AP62" i="1" a="1"/>
  <c r="AN63" i="1" a="1"/>
  <c r="AX64" i="1" a="1"/>
  <c r="AQ60" i="1" a="1"/>
  <c r="AM64" i="1" a="1"/>
  <c r="AO49" i="1" a="1"/>
  <c r="AS49" i="1" a="1"/>
  <c r="AW49" i="1" a="1"/>
  <c r="AM50" i="1" a="1"/>
  <c r="AQ50" i="1" a="1"/>
  <c r="AU50" i="1" a="1"/>
  <c r="AY50" i="1" a="1"/>
  <c r="AO51" i="1" a="1"/>
  <c r="AS51" i="1" a="1"/>
  <c r="AW51" i="1" a="1"/>
  <c r="AM52" i="1" a="1"/>
  <c r="AQ52" i="1" a="1"/>
  <c r="AU52" i="1" a="1"/>
  <c r="AY52" i="1" a="1"/>
  <c r="AO53" i="1" a="1"/>
  <c r="AS53" i="1" a="1"/>
  <c r="AW53" i="1" a="1"/>
  <c r="AM54" i="1" a="1"/>
  <c r="AQ54" i="1" a="1"/>
  <c r="AU54" i="1" a="1"/>
  <c r="AY54" i="1" a="1"/>
  <c r="AO55" i="1" a="1"/>
  <c r="AS55" i="1" a="1"/>
  <c r="AW55" i="1" a="1"/>
  <c r="AM56" i="1" a="1"/>
  <c r="AQ56" i="1" a="1"/>
  <c r="AU56" i="1" a="1"/>
  <c r="AY56" i="1" a="1"/>
  <c r="AO57" i="1" a="1"/>
  <c r="AQ58" i="1" a="1"/>
  <c r="AU58" i="1" a="1"/>
  <c r="AW59" i="1" a="1"/>
  <c r="AO61" i="1" a="1"/>
  <c r="AQ62" i="1" a="1"/>
  <c r="AS63" i="1" a="1"/>
  <c r="AY64" i="1" a="1"/>
  <c r="AR62" i="1" a="1"/>
  <c r="AV62" i="1" a="1"/>
  <c r="AX63" i="1" a="1"/>
  <c r="AN64" i="1" a="1"/>
  <c r="AL63" i="1" a="1"/>
  <c r="AR64" i="1" a="1"/>
  <c r="AV64" i="1" a="1"/>
  <c r="AN62" i="1" a="1"/>
  <c r="AP63" i="1" a="1"/>
  <c r="AT63" i="1" a="1"/>
  <c r="AY48" i="1" a="1"/>
  <c r="AX48" i="1" a="1"/>
  <c r="AW48" i="1" a="1"/>
  <c r="AV48" i="1" a="1"/>
  <c r="AU48" i="1" a="1"/>
  <c r="AT48" i="1" a="1"/>
  <c r="AS48" i="1" a="1"/>
  <c r="AR48" i="1" a="1"/>
  <c r="AQ48" i="1" a="1"/>
  <c r="AP48" i="1" a="1"/>
  <c r="AO48" i="1" a="1"/>
  <c r="AN48" i="1" a="1"/>
  <c r="AM48" i="1" a="1"/>
  <c r="AL48" i="1" a="1"/>
  <c r="AL25" i="1" a="1"/>
  <c r="AP25" i="1" a="1"/>
  <c r="AT25" i="1" a="1"/>
  <c r="AX25" i="1" a="1"/>
  <c r="AN26" i="1" a="1"/>
  <c r="AR26" i="1" a="1"/>
  <c r="AV26" i="1" a="1"/>
  <c r="AL27" i="1" a="1"/>
  <c r="AP27" i="1" a="1"/>
  <c r="AT27" i="1" a="1"/>
  <c r="AX27" i="1" a="1"/>
  <c r="AN28" i="1" a="1"/>
  <c r="AR28" i="1" a="1"/>
  <c r="AV28" i="1" a="1"/>
  <c r="AL29" i="1" a="1"/>
  <c r="AP29" i="1" a="1"/>
  <c r="AT29" i="1" a="1"/>
  <c r="AX29" i="1" a="1"/>
  <c r="AN30" i="1" a="1"/>
  <c r="AR30" i="1" a="1"/>
  <c r="AV30" i="1" a="1"/>
  <c r="AL31" i="1" a="1"/>
  <c r="AP31" i="1" a="1"/>
  <c r="AT31" i="1" a="1"/>
  <c r="AX31" i="1" a="1"/>
  <c r="AN32" i="1" a="1"/>
  <c r="AR32" i="1" a="1"/>
  <c r="AV32" i="1" a="1"/>
  <c r="AL33" i="1" a="1"/>
  <c r="AP33" i="1" a="1"/>
  <c r="AT33" i="1" a="1"/>
  <c r="AX33" i="1" a="1"/>
  <c r="AN34" i="1" a="1"/>
  <c r="AR34" i="1" a="1"/>
  <c r="AV34" i="1" a="1"/>
  <c r="AL35" i="1" a="1"/>
  <c r="AP35" i="1" a="1"/>
  <c r="AT35" i="1" a="1"/>
  <c r="AX35" i="1" a="1"/>
  <c r="AN36" i="1" a="1"/>
  <c r="AR36" i="1" a="1"/>
  <c r="AV36" i="1" a="1"/>
  <c r="AL37" i="1" a="1"/>
  <c r="AP37" i="1" a="1"/>
  <c r="AT37" i="1" a="1"/>
  <c r="AX37" i="1" a="1"/>
  <c r="AN38" i="1" a="1"/>
  <c r="AR38" i="1" a="1"/>
  <c r="AV38" i="1" a="1"/>
  <c r="AL39" i="1" a="1"/>
  <c r="AY25" i="1" a="1"/>
  <c r="AM27" i="1" a="1"/>
  <c r="AU27" i="1" a="1"/>
  <c r="AY27" i="1" a="1"/>
  <c r="AS28" i="1" a="1"/>
  <c r="AW28" i="1" a="1"/>
  <c r="AQ29" i="1" a="1"/>
  <c r="AY29" i="1" a="1"/>
  <c r="AS30" i="1" a="1"/>
  <c r="AM31" i="1" a="1"/>
  <c r="AY31" i="1" a="1"/>
  <c r="AS32" i="1" a="1"/>
  <c r="AM33" i="1" a="1"/>
  <c r="AU33" i="1" a="1"/>
  <c r="AO34" i="1" a="1"/>
  <c r="AW34" i="1" a="1"/>
  <c r="AQ35" i="1" a="1"/>
  <c r="AY35" i="1" a="1"/>
  <c r="AS36" i="1" a="1"/>
  <c r="AM37" i="1" a="1"/>
  <c r="AU37" i="1" a="1"/>
  <c r="AO38" i="1" a="1"/>
  <c r="AM39" i="1" a="1"/>
  <c r="AU39" i="1" a="1"/>
  <c r="AO40" i="1" a="1"/>
  <c r="AW40" i="1" a="1"/>
  <c r="AY38" i="1" a="1"/>
  <c r="AY40" i="1" a="1"/>
  <c r="AM25" i="1" a="1"/>
  <c r="AQ25" i="1" a="1"/>
  <c r="AU25" i="1" a="1"/>
  <c r="AO26" i="1" a="1"/>
  <c r="AS26" i="1" a="1"/>
  <c r="AW26" i="1" a="1"/>
  <c r="AQ27" i="1" a="1"/>
  <c r="AO28" i="1" a="1"/>
  <c r="AM29" i="1" a="1"/>
  <c r="AU29" i="1" a="1"/>
  <c r="AO30" i="1" a="1"/>
  <c r="AW30" i="1" a="1"/>
  <c r="AQ31" i="1" a="1"/>
  <c r="AU31" i="1" a="1"/>
  <c r="AO32" i="1" a="1"/>
  <c r="AW32" i="1" a="1"/>
  <c r="AQ33" i="1" a="1"/>
  <c r="AY33" i="1" a="1"/>
  <c r="AS34" i="1" a="1"/>
  <c r="AM35" i="1" a="1"/>
  <c r="AU35" i="1" a="1"/>
  <c r="AO36" i="1" a="1"/>
  <c r="AW36" i="1" a="1"/>
  <c r="AQ37" i="1" a="1"/>
  <c r="AY37" i="1" a="1"/>
  <c r="AS38" i="1" a="1"/>
  <c r="AW38" i="1" a="1"/>
  <c r="AQ39" i="1" a="1"/>
  <c r="AY39" i="1" a="1"/>
  <c r="AS40" i="1" a="1"/>
  <c r="AQ38" i="1" a="1"/>
  <c r="AM40" i="1" a="1"/>
  <c r="AT26" i="1" a="1"/>
  <c r="AN29" i="1" a="1"/>
  <c r="AL30" i="1" a="1"/>
  <c r="AT30" i="1" a="1"/>
  <c r="AN31" i="1" a="1"/>
  <c r="AV31" i="1" a="1"/>
  <c r="AP32" i="1" a="1"/>
  <c r="AX32" i="1" a="1"/>
  <c r="AR33" i="1" a="1"/>
  <c r="AL34" i="1" a="1"/>
  <c r="AT34" i="1" a="1"/>
  <c r="AN35" i="1" a="1"/>
  <c r="AV35" i="1" a="1"/>
  <c r="AP36" i="1" a="1"/>
  <c r="AX36" i="1" a="1"/>
  <c r="AR37" i="1" a="1"/>
  <c r="AL38" i="1" a="1"/>
  <c r="AT38" i="1" a="1"/>
  <c r="AN39" i="1" a="1"/>
  <c r="AV39" i="1" a="1"/>
  <c r="AP40" i="1" a="1"/>
  <c r="AX40" i="1" a="1"/>
  <c r="AY34" i="1" a="1"/>
  <c r="AM36" i="1" a="1"/>
  <c r="AO37" i="1" a="1"/>
  <c r="AU38" i="1" a="1"/>
  <c r="AQ40" i="1" a="1"/>
  <c r="AN25" i="1" a="1"/>
  <c r="AR25" i="1" a="1"/>
  <c r="AV25" i="1" a="1"/>
  <c r="AL26" i="1" a="1"/>
  <c r="AP26" i="1" a="1"/>
  <c r="AX26" i="1" a="1"/>
  <c r="AN27" i="1" a="1"/>
  <c r="AR27" i="1" a="1"/>
  <c r="AV27" i="1" a="1"/>
  <c r="AL28" i="1" a="1"/>
  <c r="AP28" i="1" a="1"/>
  <c r="AT28" i="1" a="1"/>
  <c r="AX28" i="1" a="1"/>
  <c r="AR29" i="1" a="1"/>
  <c r="AV29" i="1" a="1"/>
  <c r="AP30" i="1" a="1"/>
  <c r="AX30" i="1" a="1"/>
  <c r="AR31" i="1" a="1"/>
  <c r="AL32" i="1" a="1"/>
  <c r="AT32" i="1" a="1"/>
  <c r="AN33" i="1" a="1"/>
  <c r="AV33" i="1" a="1"/>
  <c r="AP34" i="1" a="1"/>
  <c r="AX34" i="1" a="1"/>
  <c r="AR35" i="1" a="1"/>
  <c r="AL36" i="1" a="1"/>
  <c r="AT36" i="1" a="1"/>
  <c r="AN37" i="1" a="1"/>
  <c r="AV37" i="1" a="1"/>
  <c r="AP38" i="1" a="1"/>
  <c r="AX38" i="1" a="1"/>
  <c r="AR39" i="1" a="1"/>
  <c r="AL40" i="1" a="1"/>
  <c r="AT40" i="1" a="1"/>
  <c r="AU34" i="1" a="1"/>
  <c r="AW35" i="1" a="1"/>
  <c r="AY36" i="1" a="1"/>
  <c r="AM38" i="1" a="1"/>
  <c r="AW39" i="1" a="1"/>
  <c r="AO25" i="1" a="1"/>
  <c r="AS25" i="1" a="1"/>
  <c r="AW25" i="1" a="1"/>
  <c r="AM26" i="1" a="1"/>
  <c r="AQ26" i="1" a="1"/>
  <c r="AU26" i="1" a="1"/>
  <c r="AY26" i="1" a="1"/>
  <c r="AO27" i="1" a="1"/>
  <c r="AS27" i="1" a="1"/>
  <c r="AW27" i="1" a="1"/>
  <c r="AM28" i="1" a="1"/>
  <c r="AQ28" i="1" a="1"/>
  <c r="AU28" i="1" a="1"/>
  <c r="AY28" i="1" a="1"/>
  <c r="AS29" i="1" a="1"/>
  <c r="AW29" i="1" a="1"/>
  <c r="AM30" i="1" a="1"/>
  <c r="AQ30" i="1" a="1"/>
  <c r="AU30" i="1" a="1"/>
  <c r="AY30" i="1" a="1"/>
  <c r="AO31" i="1" a="1"/>
  <c r="AW31" i="1" a="1"/>
  <c r="AM32" i="1" a="1"/>
  <c r="AU32" i="1" a="1"/>
  <c r="AO33" i="1" a="1"/>
  <c r="AW33" i="1" a="1"/>
  <c r="AQ34" i="1" a="1"/>
  <c r="AO35" i="1" a="1"/>
  <c r="AQ36" i="1" a="1"/>
  <c r="AS37" i="1" a="1"/>
  <c r="AO39" i="1" a="1"/>
  <c r="AU40" i="1" a="1"/>
  <c r="AO29" i="1" a="1"/>
  <c r="AS31" i="1" a="1"/>
  <c r="AQ32" i="1" a="1"/>
  <c r="AY32" i="1" a="1"/>
  <c r="AS33" i="1" a="1"/>
  <c r="AM34" i="1" a="1"/>
  <c r="AS35" i="1" a="1"/>
  <c r="AU36" i="1" a="1"/>
  <c r="AW37" i="1" a="1"/>
  <c r="AS39" i="1" a="1"/>
  <c r="AN40" i="1" a="1"/>
  <c r="AV40" i="1" a="1"/>
  <c r="AT39" i="1" a="1"/>
  <c r="AP39" i="1" a="1"/>
  <c r="AX39" i="1" a="1"/>
  <c r="AR40" i="1" a="1"/>
  <c r="AY24" i="1" a="1"/>
  <c r="AX24" i="1" a="1"/>
  <c r="AW24" i="1" a="1"/>
  <c r="AV24" i="1" a="1"/>
  <c r="AU24" i="1" a="1"/>
  <c r="AT24" i="1" a="1"/>
  <c r="AS24" i="1" a="1"/>
  <c r="AR24" i="1" a="1"/>
  <c r="AQ24" i="1" a="1"/>
  <c r="AP24" i="1" a="1"/>
  <c r="AO24" i="1" a="1"/>
  <c r="AN24" i="1" a="1"/>
  <c r="AL24" i="1" a="1"/>
  <c r="T121" i="1" a="1"/>
  <c r="X123" i="1" a="1"/>
  <c r="AB125" i="1" a="1"/>
  <c r="AF127" i="1" a="1"/>
  <c r="V130" i="1" a="1"/>
  <c r="Z132" i="1" a="1"/>
  <c r="AD134" i="1" a="1"/>
  <c r="AB126" i="1" a="1"/>
  <c r="AD135" i="1" a="1"/>
  <c r="AE132" i="1" a="1"/>
  <c r="X126" i="1" a="1"/>
  <c r="Z135" i="1" a="1"/>
  <c r="AC121" i="1" a="1"/>
  <c r="AG123" i="1" a="1"/>
  <c r="W126" i="1" a="1"/>
  <c r="AA128" i="1" a="1"/>
  <c r="U131" i="1" a="1"/>
  <c r="AE134" i="1" a="1"/>
  <c r="X130" i="1" a="1"/>
  <c r="AE133" i="1" a="1"/>
  <c r="AB122" i="1" a="1"/>
  <c r="AF124" i="1" a="1"/>
  <c r="T132" i="1" a="1"/>
  <c r="AA133" i="1" a="1"/>
  <c r="AC122" i="1" a="1"/>
  <c r="AG124" i="1" a="1"/>
  <c r="W127" i="1" a="1"/>
  <c r="AA129" i="1" a="1"/>
  <c r="AG120" i="1" a="1"/>
  <c r="Y120" i="1" a="1"/>
  <c r="AB97" i="1" a="1"/>
  <c r="AF99" i="1" a="1"/>
  <c r="V102" i="1" a="1"/>
  <c r="Z104" i="1" a="1"/>
  <c r="AD106" i="1" a="1"/>
  <c r="T109" i="1" a="1"/>
  <c r="X111" i="1" a="1"/>
  <c r="Y97" i="1" a="1"/>
  <c r="AC99" i="1" a="1"/>
  <c r="AG101" i="1" a="1"/>
  <c r="W104" i="1" a="1"/>
  <c r="AA106" i="1" a="1"/>
  <c r="U109" i="1" a="1"/>
  <c r="AA112" i="1" a="1"/>
  <c r="V99" i="1" a="1"/>
  <c r="Z101" i="1" a="1"/>
  <c r="AD103" i="1" a="1"/>
  <c r="T106" i="1" a="1"/>
  <c r="X108" i="1" a="1"/>
  <c r="AB110" i="1" a="1"/>
  <c r="U108" i="1" a="1"/>
  <c r="Y112" i="1" a="1"/>
  <c r="AG98" i="1" a="1"/>
  <c r="W101" i="1" a="1"/>
  <c r="AE103" i="1" a="1"/>
  <c r="AC106" i="1" a="1"/>
  <c r="AA111" i="1" a="1"/>
  <c r="T112" i="1" a="1"/>
  <c r="AE96" i="1" a="1"/>
  <c r="W96" i="1" a="1"/>
  <c r="V74" i="1" a="1"/>
  <c r="Z76" i="1" a="1"/>
  <c r="AD78" i="1" a="1"/>
  <c r="T81" i="1" a="1"/>
  <c r="X83" i="1" a="1"/>
  <c r="AB85" i="1" a="1"/>
  <c r="AF87" i="1" a="1"/>
  <c r="W74" i="1" a="1"/>
  <c r="AA76" i="1" a="1"/>
  <c r="AE78" i="1" a="1"/>
  <c r="U81" i="1" a="1"/>
  <c r="Y83" i="1" a="1"/>
  <c r="AC85" i="1" a="1"/>
  <c r="AG87" i="1" a="1"/>
  <c r="V73" i="1" a="1"/>
  <c r="Z75" i="1" a="1"/>
  <c r="AD77" i="1" a="1"/>
  <c r="T80" i="1" a="1"/>
  <c r="X82" i="1" a="1"/>
  <c r="AF84" i="1" a="1"/>
  <c r="Z87" i="1" a="1"/>
  <c r="AG88" i="1" a="1"/>
  <c r="W75" i="1" a="1"/>
  <c r="AA77" i="1" a="1"/>
  <c r="AE79" i="1" a="1"/>
  <c r="U82" i="1" a="1"/>
  <c r="AC84" i="1" a="1"/>
  <c r="W87" i="1" a="1"/>
  <c r="AC72" i="1" a="1"/>
  <c r="U72" i="1" a="1"/>
  <c r="Z50" i="1" a="1"/>
  <c r="AD52" i="1" a="1"/>
  <c r="T55" i="1" a="1"/>
  <c r="X57" i="1" a="1"/>
  <c r="AB59" i="1" a="1"/>
  <c r="AF61" i="1" a="1"/>
  <c r="U57" i="1" a="1"/>
  <c r="AC61" i="1" a="1"/>
  <c r="W61" i="1" a="1"/>
  <c r="AA50" i="1" a="1"/>
  <c r="U53" i="1" a="1"/>
  <c r="Y57" i="1" a="1"/>
  <c r="AG61" i="1" a="1"/>
  <c r="U62" i="1" a="1"/>
  <c r="AB56" i="1" a="1"/>
  <c r="AF60" i="1" a="1"/>
  <c r="W57" i="1" a="1"/>
  <c r="AD49" i="1" a="1"/>
  <c r="X52" i="1" a="1"/>
  <c r="V55" i="1" a="1"/>
  <c r="AD59" i="1" a="1"/>
  <c r="AF64" i="1" a="1"/>
  <c r="AE49" i="1" a="1"/>
  <c r="U52" i="1" a="1"/>
  <c r="Y54" i="1" a="1"/>
  <c r="AC56" i="1" a="1"/>
  <c r="AC64" i="1" a="1"/>
  <c r="AD62" i="1" a="1"/>
  <c r="AB48" i="1" a="1"/>
  <c r="T48" i="1" a="1"/>
  <c r="T27" i="1" a="1"/>
  <c r="X29" i="1" a="1"/>
  <c r="AB31" i="1" a="1"/>
  <c r="AF33" i="1" a="1"/>
  <c r="V36" i="1" a="1"/>
  <c r="Z38" i="1" a="1"/>
  <c r="U25" i="1" a="1"/>
  <c r="X121" i="1" a="1"/>
  <c r="AB123" i="1" a="1"/>
  <c r="AF125" i="1" a="1"/>
  <c r="V128" i="1" a="1"/>
  <c r="Z130" i="1" a="1"/>
  <c r="AD132" i="1" a="1"/>
  <c r="T135" i="1" a="1"/>
  <c r="AB128" i="1" a="1"/>
  <c r="U130" i="1" a="1"/>
  <c r="Y133" i="1" a="1"/>
  <c r="V127" i="1" a="1"/>
  <c r="AB136" i="1" a="1"/>
  <c r="AG121" i="1" a="1"/>
  <c r="W124" i="1" a="1"/>
  <c r="AA126" i="1" a="1"/>
  <c r="U129" i="1" a="1"/>
  <c r="Y131" i="1" a="1"/>
  <c r="Y135" i="1" a="1"/>
  <c r="V131" i="1" a="1"/>
  <c r="W135" i="1" a="1"/>
  <c r="AF122" i="1" a="1"/>
  <c r="V125" i="1" a="1"/>
  <c r="V133" i="1" a="1"/>
  <c r="AG134" i="1" a="1"/>
  <c r="AG122" i="1" a="1"/>
  <c r="W125" i="1" a="1"/>
  <c r="AA127" i="1" a="1"/>
  <c r="AE129" i="1" a="1"/>
  <c r="AF120" i="1" a="1"/>
  <c r="X120" i="1" a="1"/>
  <c r="AF97" i="1" a="1"/>
  <c r="V100" i="1" a="1"/>
  <c r="Z102" i="1" a="1"/>
  <c r="AD104" i="1" a="1"/>
  <c r="T107" i="1" a="1"/>
  <c r="X109" i="1" a="1"/>
  <c r="AE108" i="1" a="1"/>
  <c r="AC97" i="1" a="1"/>
  <c r="AG99" i="1" a="1"/>
  <c r="W102" i="1" a="1"/>
  <c r="AA104" i="1" a="1"/>
  <c r="AE106" i="1" a="1"/>
  <c r="Y109" i="1" a="1"/>
  <c r="V97" i="1" a="1"/>
  <c r="Z99" i="1" a="1"/>
  <c r="AD101" i="1" a="1"/>
  <c r="T104" i="1" a="1"/>
  <c r="X106" i="1" a="1"/>
  <c r="AB108" i="1" a="1"/>
  <c r="AF110" i="1" a="1"/>
  <c r="AC108" i="1" a="1"/>
  <c r="AG112" i="1" a="1"/>
  <c r="W99" i="1" a="1"/>
  <c r="AA101" i="1" a="1"/>
  <c r="U104" i="1" a="1"/>
  <c r="W107" i="1" a="1"/>
  <c r="U112" i="1" a="1"/>
  <c r="AB111" i="1" a="1"/>
  <c r="AD96" i="1" a="1"/>
  <c r="V96" i="1" a="1"/>
  <c r="Z74" i="1" a="1"/>
  <c r="AD76" i="1" a="1"/>
  <c r="T79" i="1" a="1"/>
  <c r="X81" i="1" a="1"/>
  <c r="AB83" i="1" a="1"/>
  <c r="AF85" i="1" a="1"/>
  <c r="V88" i="1" a="1"/>
  <c r="AA74" i="1" a="1"/>
  <c r="AE76" i="1" a="1"/>
  <c r="U79" i="1" a="1"/>
  <c r="Y81" i="1" a="1"/>
  <c r="AC83" i="1" a="1"/>
  <c r="AG85" i="1" a="1"/>
  <c r="W88" i="1" a="1"/>
  <c r="Z73" i="1" a="1"/>
  <c r="AD75" i="1" a="1"/>
  <c r="T78" i="1" a="1"/>
  <c r="X80" i="1" a="1"/>
  <c r="AB82" i="1" a="1"/>
  <c r="V85" i="1" a="1"/>
  <c r="AD87" i="1" a="1"/>
  <c r="W73" i="1" a="1"/>
  <c r="AA75" i="1" a="1"/>
  <c r="AE77" i="1" a="1"/>
  <c r="U80" i="1" a="1"/>
  <c r="Y82" i="1" a="1"/>
  <c r="AG84" i="1" a="1"/>
  <c r="AE87" i="1" a="1"/>
  <c r="AB72" i="1" a="1"/>
  <c r="T72" i="1" a="1"/>
  <c r="AD50" i="1" a="1"/>
  <c r="T53" i="1" a="1"/>
  <c r="X55" i="1" a="1"/>
  <c r="AB57" i="1" a="1"/>
  <c r="AF59" i="1" a="1"/>
  <c r="Y51" i="1" a="1"/>
  <c r="AC57" i="1" a="1"/>
  <c r="W62" i="1" a="1"/>
  <c r="AC62" i="1" a="1"/>
  <c r="AE50" i="1" a="1"/>
  <c r="AC53" i="1" a="1"/>
  <c r="AG57" i="1" a="1"/>
  <c r="AA62" i="1" a="1"/>
  <c r="AE63" i="1" a="1"/>
  <c r="V57" i="1" a="1"/>
  <c r="Z61" i="1" a="1"/>
  <c r="AG58" i="1" a="1"/>
  <c r="T50" i="1" a="1"/>
  <c r="AB52" i="1" a="1"/>
  <c r="AD55" i="1" a="1"/>
  <c r="AB60" i="1" a="1"/>
  <c r="AE57" i="1" a="1"/>
  <c r="U50" i="1" a="1"/>
  <c r="Y52" i="1" a="1"/>
  <c r="AC54" i="1" a="1"/>
  <c r="AG56" i="1" a="1"/>
  <c r="X63" i="1" a="1"/>
  <c r="AF63" i="1" a="1"/>
  <c r="AA48" i="1" a="1"/>
  <c r="T25" i="1" a="1"/>
  <c r="X27" i="1" a="1"/>
  <c r="AB121" i="1" a="1"/>
  <c r="AF123" i="1" a="1"/>
  <c r="V126" i="1" a="1"/>
  <c r="Z128" i="1" a="1"/>
  <c r="AD130" i="1" a="1"/>
  <c r="T133" i="1" a="1"/>
  <c r="X135" i="1" a="1"/>
  <c r="Z129" i="1" a="1"/>
  <c r="AE131" i="1" a="1"/>
  <c r="AG133" i="1" a="1"/>
  <c r="AD127" i="1" a="1"/>
  <c r="W131" i="1" a="1"/>
  <c r="W122" i="1" a="1"/>
  <c r="AA124" i="1" a="1"/>
  <c r="AE126" i="1" a="1"/>
  <c r="Y129" i="1" a="1"/>
  <c r="AG131" i="1" a="1"/>
  <c r="AG135" i="1" a="1"/>
  <c r="X132" i="1" a="1"/>
  <c r="Y136" i="1" a="1"/>
  <c r="V123" i="1" a="1"/>
  <c r="Z125" i="1" a="1"/>
  <c r="T134" i="1" a="1"/>
  <c r="U136" i="1" a="1"/>
  <c r="W123" i="1" a="1"/>
  <c r="AA125" i="1" a="1"/>
  <c r="AE127" i="1" a="1"/>
  <c r="Y130" i="1" a="1"/>
  <c r="AE120" i="1" a="1"/>
  <c r="W120" i="1" a="1"/>
  <c r="V98" i="1" a="1"/>
  <c r="Z100" i="1" a="1"/>
  <c r="AD102" i="1" a="1"/>
  <c r="T105" i="1" a="1"/>
  <c r="X107" i="1" a="1"/>
  <c r="AB109" i="1" a="1"/>
  <c r="AA110" i="1" a="1"/>
  <c r="AG97" i="1" a="1"/>
  <c r="W100" i="1" a="1"/>
  <c r="AA102" i="1" a="1"/>
  <c r="AE104" i="1" a="1"/>
  <c r="U107" i="1" a="1"/>
  <c r="AC109" i="1" a="1"/>
  <c r="Z97" i="1" a="1"/>
  <c r="AD99" i="1" a="1"/>
  <c r="T102" i="1" a="1"/>
  <c r="X104" i="1" a="1"/>
  <c r="AB106" i="1" a="1"/>
  <c r="AF108" i="1" a="1"/>
  <c r="V111" i="1" a="1"/>
  <c r="W109" i="1" a="1"/>
  <c r="W97" i="1" a="1"/>
  <c r="AA99" i="1" a="1"/>
  <c r="AE101" i="1" a="1"/>
  <c r="Y104" i="1" a="1"/>
  <c r="AE107" i="1" a="1"/>
  <c r="AC112" i="1" a="1"/>
  <c r="V112" i="1" a="1"/>
  <c r="AC96" i="1" a="1"/>
  <c r="U96" i="1" a="1"/>
  <c r="AD74" i="1" a="1"/>
  <c r="T77" i="1" a="1"/>
  <c r="X79" i="1" a="1"/>
  <c r="AB81" i="1" a="1"/>
  <c r="AF83" i="1" a="1"/>
  <c r="V86" i="1" a="1"/>
  <c r="Z88" i="1" a="1"/>
  <c r="AE74" i="1" a="1"/>
  <c r="U77" i="1" a="1"/>
  <c r="Y79" i="1" a="1"/>
  <c r="AC81" i="1" a="1"/>
  <c r="AG83" i="1" a="1"/>
  <c r="W86" i="1" a="1"/>
  <c r="AA88" i="1" a="1"/>
  <c r="AD73" i="1" a="1"/>
  <c r="T76" i="1" a="1"/>
  <c r="X78" i="1" a="1"/>
  <c r="AB80" i="1" a="1"/>
  <c r="AF82" i="1" a="1"/>
  <c r="Z85" i="1" a="1"/>
  <c r="X88" i="1" a="1"/>
  <c r="AA73" i="1" a="1"/>
  <c r="AE75" i="1" a="1"/>
  <c r="U78" i="1" a="1"/>
  <c r="Y80" i="1" a="1"/>
  <c r="AC82" i="1" a="1"/>
  <c r="W85" i="1" a="1"/>
  <c r="Y88" i="1" a="1"/>
  <c r="AA72" i="1" a="1"/>
  <c r="B72" i="1" a="1"/>
  <c r="T51" i="1" a="1"/>
  <c r="X53" i="1" a="1"/>
  <c r="AB55" i="1" a="1"/>
  <c r="AF57" i="1" a="1"/>
  <c r="V60" i="1" a="1"/>
  <c r="Y53" i="1" a="1"/>
  <c r="W58" i="1" a="1"/>
  <c r="AE62" i="1" a="1"/>
  <c r="U64" i="1" a="1"/>
  <c r="U51" i="1" a="1"/>
  <c r="AG53" i="1" a="1"/>
  <c r="AA58" i="1" a="1"/>
  <c r="U63" i="1" a="1"/>
  <c r="AG64" i="1" a="1"/>
  <c r="AD57" i="1" a="1"/>
  <c r="T62" i="1" a="1"/>
  <c r="U60" i="1" a="1"/>
  <c r="X50" i="1" a="1"/>
  <c r="AF52" i="1" a="1"/>
  <c r="X56" i="1" a="1"/>
  <c r="V61" i="1" a="1"/>
  <c r="W59" i="1" a="1"/>
  <c r="Y50" i="1" a="1"/>
  <c r="AC52" i="1" a="1"/>
  <c r="AG54" i="1" a="1"/>
  <c r="AA57" i="1" a="1"/>
  <c r="AD64" i="1" a="1"/>
  <c r="T63" i="1" a="1"/>
  <c r="Z48" i="1" a="1"/>
  <c r="X25" i="1" a="1"/>
  <c r="AB27" i="1" a="1"/>
  <c r="AF29" i="1" a="1"/>
  <c r="V32" i="1" a="1"/>
  <c r="Z34" i="1" a="1"/>
  <c r="AD36" i="1" a="1"/>
  <c r="V40" i="1" a="1"/>
  <c r="AC25" i="1" a="1"/>
  <c r="AF121" i="1" a="1"/>
  <c r="V124" i="1" a="1"/>
  <c r="Z126" i="1" a="1"/>
  <c r="AD128" i="1" a="1"/>
  <c r="T131" i="1" a="1"/>
  <c r="X133" i="1" a="1"/>
  <c r="AB135" i="1" a="1"/>
  <c r="AB130" i="1" a="1"/>
  <c r="AG132" i="1" a="1"/>
  <c r="AA134" i="1" a="1"/>
  <c r="AF128" i="1" a="1"/>
  <c r="W133" i="1" a="1"/>
  <c r="AA122" i="1" a="1"/>
  <c r="AE124" i="1" a="1"/>
  <c r="U127" i="1" a="1"/>
  <c r="AC129" i="1" a="1"/>
  <c r="W132" i="1" a="1"/>
  <c r="AA136" i="1" a="1"/>
  <c r="AD133" i="1" a="1"/>
  <c r="V121" i="1" a="1"/>
  <c r="Z123" i="1" a="1"/>
  <c r="T126" i="1" a="1"/>
  <c r="AF134" i="1" a="1"/>
  <c r="W121" i="1" a="1"/>
  <c r="AA123" i="1" a="1"/>
  <c r="AE125" i="1" a="1"/>
  <c r="U128" i="1" a="1"/>
  <c r="AA131" i="1" a="1"/>
  <c r="AD120" i="1" a="1"/>
  <c r="V120" i="1" a="1"/>
  <c r="Z98" i="1" a="1"/>
  <c r="AD100" i="1" a="1"/>
  <c r="T103" i="1" a="1"/>
  <c r="X105" i="1" a="1"/>
  <c r="AB107" i="1" a="1"/>
  <c r="AF109" i="1" a="1"/>
  <c r="U111" i="1" a="1"/>
  <c r="W98" i="1" a="1"/>
  <c r="AA100" i="1" a="1"/>
  <c r="AE102" i="1" a="1"/>
  <c r="U105" i="1" a="1"/>
  <c r="Y107" i="1" a="1"/>
  <c r="AG109" i="1" a="1"/>
  <c r="AD97" i="1" a="1"/>
  <c r="T100" i="1" a="1"/>
  <c r="X102" i="1" a="1"/>
  <c r="AB104" i="1" a="1"/>
  <c r="AF106" i="1" a="1"/>
  <c r="V109" i="1" a="1"/>
  <c r="Y102" i="1" a="1"/>
  <c r="AE109" i="1" a="1"/>
  <c r="AA97" i="1" a="1"/>
  <c r="AE99" i="1" a="1"/>
  <c r="U102" i="1" a="1"/>
  <c r="AC104" i="1" a="1"/>
  <c r="Y108" i="1" a="1"/>
  <c r="AF111" i="1" a="1"/>
  <c r="AD112" i="1" a="1"/>
  <c r="AB96" i="1" a="1"/>
  <c r="T96" i="1" a="1"/>
  <c r="T75" i="1" a="1"/>
  <c r="X77" i="1" a="1"/>
  <c r="AB79" i="1" a="1"/>
  <c r="AF81" i="1" a="1"/>
  <c r="V84" i="1" a="1"/>
  <c r="Z86" i="1" a="1"/>
  <c r="AD88" i="1" a="1"/>
  <c r="U75" i="1" a="1"/>
  <c r="Y77" i="1" a="1"/>
  <c r="AC79" i="1" a="1"/>
  <c r="AG81" i="1" a="1"/>
  <c r="W84" i="1" a="1"/>
  <c r="AA86" i="1" a="1"/>
  <c r="AE88" i="1" a="1"/>
  <c r="T74" i="1" a="1"/>
  <c r="X76" i="1" a="1"/>
  <c r="AB78" i="1" a="1"/>
  <c r="AF80" i="1" a="1"/>
  <c r="V83" i="1" a="1"/>
  <c r="AD85" i="1" a="1"/>
  <c r="AF88" i="1" a="1"/>
  <c r="AE73" i="1" a="1"/>
  <c r="U76" i="1" a="1"/>
  <c r="Y78" i="1" a="1"/>
  <c r="AC80" i="1" a="1"/>
  <c r="AG82" i="1" a="1"/>
  <c r="AA85" i="1" a="1"/>
  <c r="AC88" i="1" a="1"/>
  <c r="Z72" i="1" a="1"/>
  <c r="T49" i="1" a="1"/>
  <c r="X51" i="1" a="1"/>
  <c r="AB53" i="1" a="1"/>
  <c r="AF55" i="1" a="1"/>
  <c r="V58" i="1" a="1"/>
  <c r="Z60" i="1" a="1"/>
  <c r="W54" i="1" a="1"/>
  <c r="AE58" i="1" a="1"/>
  <c r="Y63" i="1" a="1"/>
  <c r="U49" i="1" a="1"/>
  <c r="AC51" i="1" a="1"/>
  <c r="AA54" i="1" a="1"/>
  <c r="U59" i="1" a="1"/>
  <c r="AC63" i="1" a="1"/>
  <c r="Z51" i="1" a="1"/>
  <c r="X58" i="1" a="1"/>
  <c r="AB62" i="1" a="1"/>
  <c r="AA61" i="1" a="1"/>
  <c r="AB50" i="1" a="1"/>
  <c r="V53" i="1" a="1"/>
  <c r="AF56" i="1" a="1"/>
  <c r="AD61" i="1" a="1"/>
  <c r="AC60" i="1" a="1"/>
  <c r="AC50" i="1" a="1"/>
  <c r="AG52" i="1" a="1"/>
  <c r="W55" i="1" a="1"/>
  <c r="AC58" i="1" a="1"/>
  <c r="V62" i="1" a="1"/>
  <c r="AG48" i="1" a="1"/>
  <c r="Y48" i="1" a="1"/>
  <c r="V122" i="1" a="1"/>
  <c r="Z124" i="1" a="1"/>
  <c r="AD126" i="1" a="1"/>
  <c r="T129" i="1" a="1"/>
  <c r="X131" i="1" a="1"/>
  <c r="AB133" i="1" a="1"/>
  <c r="AF135" i="1" a="1"/>
  <c r="AD131" i="1" a="1"/>
  <c r="U134" i="1" a="1"/>
  <c r="U135" i="1" a="1"/>
  <c r="T130" i="1" a="1"/>
  <c r="AC134" i="1" a="1"/>
  <c r="AE122" i="1" a="1"/>
  <c r="U125" i="1" a="1"/>
  <c r="Y127" i="1" a="1"/>
  <c r="AG129" i="1" a="1"/>
  <c r="AA132" i="1" a="1"/>
  <c r="AD125" i="1" a="1"/>
  <c r="V135" i="1" a="1"/>
  <c r="Z121" i="1" a="1"/>
  <c r="AD123" i="1" a="1"/>
  <c r="Z127" i="1" a="1"/>
  <c r="T136" i="1" a="1"/>
  <c r="AA121" i="1" a="1"/>
  <c r="AE123" i="1" a="1"/>
  <c r="U126" i="1" a="1"/>
  <c r="Y128" i="1" a="1"/>
  <c r="AC132" i="1" a="1"/>
  <c r="AC120" i="1" a="1"/>
  <c r="U120" i="1" a="1"/>
  <c r="AD98" i="1" a="1"/>
  <c r="T101" i="1" a="1"/>
  <c r="X103" i="1" a="1"/>
  <c r="AB105" i="1" a="1"/>
  <c r="AF107" i="1" a="1"/>
  <c r="V110" i="1" a="1"/>
  <c r="AC111" i="1" a="1"/>
  <c r="AA98" i="1" a="1"/>
  <c r="AE100" i="1" a="1"/>
  <c r="U103" i="1" a="1"/>
  <c r="Y105" i="1" a="1"/>
  <c r="AC107" i="1" a="1"/>
  <c r="W110" i="1" a="1"/>
  <c r="T98" i="1" a="1"/>
  <c r="X100" i="1" a="1"/>
  <c r="AB102" i="1" a="1"/>
  <c r="AF104" i="1" a="1"/>
  <c r="V107" i="1" a="1"/>
  <c r="Z109" i="1" a="1"/>
  <c r="W105" i="1" a="1"/>
  <c r="Y110" i="1" a="1"/>
  <c r="AE97" i="1" a="1"/>
  <c r="U100" i="1" a="1"/>
  <c r="AC102" i="1" a="1"/>
  <c r="AG104" i="1" a="1"/>
  <c r="AG108" i="1" a="1"/>
  <c r="Z111" i="1" a="1"/>
  <c r="AD111" i="1" a="1"/>
  <c r="AA96" i="1" a="1"/>
  <c r="T73" i="1" a="1"/>
  <c r="X75" i="1" a="1"/>
  <c r="AB77" i="1" a="1"/>
  <c r="AF79" i="1" a="1"/>
  <c r="V82" i="1" a="1"/>
  <c r="Z84" i="1" a="1"/>
  <c r="AD86" i="1" a="1"/>
  <c r="U73" i="1" a="1"/>
  <c r="Y75" i="1" a="1"/>
  <c r="AC77" i="1" a="1"/>
  <c r="AG79" i="1" a="1"/>
  <c r="W82" i="1" a="1"/>
  <c r="AA84" i="1" a="1"/>
  <c r="AE86" i="1" a="1"/>
  <c r="Z83" i="1" a="1"/>
  <c r="X74" i="1" a="1"/>
  <c r="AB76" i="1" a="1"/>
  <c r="AF78" i="1" a="1"/>
  <c r="V81" i="1" a="1"/>
  <c r="AD83" i="1" a="1"/>
  <c r="T86" i="1" a="1"/>
  <c r="AA83" i="1" a="1"/>
  <c r="U74" i="1" a="1"/>
  <c r="Y76" i="1" a="1"/>
  <c r="AC78" i="1" a="1"/>
  <c r="AG80" i="1" a="1"/>
  <c r="W83" i="1" a="1"/>
  <c r="AE85" i="1" a="1"/>
  <c r="AG72" i="1" a="1"/>
  <c r="Y72" i="1" a="1"/>
  <c r="X49" i="1" a="1"/>
  <c r="AB51" i="1" a="1"/>
  <c r="AF53" i="1" a="1"/>
  <c r="V56" i="1" a="1"/>
  <c r="Z58" i="1" a="1"/>
  <c r="AD60" i="1" a="1"/>
  <c r="AE54" i="1" a="1"/>
  <c r="Y59" i="1" a="1"/>
  <c r="AG63" i="1" a="1"/>
  <c r="Y49" i="1" a="1"/>
  <c r="AG51" i="1" a="1"/>
  <c r="U55" i="1" a="1"/>
  <c r="AC59" i="1" a="1"/>
  <c r="W64" i="1" a="1"/>
  <c r="T54" i="1" a="1"/>
  <c r="AF58" i="1" a="1"/>
  <c r="V63" i="1" a="1"/>
  <c r="AG62" i="1" a="1"/>
  <c r="AF50" i="1" a="1"/>
  <c r="Z53" i="1" a="1"/>
  <c r="Z57" i="1" a="1"/>
  <c r="X62" i="1" a="1"/>
  <c r="AE61" i="1" a="1"/>
  <c r="AG50" i="1" a="1"/>
  <c r="W53" i="1" a="1"/>
  <c r="AA55" i="1" a="1"/>
  <c r="AA59" i="1" a="1"/>
  <c r="Z64" i="1" a="1"/>
  <c r="AF48" i="1" a="1"/>
  <c r="X48" i="1" a="1"/>
  <c r="AF25" i="1" a="1"/>
  <c r="V28" i="1" a="1"/>
  <c r="Z30" i="1" a="1"/>
  <c r="AD32" i="1" a="1"/>
  <c r="T35" i="1" a="1"/>
  <c r="X37" i="1" a="1"/>
  <c r="AA38" i="1" a="1"/>
  <c r="W26" i="1" a="1"/>
  <c r="Z122" i="1" a="1"/>
  <c r="AD124" i="1" a="1"/>
  <c r="T127" i="1" a="1"/>
  <c r="X129" i="1" a="1"/>
  <c r="AB131" i="1" a="1"/>
  <c r="AF133" i="1" a="1"/>
  <c r="V136" i="1" a="1"/>
  <c r="AB132" i="1" a="1"/>
  <c r="AA135" i="1" a="1"/>
  <c r="AC135" i="1" a="1"/>
  <c r="Z131" i="1" a="1"/>
  <c r="AC136" i="1" a="1"/>
  <c r="U123" i="1" a="1"/>
  <c r="Y125" i="1" a="1"/>
  <c r="AC127" i="1" a="1"/>
  <c r="W130" i="1" a="1"/>
  <c r="U133" i="1" a="1"/>
  <c r="AF126" i="1" a="1"/>
  <c r="X136" i="1" a="1"/>
  <c r="AD121" i="1" a="1"/>
  <c r="T124" i="1" a="1"/>
  <c r="X128" i="1" a="1"/>
  <c r="AF136" i="1" a="1"/>
  <c r="AE121" i="1" a="1"/>
  <c r="U124" i="1" a="1"/>
  <c r="Y126" i="1" a="1"/>
  <c r="AC128" i="1" a="1"/>
  <c r="Y134" i="1" a="1"/>
  <c r="AB120" i="1" a="1"/>
  <c r="T120" i="1" a="1"/>
  <c r="T99" i="1" a="1"/>
  <c r="X101" i="1" a="1"/>
  <c r="AB103" i="1" a="1"/>
  <c r="AF105" i="1" a="1"/>
  <c r="V108" i="1" a="1"/>
  <c r="Z110" i="1" a="1"/>
  <c r="W112" i="1" a="1"/>
  <c r="AE98" i="1" a="1"/>
  <c r="U101" i="1" a="1"/>
  <c r="Y103" i="1" a="1"/>
  <c r="AC105" i="1" a="1"/>
  <c r="AG107" i="1" a="1"/>
  <c r="AE110" i="1" a="1"/>
  <c r="X98" i="1" a="1"/>
  <c r="AB100" i="1" a="1"/>
  <c r="AF102" i="1" a="1"/>
  <c r="V105" i="1" a="1"/>
  <c r="Z107" i="1" a="1"/>
  <c r="AD109" i="1" a="1"/>
  <c r="Y106" i="1" a="1"/>
  <c r="AG110" i="1" a="1"/>
  <c r="U98" i="1" a="1"/>
  <c r="Y100" i="1" a="1"/>
  <c r="AG102" i="1" a="1"/>
  <c r="AA105" i="1" a="1"/>
  <c r="AA109" i="1" a="1"/>
  <c r="AB112" i="1" a="1"/>
  <c r="AF112" i="1" a="1"/>
  <c r="Z96" i="1" a="1"/>
  <c r="X73" i="1" a="1"/>
  <c r="AB75" i="1" a="1"/>
  <c r="AF77" i="1" a="1"/>
  <c r="V80" i="1" a="1"/>
  <c r="Z82" i="1" a="1"/>
  <c r="AD84" i="1" a="1"/>
  <c r="T87" i="1" a="1"/>
  <c r="Y73" i="1" a="1"/>
  <c r="AC75" i="1" a="1"/>
  <c r="AG77" i="1" a="1"/>
  <c r="W80" i="1" a="1"/>
  <c r="AA82" i="1" a="1"/>
  <c r="AE84" i="1" a="1"/>
  <c r="U87" i="1" a="1"/>
  <c r="V87" i="1" a="1"/>
  <c r="AB74" i="1" a="1"/>
  <c r="AF76" i="1" a="1"/>
  <c r="V79" i="1" a="1"/>
  <c r="Z81" i="1" a="1"/>
  <c r="T84" i="1" a="1"/>
  <c r="X86" i="1" a="1"/>
  <c r="Y86" i="1" a="1"/>
  <c r="Y74" i="1" a="1"/>
  <c r="AC76" i="1" a="1"/>
  <c r="AG78" i="1" a="1"/>
  <c r="W81" i="1" a="1"/>
  <c r="AE83" i="1" a="1"/>
  <c r="U86" i="1" a="1"/>
  <c r="AF72" i="1" a="1"/>
  <c r="X72" i="1" a="1"/>
  <c r="AB49" i="1" a="1"/>
  <c r="AF51" i="1" a="1"/>
  <c r="V54" i="1" a="1"/>
  <c r="Z56" i="1" a="1"/>
  <c r="AD58" i="1" a="1"/>
  <c r="T61" i="1" a="1"/>
  <c r="Y55" i="1" a="1"/>
  <c r="AG59" i="1" a="1"/>
  <c r="AA64" i="1" a="1"/>
  <c r="AC49" i="1" a="1"/>
  <c r="W52" i="1" a="1"/>
  <c r="AC55" i="1" a="1"/>
  <c r="W60" i="1" a="1"/>
  <c r="AE64" i="1" a="1"/>
  <c r="AF54" i="1" a="1"/>
  <c r="Z59" i="1" a="1"/>
  <c r="AD63" i="1" a="1"/>
  <c r="Y64" i="1" a="1"/>
  <c r="V51" i="1" a="1"/>
  <c r="AD53" i="1" a="1"/>
  <c r="T58" i="1" a="1"/>
  <c r="AF62" i="1" a="1"/>
  <c r="W63" i="1" a="1"/>
  <c r="W51" i="1" a="1"/>
  <c r="AA53" i="1" a="1"/>
  <c r="AE55" i="1" a="1"/>
  <c r="AG60" i="1" a="1"/>
  <c r="V64" i="1" a="1"/>
  <c r="AE48" i="1" a="1"/>
  <c r="W48" i="1" a="1"/>
  <c r="V26" i="1" a="1"/>
  <c r="Z28" i="1" a="1"/>
  <c r="AD30" i="1" a="1"/>
  <c r="T33" i="1" a="1"/>
  <c r="X35" i="1" a="1"/>
  <c r="AB37" i="1" a="1"/>
  <c r="Y39" i="1" a="1"/>
  <c r="AA26" i="1" a="1"/>
  <c r="AD122" i="1" a="1"/>
  <c r="T125" i="1" a="1"/>
  <c r="X127" i="1" a="1"/>
  <c r="AB129" i="1" a="1"/>
  <c r="AF131" i="1" a="1"/>
  <c r="V134" i="1" a="1"/>
  <c r="Z136" i="1" a="1"/>
  <c r="Z133" i="1" a="1"/>
  <c r="AE128" i="1" a="1"/>
  <c r="W136" i="1" a="1"/>
  <c r="AF132" i="1" a="1"/>
  <c r="U121" i="1" a="1"/>
  <c r="Y123" i="1" a="1"/>
  <c r="AC125" i="1" a="1"/>
  <c r="AG127" i="1" a="1"/>
  <c r="AA130" i="1" a="1"/>
  <c r="AC133" i="1" a="1"/>
  <c r="T128" i="1" a="1"/>
  <c r="AG130" i="1" a="1"/>
  <c r="T122" i="1" a="1"/>
  <c r="X124" i="1" a="1"/>
  <c r="AD129" i="1" a="1"/>
  <c r="AC130" i="1" a="1"/>
  <c r="U122" i="1" a="1"/>
  <c r="Y124" i="1" a="1"/>
  <c r="AC126" i="1" a="1"/>
  <c r="AG128" i="1" a="1"/>
  <c r="AE135" i="1" a="1"/>
  <c r="AA120" i="1" a="1"/>
  <c r="T97" i="1" a="1"/>
  <c r="X99" i="1" a="1"/>
  <c r="AB101" i="1" a="1"/>
  <c r="AF103" i="1" a="1"/>
  <c r="V106" i="1" a="1"/>
  <c r="Z108" i="1" a="1"/>
  <c r="AD110" i="1" a="1"/>
  <c r="AE112" i="1" a="1"/>
  <c r="U99" i="1" a="1"/>
  <c r="Y101" i="1" a="1"/>
  <c r="AC103" i="1" a="1"/>
  <c r="AG105" i="1" a="1"/>
  <c r="W108" i="1" a="1"/>
  <c r="Y111" i="1" a="1"/>
  <c r="AB98" i="1" a="1"/>
  <c r="AF100" i="1" a="1"/>
  <c r="V103" i="1" a="1"/>
  <c r="Z105" i="1" a="1"/>
  <c r="AD107" i="1" a="1"/>
  <c r="T110" i="1" a="1"/>
  <c r="AG106" i="1" a="1"/>
  <c r="W111" i="1" a="1"/>
  <c r="Y98" i="1" a="1"/>
  <c r="AC100" i="1" a="1"/>
  <c r="W103" i="1" a="1"/>
  <c r="AE105" i="1" a="1"/>
  <c r="U110" i="1" a="1"/>
  <c r="X112" i="1" a="1"/>
  <c r="AG96" i="1" a="1"/>
  <c r="Y96" i="1" a="1"/>
  <c r="AB73" i="1" a="1"/>
  <c r="AF75" i="1" a="1"/>
  <c r="V78" i="1" a="1"/>
  <c r="Z80" i="1" a="1"/>
  <c r="AD82" i="1" a="1"/>
  <c r="T85" i="1" a="1"/>
  <c r="X87" i="1" a="1"/>
  <c r="AC73" i="1" a="1"/>
  <c r="AG75" i="1" a="1"/>
  <c r="W78" i="1" a="1"/>
  <c r="AA80" i="1" a="1"/>
  <c r="AE82" i="1" a="1"/>
  <c r="U85" i="1" a="1"/>
  <c r="Y87" i="1" a="1"/>
  <c r="T88" i="1" a="1"/>
  <c r="AF74" i="1" a="1"/>
  <c r="V77" i="1" a="1"/>
  <c r="Z79" i="1" a="1"/>
  <c r="AD81" i="1" a="1"/>
  <c r="X84" i="1" a="1"/>
  <c r="AB86" i="1" a="1"/>
  <c r="AA87" i="1" a="1"/>
  <c r="AC74" i="1" a="1"/>
  <c r="AG76" i="1" a="1"/>
  <c r="W79" i="1" a="1"/>
  <c r="AA81" i="1" a="1"/>
  <c r="U84" i="1" a="1"/>
  <c r="AC86" i="1" a="1"/>
  <c r="AE72" i="1" a="1"/>
  <c r="W72" i="1" a="1"/>
  <c r="AF49" i="1" a="1"/>
  <c r="V52" i="1" a="1"/>
  <c r="Z54" i="1" a="1"/>
  <c r="AD56" i="1" a="1"/>
  <c r="T59" i="1" a="1"/>
  <c r="X61" i="1" a="1"/>
  <c r="AG55" i="1" a="1"/>
  <c r="AA60" i="1" a="1"/>
  <c r="U58" i="1" a="1"/>
  <c r="AG49" i="1" a="1"/>
  <c r="AA52" i="1" a="1"/>
  <c r="W56" i="1" a="1"/>
  <c r="AE60" i="1" a="1"/>
  <c r="Y58" i="1" a="1"/>
  <c r="Z55" i="1" a="1"/>
  <c r="T60" i="1" a="1"/>
  <c r="T64" i="1" a="1"/>
  <c r="V49" i="1" a="1"/>
  <c r="AD51" i="1" a="1"/>
  <c r="X54" i="1" a="1"/>
  <c r="AB58" i="1" a="1"/>
  <c r="Z63" i="1" a="1"/>
  <c r="W49" i="1" a="1"/>
  <c r="AA51" i="1" a="1"/>
  <c r="AE53" i="1" a="1"/>
  <c r="U56" i="1" a="1"/>
  <c r="Y62" i="1" a="1"/>
  <c r="Z62" i="1" a="1"/>
  <c r="AD48" i="1" a="1"/>
  <c r="V48" i="1" a="1"/>
  <c r="Z26" i="1" a="1"/>
  <c r="AD28" i="1" a="1"/>
  <c r="T31" i="1" a="1"/>
  <c r="X33" i="1" a="1"/>
  <c r="AB35" i="1" a="1"/>
  <c r="AF37" i="1" a="1"/>
  <c r="AG39" i="1" a="1"/>
  <c r="AE26" i="1" a="1"/>
  <c r="T123" i="1" a="1"/>
  <c r="AC131" i="1" a="1"/>
  <c r="W134" i="1" a="1"/>
  <c r="AC124" i="1" a="1"/>
  <c r="V104" i="1" a="1"/>
  <c r="W106" i="1" a="1"/>
  <c r="X110" i="1" a="1"/>
  <c r="Z112" i="1" a="1"/>
  <c r="X85" i="1" a="1"/>
  <c r="AC87" i="1" a="1"/>
  <c r="U88" i="1" a="1"/>
  <c r="V72" i="1" a="1"/>
  <c r="U61" i="1" a="1"/>
  <c r="X60" i="1" a="1"/>
  <c r="AE51" i="1" a="1"/>
  <c r="AD26" i="1" a="1"/>
  <c r="AB33" i="1" a="1"/>
  <c r="AE36" i="1" a="1"/>
  <c r="W28" i="1" a="1"/>
  <c r="AA30" i="1" a="1"/>
  <c r="AE32" i="1" a="1"/>
  <c r="U35" i="1" a="1"/>
  <c r="AC37" i="1" a="1"/>
  <c r="V29" i="1" a="1"/>
  <c r="Z35" i="1" a="1"/>
  <c r="T40" i="1" a="1"/>
  <c r="X28" i="1" a="1"/>
  <c r="AF30" i="1" a="1"/>
  <c r="V35" i="1" a="1"/>
  <c r="AD39" i="1" a="1"/>
  <c r="Y34" i="1" a="1"/>
  <c r="U40" i="1" a="1"/>
  <c r="AG26" i="1" a="1"/>
  <c r="AA29" i="1" a="1"/>
  <c r="AE31" i="1" a="1"/>
  <c r="AG34" i="1" a="1"/>
  <c r="AG38" i="1" a="1"/>
  <c r="AE24" i="1" a="1"/>
  <c r="W24" i="1" a="1"/>
  <c r="G127" i="1" a="1"/>
  <c r="E132" i="1" a="1"/>
  <c r="N136" i="1" a="1"/>
  <c r="J133" i="1" a="1"/>
  <c r="M122" i="1" a="1"/>
  <c r="G125" i="1" a="1"/>
  <c r="I128" i="1" a="1"/>
  <c r="C133" i="1" a="1"/>
  <c r="M127" i="1" a="1"/>
  <c r="D134" i="1" a="1"/>
  <c r="D129" i="1" a="1"/>
  <c r="L133" i="1" a="1"/>
  <c r="E131" i="1" a="1"/>
  <c r="H121" i="1" a="1"/>
  <c r="B124" i="1" a="1"/>
  <c r="N126" i="1" a="1"/>
  <c r="D131" i="1" a="1"/>
  <c r="L135" i="1" a="1"/>
  <c r="B133" i="1" a="1"/>
  <c r="K122" i="1" a="1"/>
  <c r="O124" i="1" a="1"/>
  <c r="E127" i="1" a="1"/>
  <c r="M135" i="1" a="1"/>
  <c r="N121" i="1" a="1"/>
  <c r="D124" i="1" a="1"/>
  <c r="H126" i="1" a="1"/>
  <c r="L128" i="1" a="1"/>
  <c r="B131" i="1" a="1"/>
  <c r="M120" i="1" a="1"/>
  <c r="E120" i="1" a="1"/>
  <c r="D98" i="1" a="1"/>
  <c r="H100" i="1" a="1"/>
  <c r="L102" i="1" a="1"/>
  <c r="F105" i="1" a="1"/>
  <c r="N109" i="1" a="1"/>
  <c r="C110" i="1" a="1"/>
  <c r="I106" i="1" a="1"/>
  <c r="C111" i="1" a="1"/>
  <c r="M111" i="1" a="1"/>
  <c r="C99" i="1" a="1"/>
  <c r="K101" i="1" a="1"/>
  <c r="M104" i="1" a="1"/>
  <c r="C109" i="1" a="1"/>
  <c r="C102" i="1" a="1"/>
  <c r="H103" i="1" a="1"/>
  <c r="F108" i="1" a="1"/>
  <c r="N112" i="1" a="1"/>
  <c r="D97" i="1" a="1"/>
  <c r="H99" i="1" a="1"/>
  <c r="B102" i="1" a="1"/>
  <c r="B106" i="1" a="1"/>
  <c r="F110" i="1" a="1"/>
  <c r="G104" i="1" a="1"/>
  <c r="C98" i="1" a="1"/>
  <c r="O100" i="1" a="1"/>
  <c r="O112" i="1" a="1"/>
  <c r="B109" i="1" a="1"/>
  <c r="K106" i="1" a="1"/>
  <c r="K96" i="1" a="1"/>
  <c r="C96" i="1" a="1"/>
  <c r="L74" i="1" a="1"/>
  <c r="B77" i="1" a="1"/>
  <c r="F79" i="1" a="1"/>
  <c r="J81" i="1" a="1"/>
  <c r="N83" i="1" a="1"/>
  <c r="I76" i="1" a="1"/>
  <c r="G83" i="1" a="1"/>
  <c r="E88" i="1" a="1"/>
  <c r="E74" i="1" a="1"/>
  <c r="M76" i="1" a="1"/>
  <c r="G79" i="1" a="1"/>
  <c r="K83" i="1" a="1"/>
  <c r="O87" i="1" a="1"/>
  <c r="L81" i="1" a="1"/>
  <c r="F86" i="1" a="1"/>
  <c r="L73" i="1" a="1"/>
  <c r="B76" i="1" a="1"/>
  <c r="J78" i="1" a="1"/>
  <c r="J82" i="1" a="1"/>
  <c r="D87" i="1" a="1"/>
  <c r="C80" i="1" a="1"/>
  <c r="K84" i="1" a="1"/>
  <c r="L86" i="1" a="1"/>
  <c r="O74" i="1" a="1"/>
  <c r="I77" i="1" a="1"/>
  <c r="G80" i="1" a="1"/>
  <c r="O84" i="1" a="1"/>
  <c r="X125" i="1" a="1"/>
  <c r="AE136" i="1" a="1"/>
  <c r="V129" i="1" a="1"/>
  <c r="AG126" i="1" a="1"/>
  <c r="Z106" i="1" a="1"/>
  <c r="AA108" i="1" a="1"/>
  <c r="AA107" i="1" a="1"/>
  <c r="AF96" i="1" a="1"/>
  <c r="AB87" i="1" a="1"/>
  <c r="AB88" i="1" a="1"/>
  <c r="AG74" i="1" a="1"/>
  <c r="V50" i="1" a="1"/>
  <c r="AE59" i="1" a="1"/>
  <c r="AB64" i="1" a="1"/>
  <c r="U54" i="1" a="1"/>
  <c r="AF27" i="1" a="1"/>
  <c r="V34" i="1" a="1"/>
  <c r="AE40" i="1" a="1"/>
  <c r="AA28" i="1" a="1"/>
  <c r="AE30" i="1" a="1"/>
  <c r="U33" i="1" a="1"/>
  <c r="Y35" i="1" a="1"/>
  <c r="AG37" i="1" a="1"/>
  <c r="V31" i="1" a="1"/>
  <c r="T36" i="1" a="1"/>
  <c r="AB40" i="1" a="1"/>
  <c r="X26" i="1" a="1"/>
  <c r="AB28" i="1" a="1"/>
  <c r="Z31" i="1" a="1"/>
  <c r="AD35" i="1" a="1"/>
  <c r="X40" i="1" a="1"/>
  <c r="AA35" i="1" a="1"/>
  <c r="X39" i="1" a="1"/>
  <c r="W27" i="1" a="1"/>
  <c r="AE29" i="1" a="1"/>
  <c r="Y32" i="1" a="1"/>
  <c r="W35" i="1" a="1"/>
  <c r="AA39" i="1" a="1"/>
  <c r="AD24" i="1" a="1"/>
  <c r="V24" i="1" a="1"/>
  <c r="O127" i="1" a="1"/>
  <c r="M132" i="1" a="1"/>
  <c r="G128" i="1" a="1"/>
  <c r="N135" i="1" a="1"/>
  <c r="C123" i="1" a="1"/>
  <c r="K125" i="1" a="1"/>
  <c r="C129" i="1" a="1"/>
  <c r="K133" i="1" a="1"/>
  <c r="I129" i="1" a="1"/>
  <c r="J135" i="1" a="1"/>
  <c r="L129" i="1" a="1"/>
  <c r="F134" i="1" a="1"/>
  <c r="K132" i="1" a="1"/>
  <c r="L121" i="1" a="1"/>
  <c r="F124" i="1" a="1"/>
  <c r="H127" i="1" a="1"/>
  <c r="L131" i="1" a="1"/>
  <c r="F136" i="1" a="1"/>
  <c r="L134" i="1" a="1"/>
  <c r="O122" i="1" a="1"/>
  <c r="E125" i="1" a="1"/>
  <c r="I127" i="1" a="1"/>
  <c r="O136" i="1" a="1"/>
  <c r="D122" i="1" a="1"/>
  <c r="H124" i="1" a="1"/>
  <c r="L126" i="1" a="1"/>
  <c r="B129" i="1" a="1"/>
  <c r="F131" i="1" a="1"/>
  <c r="L120" i="1" a="1"/>
  <c r="D120" i="1" a="1"/>
  <c r="H98" i="1" a="1"/>
  <c r="L100" i="1" a="1"/>
  <c r="B103" i="1" a="1"/>
  <c r="J105" i="1" a="1"/>
  <c r="H110" i="1" a="1"/>
  <c r="C112" i="1" a="1"/>
  <c r="C107" i="1" a="1"/>
  <c r="K111" i="1" a="1"/>
  <c r="C97" i="1" a="1"/>
  <c r="G99" i="1" a="1"/>
  <c r="O101" i="1" a="1"/>
  <c r="C105" i="1" a="1"/>
  <c r="K109" i="1" a="1"/>
  <c r="K104" i="1" a="1"/>
  <c r="B104" i="1" a="1"/>
  <c r="N108" i="1" a="1"/>
  <c r="G100" i="1" a="1"/>
  <c r="H97" i="1" a="1"/>
  <c r="L99" i="1" a="1"/>
  <c r="F102" i="1" a="1"/>
  <c r="F106" i="1" a="1"/>
  <c r="N110" i="1" a="1"/>
  <c r="C106" i="1" a="1"/>
  <c r="G98" i="1" a="1"/>
  <c r="I101" i="1" a="1"/>
  <c r="H104" i="1" a="1"/>
  <c r="J109" i="1" a="1"/>
  <c r="O108" i="1" a="1"/>
  <c r="J96" i="1" a="1"/>
  <c r="B96" i="1" a="1"/>
  <c r="B75" i="1" a="1"/>
  <c r="F77" i="1" a="1"/>
  <c r="J79" i="1" a="1"/>
  <c r="N81" i="1" a="1"/>
  <c r="D84" i="1" a="1"/>
  <c r="C79" i="1" a="1"/>
  <c r="O83" i="1" a="1"/>
  <c r="M88" i="1" a="1"/>
  <c r="I74" i="1" a="1"/>
  <c r="C77" i="1" a="1"/>
  <c r="K79" i="1" a="1"/>
  <c r="E84" i="1" a="1"/>
  <c r="I88" i="1" a="1"/>
  <c r="F82" i="1" a="1"/>
  <c r="N86" i="1" a="1"/>
  <c r="B74" i="1" a="1"/>
  <c r="F76" i="1" a="1"/>
  <c r="AB127" i="1" a="1"/>
  <c r="X134" i="1" a="1"/>
  <c r="Y132" i="1" a="1"/>
  <c r="W129" i="1" a="1"/>
  <c r="AD108" i="1" a="1"/>
  <c r="AG111" i="1" a="1"/>
  <c r="AE111" i="1" a="1"/>
  <c r="X96" i="1" a="1"/>
  <c r="AG73" i="1" a="1"/>
  <c r="V75" i="1" a="1"/>
  <c r="W77" i="1" a="1"/>
  <c r="Z52" i="1" a="1"/>
  <c r="W50" i="1" a="1"/>
  <c r="Z49" i="1" a="1"/>
  <c r="Y56" i="1" a="1"/>
  <c r="T29" i="1" a="1"/>
  <c r="AD34" i="1" a="1"/>
  <c r="Y25" i="1" a="1"/>
  <c r="AE28" i="1" a="1"/>
  <c r="U31" i="1" a="1"/>
  <c r="Y33" i="1" a="1"/>
  <c r="AC35" i="1" a="1"/>
  <c r="W38" i="1" a="1"/>
  <c r="T32" i="1" a="1"/>
  <c r="AB36" i="1" a="1"/>
  <c r="AF40" i="1" a="1"/>
  <c r="AB26" i="1" a="1"/>
  <c r="AF28" i="1" a="1"/>
  <c r="AD31" i="1" a="1"/>
  <c r="X36" i="1" a="1"/>
  <c r="AE39" i="1" a="1"/>
  <c r="Y36" i="1" a="1"/>
  <c r="W25" i="1" a="1"/>
  <c r="AA27" i="1" a="1"/>
  <c r="U30" i="1" a="1"/>
  <c r="AC32" i="1" a="1"/>
  <c r="AE35" i="1" a="1"/>
  <c r="AG40" i="1" a="1"/>
  <c r="AC24" i="1" a="1"/>
  <c r="U24" i="1" a="1"/>
  <c r="M128" i="1" a="1"/>
  <c r="G133" i="1" a="1"/>
  <c r="C130" i="1" a="1"/>
  <c r="C121" i="1" a="1"/>
  <c r="G123" i="1" a="1"/>
  <c r="O125" i="1" a="1"/>
  <c r="K129" i="1" a="1"/>
  <c r="E134" i="1" a="1"/>
  <c r="O130" i="1" a="1"/>
  <c r="H123" i="1" a="1"/>
  <c r="F130" i="1" a="1"/>
  <c r="N134" i="1" a="1"/>
  <c r="C134" i="1" a="1"/>
  <c r="B122" i="1" a="1"/>
  <c r="J124" i="1" a="1"/>
  <c r="B128" i="1" a="1"/>
  <c r="F132" i="1" a="1"/>
  <c r="C128" i="1" a="1"/>
  <c r="H136" i="1" a="1"/>
  <c r="E123" i="1" a="1"/>
  <c r="I125" i="1" a="1"/>
  <c r="O128" i="1" a="1"/>
  <c r="F133" i="1" a="1"/>
  <c r="H122" i="1" a="1"/>
  <c r="L124" i="1" a="1"/>
  <c r="B127" i="1" a="1"/>
  <c r="F129" i="1" a="1"/>
  <c r="J131" i="1" a="1"/>
  <c r="K120" i="1" a="1"/>
  <c r="C120" i="1" a="1"/>
  <c r="L98" i="1" a="1"/>
  <c r="B101" i="1" a="1"/>
  <c r="F103" i="1" a="1"/>
  <c r="D106" i="1" a="1"/>
  <c r="B111" i="1" a="1"/>
  <c r="I100" i="1" a="1"/>
  <c r="K107" i="1" a="1"/>
  <c r="E112" i="1" a="1"/>
  <c r="G97" i="1" a="1"/>
  <c r="K99" i="1" a="1"/>
  <c r="E102" i="1" a="1"/>
  <c r="K105" i="1" a="1"/>
  <c r="E110" i="1" a="1"/>
  <c r="G106" i="1" a="1"/>
  <c r="J104" i="1" a="1"/>
  <c r="H109" i="1" a="1"/>
  <c r="G102" i="1" a="1"/>
  <c r="L97" i="1" a="1"/>
  <c r="B100" i="1" a="1"/>
  <c r="N102" i="1" a="1"/>
  <c r="N106" i="1" a="1"/>
  <c r="D111" i="1" a="1"/>
  <c r="C108" i="1" a="1"/>
  <c r="K98" i="1" a="1"/>
  <c r="K102" i="1" a="1"/>
  <c r="N105" i="1" a="1"/>
  <c r="D110" i="1" a="1"/>
  <c r="K110" i="1" a="1"/>
  <c r="I96" i="1" a="1"/>
  <c r="B73" i="1" a="1"/>
  <c r="F75" i="1" a="1"/>
  <c r="J77" i="1" a="1"/>
  <c r="N79" i="1" a="1"/>
  <c r="D82" i="1" a="1"/>
  <c r="H84" i="1" a="1"/>
  <c r="O79" i="1" a="1"/>
  <c r="I84" i="1" a="1"/>
  <c r="N85" i="1" a="1"/>
  <c r="M74" i="1" a="1"/>
  <c r="G77" i="1" a="1"/>
  <c r="E80" i="1" a="1"/>
  <c r="M84" i="1" a="1"/>
  <c r="D86" i="1" a="1"/>
  <c r="N82" i="1" a="1"/>
  <c r="H87" i="1" a="1"/>
  <c r="F74" i="1" a="1"/>
  <c r="N76" i="1" a="1"/>
  <c r="AF129" i="1" a="1"/>
  <c r="Y121" i="1" a="1"/>
  <c r="X122" i="1" a="1"/>
  <c r="AG136" i="1" a="1"/>
  <c r="T111" i="1" a="1"/>
  <c r="AF98" i="1" a="1"/>
  <c r="AC98" i="1" a="1"/>
  <c r="AF73" i="1" a="1"/>
  <c r="W76" i="1" a="1"/>
  <c r="Z77" i="1" a="1"/>
  <c r="AA79" i="1" a="1"/>
  <c r="AD54" i="1" a="1"/>
  <c r="AE52" i="1" a="1"/>
  <c r="T52" i="1" a="1"/>
  <c r="AA63" i="1" a="1"/>
  <c r="AB29" i="1" a="1"/>
  <c r="AF35" i="1" a="1"/>
  <c r="AG25" i="1" a="1"/>
  <c r="U29" i="1" a="1"/>
  <c r="Y31" i="1" a="1"/>
  <c r="AC33" i="1" a="1"/>
  <c r="AG35" i="1" a="1"/>
  <c r="AE38" i="1" a="1"/>
  <c r="AB32" i="1" a="1"/>
  <c r="V37" i="1" a="1"/>
  <c r="Y40" i="1" a="1"/>
  <c r="AF26" i="1" a="1"/>
  <c r="Z29" i="1" a="1"/>
  <c r="X32" i="1" a="1"/>
  <c r="AF36" i="1" a="1"/>
  <c r="AC40" i="1" a="1"/>
  <c r="AG36" i="1" a="1"/>
  <c r="AA25" i="1" a="1"/>
  <c r="AE27" i="1" a="1"/>
  <c r="Y30" i="1" a="1"/>
  <c r="AG32" i="1" a="1"/>
  <c r="U36" i="1" a="1"/>
  <c r="T39" i="1" a="1"/>
  <c r="AB24" i="1" a="1"/>
  <c r="T24" i="1" a="1"/>
  <c r="G129" i="1" a="1"/>
  <c r="O133" i="1" a="1"/>
  <c r="M131" i="1" a="1"/>
  <c r="G121" i="1" a="1"/>
  <c r="K123" i="1" a="1"/>
  <c r="E126" i="1" a="1"/>
  <c r="E130" i="1" a="1"/>
  <c r="M134" i="1" a="1"/>
  <c r="G132" i="1" a="1"/>
  <c r="L125" i="1" a="1"/>
  <c r="N130" i="1" a="1"/>
  <c r="H135" i="1" a="1"/>
  <c r="C136" i="1" a="1"/>
  <c r="F122" i="1" a="1"/>
  <c r="N124" i="1" a="1"/>
  <c r="F128" i="1" a="1"/>
  <c r="N132" i="1" a="1"/>
  <c r="G130" i="1" a="1"/>
  <c r="E121" i="1" a="1"/>
  <c r="I123" i="1" a="1"/>
  <c r="M125" i="1" a="1"/>
  <c r="E129" i="1" a="1"/>
  <c r="B135" i="1" a="1"/>
  <c r="L122" i="1" a="1"/>
  <c r="B125" i="1" a="1"/>
  <c r="F127" i="1" a="1"/>
  <c r="J129" i="1" a="1"/>
  <c r="L132" i="1" a="1"/>
  <c r="J120" i="1" a="1"/>
  <c r="B120" i="1" a="1"/>
  <c r="B99" i="1" a="1"/>
  <c r="F101" i="1" a="1"/>
  <c r="J103" i="1" a="1"/>
  <c r="L106" i="1" a="1"/>
  <c r="J111" i="1" a="1"/>
  <c r="G103" i="1" a="1"/>
  <c r="E108" i="1" a="1"/>
  <c r="E101" i="1" a="1"/>
  <c r="K97" i="1" a="1"/>
  <c r="O99" i="1" a="1"/>
  <c r="I102" i="1" a="1"/>
  <c r="E106" i="1" a="1"/>
  <c r="M110" i="1" a="1"/>
  <c r="G108" i="1" a="1"/>
  <c r="D105" i="1" a="1"/>
  <c r="B110" i="1" a="1"/>
  <c r="I103" i="1" a="1"/>
  <c r="B98" i="1" a="1"/>
  <c r="J100" i="1" a="1"/>
  <c r="D103" i="1" a="1"/>
  <c r="H107" i="1" a="1"/>
  <c r="L111" i="1" a="1"/>
  <c r="I109" i="1" a="1"/>
  <c r="O98" i="1" a="1"/>
  <c r="M103" i="1" a="1"/>
  <c r="H106" i="1" a="1"/>
  <c r="L110" i="1" a="1"/>
  <c r="K112" i="1" a="1"/>
  <c r="H96" i="1" a="1"/>
  <c r="F73" i="1" a="1"/>
  <c r="J75" i="1" a="1"/>
  <c r="N77" i="1" a="1"/>
  <c r="D80" i="1" a="1"/>
  <c r="H82" i="1" a="1"/>
  <c r="L84" i="1" a="1"/>
  <c r="I80" i="1" a="1"/>
  <c r="C85" i="1" a="1"/>
  <c r="D88" i="1" a="1"/>
  <c r="C75" i="1" a="1"/>
  <c r="K77" i="1" a="1"/>
  <c r="M80" i="1" a="1"/>
  <c r="G85" i="1" a="1"/>
  <c r="J76" i="1" a="1"/>
  <c r="H83" i="1" a="1"/>
  <c r="B88" i="1" a="1"/>
  <c r="J74" i="1" a="1"/>
  <c r="D77" i="1" a="1"/>
  <c r="L79" i="1" a="1"/>
  <c r="F84" i="1" a="1"/>
  <c r="N88" i="1" a="1"/>
  <c r="M81" i="1" a="1"/>
  <c r="V132" i="1" a="1"/>
  <c r="AC123" i="1" a="1"/>
  <c r="AB124" i="1" a="1"/>
  <c r="Z120" i="1" a="1"/>
  <c r="U97" i="1" a="1"/>
  <c r="V101" i="1" a="1"/>
  <c r="AG100" i="1" a="1"/>
  <c r="V76" i="1" a="1"/>
  <c r="AA78" i="1" a="1"/>
  <c r="AD79" i="1" a="1"/>
  <c r="AE81" i="1" a="1"/>
  <c r="T57" i="1" a="1"/>
  <c r="AE56" i="1" a="1"/>
  <c r="AB54" i="1" a="1"/>
  <c r="AB63" i="1" a="1"/>
  <c r="V30" i="1" a="1"/>
  <c r="Z36" i="1" a="1"/>
  <c r="U27" i="1" a="1"/>
  <c r="Y29" i="1" a="1"/>
  <c r="AC31" i="1" a="1"/>
  <c r="AG33" i="1" a="1"/>
  <c r="W36" i="1" a="1"/>
  <c r="U39" i="1" a="1"/>
  <c r="V33" i="1" a="1"/>
  <c r="AD37" i="1" a="1"/>
  <c r="AB39" i="1" a="1"/>
  <c r="V27" i="1" a="1"/>
  <c r="AD29" i="1" a="1"/>
  <c r="AF32" i="1" a="1"/>
  <c r="Z37" i="1" a="1"/>
  <c r="AF39" i="1" a="1"/>
  <c r="AA37" i="1" a="1"/>
  <c r="AE25" i="1" a="1"/>
  <c r="U28" i="1" a="1"/>
  <c r="AC30" i="1" a="1"/>
  <c r="AA33" i="1" a="1"/>
  <c r="AC36" i="1" a="1"/>
  <c r="Z40" i="1" a="1"/>
  <c r="AA24" i="1" a="1"/>
  <c r="I31" i="1" a="1"/>
  <c r="O129" i="1" a="1"/>
  <c r="I134" i="1" a="1"/>
  <c r="O132" i="1" a="1"/>
  <c r="K121" i="1" a="1"/>
  <c r="E124" i="1" a="1"/>
  <c r="M126" i="1" a="1"/>
  <c r="M130" i="1" a="1"/>
  <c r="G135" i="1" a="1"/>
  <c r="M133" i="1" a="1"/>
  <c r="J126" i="1" a="1"/>
  <c r="H131" i="1" a="1"/>
  <c r="B136" i="1" a="1"/>
  <c r="H132" i="1" a="1"/>
  <c r="J122" i="1" a="1"/>
  <c r="D125" i="1" a="1"/>
  <c r="N128" i="1" a="1"/>
  <c r="H133" i="1" a="1"/>
  <c r="I131" i="1" a="1"/>
  <c r="I121" i="1" a="1"/>
  <c r="M123" i="1" a="1"/>
  <c r="C126" i="1" a="1"/>
  <c r="K130" i="1" a="1"/>
  <c r="L136" i="1" a="1"/>
  <c r="B123" i="1" a="1"/>
  <c r="F125" i="1" a="1"/>
  <c r="J127" i="1" a="1"/>
  <c r="N129" i="1" a="1"/>
  <c r="N133" i="1" a="1"/>
  <c r="I120" i="1" a="1"/>
  <c r="B97" i="1" a="1"/>
  <c r="F99" i="1" a="1"/>
  <c r="J101" i="1" a="1"/>
  <c r="N103" i="1" a="1"/>
  <c r="F107" i="1" a="1"/>
  <c r="D112" i="1" a="1"/>
  <c r="O103" i="1" a="1"/>
  <c r="M108" i="1" a="1"/>
  <c r="E103" i="1" a="1"/>
  <c r="O97" i="1" a="1"/>
  <c r="E100" i="1" a="1"/>
  <c r="M102" i="1" a="1"/>
  <c r="M106" i="1" a="1"/>
  <c r="G111" i="1" a="1"/>
  <c r="G110" i="1" a="1"/>
  <c r="L105" i="1" a="1"/>
  <c r="J110" i="1" a="1"/>
  <c r="E105" i="1" a="1"/>
  <c r="F98" i="1" a="1"/>
  <c r="N100" i="1" a="1"/>
  <c r="L103" i="1" a="1"/>
  <c r="B108" i="1" a="1"/>
  <c r="J112" i="1" a="1"/>
  <c r="I111" i="1" a="1"/>
  <c r="E99" i="1" a="1"/>
  <c r="M105" i="1" a="1"/>
  <c r="B107" i="1" a="1"/>
  <c r="F111" i="1" a="1"/>
  <c r="O96" i="1" a="1"/>
  <c r="G96" i="1" a="1"/>
  <c r="J73" i="1" a="1"/>
  <c r="N75" i="1" a="1"/>
  <c r="D78" i="1" a="1"/>
  <c r="H80" i="1" a="1"/>
  <c r="L82" i="1" a="1"/>
  <c r="B85" i="1" a="1"/>
  <c r="C81" i="1" a="1"/>
  <c r="K85" i="1" a="1"/>
  <c r="C73" i="1" a="1"/>
  <c r="G75" i="1" a="1"/>
  <c r="O77" i="1" a="1"/>
  <c r="G81" i="1" a="1"/>
  <c r="O85" i="1" a="1"/>
  <c r="D79" i="1" a="1"/>
  <c r="B84" i="1" a="1"/>
  <c r="J88" i="1" a="1"/>
  <c r="N74" i="1" a="1"/>
  <c r="H77" i="1" a="1"/>
  <c r="F80" i="1" a="1"/>
  <c r="N84" i="1" a="1"/>
  <c r="B87" i="1" a="1"/>
  <c r="G82" i="1" a="1"/>
  <c r="O86" i="1" a="1"/>
  <c r="Z134" i="1" a="1"/>
  <c r="AG125" i="1" a="1"/>
  <c r="AF130" i="1" a="1"/>
  <c r="X97" i="1" a="1"/>
  <c r="Y99" i="1" a="1"/>
  <c r="Z103" i="1" a="1"/>
  <c r="AA103" i="1" a="1"/>
  <c r="Z78" i="1" a="1"/>
  <c r="AE80" i="1" a="1"/>
  <c r="T82" i="1" a="1"/>
  <c r="Y84" i="1" a="1"/>
  <c r="X59" i="1" a="1"/>
  <c r="Y61" i="1" a="1"/>
  <c r="V59" i="1" a="1"/>
  <c r="AC48" i="1" a="1"/>
  <c r="X31" i="1" a="1"/>
  <c r="T37" i="1" a="1"/>
  <c r="Y27" i="1" a="1"/>
  <c r="AC29" i="1" a="1"/>
  <c r="AG31" i="1" a="1"/>
  <c r="W34" i="1" a="1"/>
  <c r="AA36" i="1" a="1"/>
  <c r="AC39" i="1" a="1"/>
  <c r="AD33" i="1" a="1"/>
  <c r="X38" i="1" a="1"/>
  <c r="V25" i="1" a="1"/>
  <c r="Z27" i="1" a="1"/>
  <c r="T30" i="1" a="1"/>
  <c r="Z33" i="1" a="1"/>
  <c r="T38" i="1" a="1"/>
  <c r="W29" i="1" a="1"/>
  <c r="U38" i="1" a="1"/>
  <c r="U26" i="1" a="1"/>
  <c r="Y28" i="1" a="1"/>
  <c r="AG30" i="1" a="1"/>
  <c r="AE33" i="1" a="1"/>
  <c r="W37" i="1" a="1"/>
  <c r="AD40" i="1" a="1"/>
  <c r="Z24" i="1" a="1"/>
  <c r="B24" i="1" a="1"/>
  <c r="I130" i="1" a="1"/>
  <c r="C135" i="1" a="1"/>
  <c r="G134" i="1" a="1"/>
  <c r="O121" i="1" a="1"/>
  <c r="I124" i="1" a="1"/>
  <c r="C127" i="1" a="1"/>
  <c r="G131" i="1" a="1"/>
  <c r="O135" i="1" a="1"/>
  <c r="O134" i="1" a="1"/>
  <c r="D127" i="1" a="1"/>
  <c r="B132" i="1" a="1"/>
  <c r="J136" i="1" a="1"/>
  <c r="H134" i="1" a="1"/>
  <c r="N122" i="1" a="1"/>
  <c r="H125" i="1" a="1"/>
  <c r="H129" i="1" a="1"/>
  <c r="B134" i="1" a="1"/>
  <c r="I133" i="1" a="1"/>
  <c r="M121" i="1" a="1"/>
  <c r="C124" i="1" a="1"/>
  <c r="G126" i="1" a="1"/>
  <c r="C132" i="1" a="1"/>
  <c r="B121" i="1" a="1"/>
  <c r="F123" i="1" a="1"/>
  <c r="J125" i="1" a="1"/>
  <c r="N127" i="1" a="1"/>
  <c r="D130" i="1" a="1"/>
  <c r="F135" i="1" a="1"/>
  <c r="H120" i="1" a="1"/>
  <c r="F97" i="1" a="1"/>
  <c r="J99" i="1" a="1"/>
  <c r="N101" i="1" a="1"/>
  <c r="D104" i="1" a="1"/>
  <c r="N107" i="1" a="1"/>
  <c r="L112" i="1" a="1"/>
  <c r="I104" i="1" a="1"/>
  <c r="G109" i="1" a="1"/>
  <c r="I105" i="1" a="1"/>
  <c r="E98" i="1" a="1"/>
  <c r="M100" i="1" a="1"/>
  <c r="C103" i="1" a="1"/>
  <c r="G107" i="1" a="1"/>
  <c r="O111" i="1" a="1"/>
  <c r="G112" i="1" a="1"/>
  <c r="J106" i="1" a="1"/>
  <c r="H111" i="1" a="1"/>
  <c r="O106" i="1" a="1"/>
  <c r="J98" i="1" a="1"/>
  <c r="D101" i="1" a="1"/>
  <c r="F104" i="1" a="1"/>
  <c r="J108" i="1" a="1"/>
  <c r="C100" i="1" a="1"/>
  <c r="E97" i="1" a="1"/>
  <c r="I99" i="1" a="1"/>
  <c r="E107" i="1" a="1"/>
  <c r="J107" i="1" a="1"/>
  <c r="N111" i="1" a="1"/>
  <c r="N96" i="1" a="1"/>
  <c r="F96" i="1" a="1"/>
  <c r="N73" i="1" a="1"/>
  <c r="D76" i="1" a="1"/>
  <c r="H78" i="1" a="1"/>
  <c r="L80" i="1" a="1"/>
  <c r="B83" i="1" a="1"/>
  <c r="F85" i="1" a="1"/>
  <c r="K81" i="1" a="1"/>
  <c r="E86" i="1" a="1"/>
  <c r="G73" i="1" a="1"/>
  <c r="K75" i="1" a="1"/>
  <c r="E78" i="1" a="1"/>
  <c r="O81" i="1" a="1"/>
  <c r="I86" i="1" a="1"/>
  <c r="B80" i="1" a="1"/>
  <c r="J84" i="1" a="1"/>
  <c r="F87" i="1" a="1"/>
  <c r="D75" i="1" a="1"/>
  <c r="L77" i="1" a="1"/>
  <c r="N80" i="1" a="1"/>
  <c r="H85" i="1" a="1"/>
  <c r="L88" i="1" a="1"/>
  <c r="O82" i="1" a="1"/>
  <c r="I87" i="1" a="1"/>
  <c r="C74" i="1" a="1"/>
  <c r="G76" i="1" a="1"/>
  <c r="O78" i="1" a="1"/>
  <c r="E83" i="1" a="1"/>
  <c r="M87" i="1" a="1"/>
  <c r="AB134" i="1" a="1"/>
  <c r="AE130" i="1" a="1"/>
  <c r="Y122" i="1" a="1"/>
  <c r="AF101" i="1" a="1"/>
  <c r="AG103" i="1" a="1"/>
  <c r="T108" i="1" a="1"/>
  <c r="AC110" i="1" a="1"/>
  <c r="T83" i="1" a="1"/>
  <c r="Y85" i="1" a="1"/>
  <c r="AF86" i="1" a="1"/>
  <c r="AD72" i="1" a="1"/>
  <c r="AA56" i="1" a="1"/>
  <c r="T56" i="1" a="1"/>
  <c r="AA49" i="1" a="1"/>
  <c r="AB25" i="1" a="1"/>
  <c r="Z32" i="1" a="1"/>
  <c r="AD38" i="1" a="1"/>
  <c r="AG27" i="1" a="1"/>
  <c r="W30" i="1" a="1"/>
  <c r="AA32" i="1" a="1"/>
  <c r="AE34" i="1" a="1"/>
  <c r="Y37" i="1" a="1"/>
  <c r="AA40" i="1" a="1"/>
  <c r="AF34" i="1" a="1"/>
  <c r="Z39" i="1" a="1"/>
  <c r="AD25" i="1" a="1"/>
  <c r="T28" i="1" a="1"/>
  <c r="AB30" i="1" a="1"/>
  <c r="AB34" i="1" a="1"/>
  <c r="V39" i="1" a="1"/>
  <c r="W33" i="1" a="1"/>
  <c r="W39" i="1" a="1"/>
  <c r="AC26" i="1" a="1"/>
  <c r="AG28" i="1" a="1"/>
  <c r="AA31" i="1" a="1"/>
  <c r="AC34" i="1" a="1"/>
  <c r="Y38" i="1" a="1"/>
  <c r="AF24" i="1" a="1"/>
  <c r="X24" i="1" a="1"/>
  <c r="I126" i="1" a="1"/>
  <c r="K131" i="1" a="1"/>
  <c r="I136" i="1" a="1"/>
  <c r="N131" i="1" a="1"/>
  <c r="I122" i="1" a="1"/>
  <c r="C125" i="1" a="1"/>
  <c r="E128" i="1" a="1"/>
  <c r="I132" i="1" a="1"/>
  <c r="M136" i="1" a="1"/>
  <c r="D132" i="1" a="1"/>
  <c r="J128" i="1" a="1"/>
  <c r="D133" i="1" a="1"/>
  <c r="M129" i="1" a="1"/>
  <c r="D121" i="1" a="1"/>
  <c r="L123" i="1" a="1"/>
  <c r="F126" i="1" a="1"/>
  <c r="J130" i="1" a="1"/>
  <c r="D135" i="1" a="1"/>
  <c r="K136" i="1" a="1"/>
  <c r="G122" i="1" a="1"/>
  <c r="K124" i="1" a="1"/>
  <c r="O126" i="1" a="1"/>
  <c r="K134" i="1" a="1"/>
  <c r="J121" i="1" a="1"/>
  <c r="N123" i="1" a="1"/>
  <c r="D126" i="1" a="1"/>
  <c r="H128" i="1" a="1"/>
  <c r="L130" i="1" a="1"/>
  <c r="N120" i="1" a="1"/>
  <c r="F120" i="1" a="1"/>
  <c r="N97" i="1" a="1"/>
  <c r="D100" i="1" a="1"/>
  <c r="H102" i="1" a="1"/>
  <c r="B105" i="1" a="1"/>
  <c r="F109" i="1" a="1"/>
  <c r="M107" i="1" a="1"/>
  <c r="O105" i="1" a="1"/>
  <c r="I110" i="1" a="1"/>
  <c r="M109" i="1" a="1"/>
  <c r="M98" i="1" a="1"/>
  <c r="G101" i="1" a="1"/>
  <c r="E104" i="1" a="1"/>
  <c r="I108" i="1" a="1"/>
  <c r="M112" i="1" a="1"/>
  <c r="J102" i="1" a="1"/>
  <c r="L107" i="1" a="1"/>
  <c r="F112" i="1" a="1"/>
  <c r="E111" i="1" a="1"/>
  <c r="D99" i="1" a="1"/>
  <c r="L101" i="1" a="1"/>
  <c r="H105" i="1" a="1"/>
  <c r="L109" i="1" a="1"/>
  <c r="O102" i="1" a="1"/>
  <c r="M97" i="1" a="1"/>
  <c r="K100" i="1" a="1"/>
  <c r="O110" i="1" a="1"/>
  <c r="L108" i="1" a="1"/>
  <c r="C104" i="1" a="1"/>
  <c r="L96" i="1" a="1"/>
  <c r="D96" i="1" a="1"/>
  <c r="H74" i="1" a="1"/>
  <c r="L76" i="1" a="1"/>
  <c r="B79" i="1" a="1"/>
  <c r="AD136" i="1" a="1"/>
  <c r="U83" i="1" a="1"/>
  <c r="V38" i="1" a="1"/>
  <c r="AF38" i="1" a="1"/>
  <c r="Y26" i="1" a="1"/>
  <c r="C131" i="1" a="1"/>
  <c r="G136" i="1" a="1"/>
  <c r="J134" i="1" a="1"/>
  <c r="N125" i="1" a="1"/>
  <c r="L104" i="1" a="1"/>
  <c r="K103" i="1" a="1"/>
  <c r="H101" i="1" a="1"/>
  <c r="H112" i="1" a="1"/>
  <c r="F83" i="1" a="1"/>
  <c r="K73" i="1" a="1"/>
  <c r="C87" i="1" a="1"/>
  <c r="H75" i="1" a="1"/>
  <c r="D83" i="1" a="1"/>
  <c r="K80" i="1" a="1"/>
  <c r="K88" i="1" a="1"/>
  <c r="I75" i="1" a="1"/>
  <c r="K78" i="1" a="1"/>
  <c r="G84" i="1" a="1"/>
  <c r="N87" i="1" a="1"/>
  <c r="H72" i="1" a="1"/>
  <c r="J49" i="1" a="1"/>
  <c r="N51" i="1" a="1"/>
  <c r="D54" i="1" a="1"/>
  <c r="L56" i="1" a="1"/>
  <c r="D60" i="1" a="1"/>
  <c r="I53" i="1" a="1"/>
  <c r="C59" i="1" a="1"/>
  <c r="E64" i="1" a="1"/>
  <c r="C49" i="1" a="1"/>
  <c r="G51" i="1" a="1"/>
  <c r="K53" i="1" a="1"/>
  <c r="E56" i="1" a="1"/>
  <c r="M58" i="1" a="1"/>
  <c r="M62" i="1" a="1"/>
  <c r="M61" i="1" a="1"/>
  <c r="H61" i="1" a="1"/>
  <c r="I55" i="1" a="1"/>
  <c r="B50" i="1" a="1"/>
  <c r="F52" i="1" a="1"/>
  <c r="J54" i="1" a="1"/>
  <c r="D57" i="1" a="1"/>
  <c r="B60" i="1" a="1"/>
  <c r="N64" i="1" a="1"/>
  <c r="I49" i="1" a="1"/>
  <c r="M51" i="1" a="1"/>
  <c r="C62" i="1" a="1"/>
  <c r="J61" i="1" a="1"/>
  <c r="O54" i="1" a="1"/>
  <c r="M48" i="1" a="1"/>
  <c r="E48" i="1" a="1"/>
  <c r="F25" i="1" a="1"/>
  <c r="L27" i="1" a="1"/>
  <c r="E30" i="1" a="1"/>
  <c r="O32" i="1" a="1"/>
  <c r="H35" i="1" a="1"/>
  <c r="G40" i="1" a="1"/>
  <c r="C33" i="1" a="1"/>
  <c r="K31" i="1" a="1"/>
  <c r="G25" i="1" a="1"/>
  <c r="M27" i="1" a="1"/>
  <c r="F30" i="1" a="1"/>
  <c r="G33" i="1" a="1"/>
  <c r="M35" i="1" a="1"/>
  <c r="I39" i="1" a="1"/>
  <c r="E37" i="1" a="1"/>
  <c r="N32" i="1" a="1"/>
  <c r="L25" i="1" a="1"/>
  <c r="E28" i="1" a="1"/>
  <c r="K30" i="1" a="1"/>
  <c r="H33" i="1" a="1"/>
  <c r="N35" i="1" a="1"/>
  <c r="O38" i="1" a="1"/>
  <c r="M37" i="1" a="1"/>
  <c r="D26" i="1" a="1"/>
  <c r="H30" i="1" a="1"/>
  <c r="C36" i="1" a="1"/>
  <c r="K40" i="1" a="1"/>
  <c r="B40" i="1" a="1"/>
  <c r="B32" i="1" a="1"/>
  <c r="C26" i="1" a="1"/>
  <c r="L33" i="1" a="1"/>
  <c r="F39" i="1" a="1"/>
  <c r="H26" i="1" a="1"/>
  <c r="K36" i="1" a="1"/>
  <c r="B39" i="1" a="1"/>
  <c r="F81" i="1" a="1"/>
  <c r="M83" i="1" a="1"/>
  <c r="J59" i="1" a="1"/>
  <c r="G53" i="1" a="1"/>
  <c r="L49" i="1" a="1"/>
  <c r="E49" i="1" a="1"/>
  <c r="F48" i="1" a="1"/>
  <c r="D35" i="1" a="1"/>
  <c r="L32" i="1" a="1"/>
  <c r="G30" i="1" a="1"/>
  <c r="I29" i="1" a="1"/>
  <c r="W128" i="1" a="1"/>
  <c r="AB84" i="1" a="1"/>
  <c r="AC27" i="1" a="1"/>
  <c r="Z25" i="1" a="1"/>
  <c r="AC28" i="1" a="1"/>
  <c r="K135" i="1" a="1"/>
  <c r="L127" i="1" a="1"/>
  <c r="E135" i="1" a="1"/>
  <c r="D128" i="1" a="1"/>
  <c r="H108" i="1" a="1"/>
  <c r="O107" i="1" a="1"/>
  <c r="N104" i="1" a="1"/>
  <c r="M96" i="1" a="1"/>
  <c r="J83" i="1" a="1"/>
  <c r="O73" i="1" a="1"/>
  <c r="G87" i="1" a="1"/>
  <c r="L75" i="1" a="1"/>
  <c r="L83" i="1" a="1"/>
  <c r="E81" i="1" a="1"/>
  <c r="H88" i="1" a="1"/>
  <c r="M75" i="1" a="1"/>
  <c r="I79" i="1" a="1"/>
  <c r="I85" i="1" a="1"/>
  <c r="O72" i="1" a="1"/>
  <c r="G72" i="1" a="1"/>
  <c r="N49" i="1" a="1"/>
  <c r="D52" i="1" a="1"/>
  <c r="H54" i="1" a="1"/>
  <c r="B57" i="1" a="1"/>
  <c r="L60" i="1" a="1"/>
  <c r="G56" i="1" a="1"/>
  <c r="K59" i="1" a="1"/>
  <c r="M64" i="1" a="1"/>
  <c r="G49" i="1" a="1"/>
  <c r="K51" i="1" a="1"/>
  <c r="O53" i="1" a="1"/>
  <c r="I56" i="1" a="1"/>
  <c r="G59" i="1" a="1"/>
  <c r="G63" i="1" a="1"/>
  <c r="I63" i="1" a="1"/>
  <c r="B62" i="1" a="1"/>
  <c r="E57" i="1" a="1"/>
  <c r="F50" i="1" a="1"/>
  <c r="J52" i="1" a="1"/>
  <c r="N54" i="1" a="1"/>
  <c r="H57" i="1" a="1"/>
  <c r="J60" i="1" a="1"/>
  <c r="C54" i="1" a="1"/>
  <c r="M49" i="1" a="1"/>
  <c r="C52" i="1" a="1"/>
  <c r="J55" i="1" a="1"/>
  <c r="D62" i="1" a="1"/>
  <c r="M55" i="1" a="1"/>
  <c r="L48" i="1" a="1"/>
  <c r="D48" i="1" a="1"/>
  <c r="J25" i="1" a="1"/>
  <c r="C28" i="1" a="1"/>
  <c r="I30" i="1" a="1"/>
  <c r="F33" i="1" a="1"/>
  <c r="L35" i="1" a="1"/>
  <c r="O40" i="1" a="1"/>
  <c r="L36" i="1" a="1"/>
  <c r="L34" i="1" a="1"/>
  <c r="K25" i="1" a="1"/>
  <c r="D28" i="1" a="1"/>
  <c r="J30" i="1" a="1"/>
  <c r="K33" i="1" a="1"/>
  <c r="D36" i="1" a="1"/>
  <c r="D40" i="1" a="1"/>
  <c r="C39" i="1" a="1"/>
  <c r="F36" i="1" a="1"/>
  <c r="I28" i="1" a="1"/>
  <c r="O30" i="1" a="1"/>
  <c r="E36" i="1" a="1"/>
  <c r="K39" i="1" a="1"/>
  <c r="O31" i="1" a="1"/>
  <c r="I40" i="1" a="1"/>
  <c r="B31" i="1" a="1"/>
  <c r="K87" i="1" a="1"/>
  <c r="J51" i="1" a="1"/>
  <c r="K63" i="1" a="1"/>
  <c r="M59" i="1" a="1"/>
  <c r="H59" i="1" a="1"/>
  <c r="N48" i="1" a="1"/>
  <c r="L39" i="1" a="1"/>
  <c r="N38" i="1" a="1"/>
  <c r="J35" i="1" a="1"/>
  <c r="L38" i="1" a="1"/>
  <c r="U132" i="1" a="1"/>
  <c r="AG86" i="1" a="1"/>
  <c r="AG29" i="1" a="1"/>
  <c r="AD27" i="1" a="1"/>
  <c r="W31" i="1" a="1"/>
  <c r="I135" i="1" a="1"/>
  <c r="J132" i="1" a="1"/>
  <c r="C122" i="1" a="1"/>
  <c r="H130" i="1" a="1"/>
  <c r="O104" i="1" a="1"/>
  <c r="I112" i="1" a="1"/>
  <c r="D109" i="1" a="1"/>
  <c r="E96" i="1" a="1"/>
  <c r="J85" i="1" a="1"/>
  <c r="O75" i="1" a="1"/>
  <c r="J80" i="1" a="1"/>
  <c r="B78" i="1" a="1"/>
  <c r="B86" i="1" a="1"/>
  <c r="I83" i="1" a="1"/>
  <c r="E73" i="1" a="1"/>
  <c r="C76" i="1" a="1"/>
  <c r="M79" i="1" a="1"/>
  <c r="C86" i="1" a="1"/>
  <c r="N72" i="1" a="1"/>
  <c r="F72" i="1" a="1"/>
  <c r="D50" i="1" a="1"/>
  <c r="H52" i="1" a="1"/>
  <c r="L54" i="1" a="1"/>
  <c r="F57" i="1" a="1"/>
  <c r="F61" i="1" a="1"/>
  <c r="G58" i="1" a="1"/>
  <c r="I60" i="1" a="1"/>
  <c r="G54" i="1" a="1"/>
  <c r="K49" i="1" a="1"/>
  <c r="O51" i="1" a="1"/>
  <c r="E54" i="1" a="1"/>
  <c r="M56" i="1" a="1"/>
  <c r="O59" i="1" a="1"/>
  <c r="O63" i="1" a="1"/>
  <c r="K64" i="1" a="1"/>
  <c r="J62" i="1" a="1"/>
  <c r="E59" i="1" a="1"/>
  <c r="J50" i="1" a="1"/>
  <c r="N52" i="1" a="1"/>
  <c r="D55" i="1" a="1"/>
  <c r="L57" i="1" a="1"/>
  <c r="D61" i="1" a="1"/>
  <c r="O56" i="1" a="1"/>
  <c r="C50" i="1" a="1"/>
  <c r="G52" i="1" a="1"/>
  <c r="D58" i="1" a="1"/>
  <c r="L62" i="1" a="1"/>
  <c r="M57" i="1" a="1"/>
  <c r="K48" i="1" a="1"/>
  <c r="C48" i="1" a="1"/>
  <c r="N25" i="1" a="1"/>
  <c r="G28" i="1" a="1"/>
  <c r="M30" i="1" a="1"/>
  <c r="J33" i="1" a="1"/>
  <c r="G36" i="1" a="1"/>
  <c r="M40" i="1" a="1"/>
  <c r="K37" i="1" a="1"/>
  <c r="I37" i="1" a="1"/>
  <c r="O25" i="1" a="1"/>
  <c r="H28" i="1" a="1"/>
  <c r="N30" i="1" a="1"/>
  <c r="O33" i="1" a="1"/>
  <c r="H36" i="1" a="1"/>
  <c r="L40" i="1" a="1"/>
  <c r="N40" i="1" a="1"/>
  <c r="G39" i="1" a="1"/>
  <c r="G26" i="1" a="1"/>
  <c r="M28" i="1" a="1"/>
  <c r="F31" i="1" a="1"/>
  <c r="C34" i="1" a="1"/>
  <c r="I36" i="1" a="1"/>
  <c r="J39" i="1" a="1"/>
  <c r="F24" i="1" a="1"/>
  <c r="L26" i="1" a="1"/>
  <c r="D34" i="1" a="1"/>
  <c r="F37" i="1" a="1"/>
  <c r="M29" i="1" a="1"/>
  <c r="B38" i="1" a="1"/>
  <c r="B30" i="1" a="1"/>
  <c r="F28" i="1" a="1"/>
  <c r="K26" i="1" a="1"/>
  <c r="J31" i="1" a="1"/>
  <c r="M36" i="1" a="1"/>
  <c r="E40" i="1" a="1"/>
  <c r="C27" i="1" a="1"/>
  <c r="N37" i="1" a="1"/>
  <c r="B37" i="1" a="1"/>
  <c r="I32" i="1" a="1"/>
  <c r="E25" i="1" a="1"/>
  <c r="M38" i="1" a="1"/>
  <c r="E136" i="1" a="1"/>
  <c r="B82" i="1" a="1"/>
  <c r="G78" i="1" a="1"/>
  <c r="N53" i="1" a="1"/>
  <c r="O64" i="1" a="1"/>
  <c r="E62" i="1" a="1"/>
  <c r="N56" i="1" a="1"/>
  <c r="B61" i="1" a="1"/>
  <c r="N29" i="1" a="1"/>
  <c r="I27" i="1" a="1"/>
  <c r="N28" i="1" a="1"/>
  <c r="K35" i="1" a="1"/>
  <c r="B25" i="1" a="1"/>
  <c r="AB99" i="1" a="1"/>
  <c r="AB61" i="1" a="1"/>
  <c r="W32" i="1" a="1"/>
  <c r="X30" i="1" a="1"/>
  <c r="U34" i="1" a="1"/>
  <c r="E122" i="1" a="1"/>
  <c r="K128" i="1" a="1"/>
  <c r="G124" i="1" a="1"/>
  <c r="O120" i="1" a="1"/>
  <c r="G105" i="1" a="1"/>
  <c r="F100" i="1" a="1"/>
  <c r="M101" i="1" a="1"/>
  <c r="D74" i="1" a="1"/>
  <c r="J87" i="1" a="1"/>
  <c r="E76" i="1" a="1"/>
  <c r="D81" i="1" a="1"/>
  <c r="F78" i="1" a="1"/>
  <c r="J86" i="1" a="1"/>
  <c r="C84" i="1" a="1"/>
  <c r="I73" i="1" a="1"/>
  <c r="O76" i="1" a="1"/>
  <c r="O80" i="1" a="1"/>
  <c r="K86" i="1" a="1"/>
  <c r="M72" i="1" a="1"/>
  <c r="E72" i="1" a="1"/>
  <c r="H50" i="1" a="1"/>
  <c r="L52" i="1" a="1"/>
  <c r="B55" i="1" a="1"/>
  <c r="J57" i="1" a="1"/>
  <c r="N61" i="1" a="1"/>
  <c r="O60" i="1" a="1"/>
  <c r="G61" i="1" a="1"/>
  <c r="K56" i="1" a="1"/>
  <c r="O49" i="1" a="1"/>
  <c r="E52" i="1" a="1"/>
  <c r="I54" i="1" a="1"/>
  <c r="C57" i="1" a="1"/>
  <c r="E60" i="1" a="1"/>
  <c r="I64" i="1" a="1"/>
  <c r="L55" i="1" a="1"/>
  <c r="D63" i="1" a="1"/>
  <c r="E61" i="1" a="1"/>
  <c r="N50" i="1" a="1"/>
  <c r="D53" i="1" a="1"/>
  <c r="H55" i="1" a="1"/>
  <c r="B58" i="1" a="1"/>
  <c r="L61" i="1" a="1"/>
  <c r="O58" i="1" a="1"/>
  <c r="G50" i="1" a="1"/>
  <c r="E53" i="1" a="1"/>
  <c r="L58" i="1" a="1"/>
  <c r="B63" i="1" a="1"/>
  <c r="I59" i="1" a="1"/>
  <c r="J48" i="1" a="1"/>
  <c r="B48" i="1" a="1"/>
  <c r="E26" i="1" a="1"/>
  <c r="K28" i="1" a="1"/>
  <c r="D31" i="1" a="1"/>
  <c r="N33" i="1" a="1"/>
  <c r="O36" i="1" a="1"/>
  <c r="D30" i="1" a="1"/>
  <c r="J38" i="1" a="1"/>
  <c r="O39" i="1" a="1"/>
  <c r="F26" i="1" a="1"/>
  <c r="L28" i="1" a="1"/>
  <c r="E31" i="1" a="1"/>
  <c r="F34" i="1" a="1"/>
  <c r="C37" i="1" a="1"/>
  <c r="N31" i="1" a="1"/>
  <c r="E24" i="1" a="1"/>
  <c r="D29" i="1" a="1"/>
  <c r="G34" i="1" a="1"/>
  <c r="J24" i="1" a="1"/>
  <c r="C35" i="1" a="1"/>
  <c r="G31" i="1" a="1"/>
  <c r="B29" i="1" a="1"/>
  <c r="L30" i="1" a="1"/>
  <c r="M33" i="1" a="1"/>
  <c r="B130" i="1" a="1"/>
  <c r="H56" i="1" a="1"/>
  <c r="O52" i="1" a="1"/>
  <c r="M53" i="1" a="1"/>
  <c r="C25" i="1" a="1"/>
  <c r="N27" i="1" a="1"/>
  <c r="B33" i="1" a="1"/>
  <c r="AC101" i="1" a="1"/>
  <c r="Y60" i="1" a="1"/>
  <c r="AA34" i="1" a="1"/>
  <c r="T34" i="1" a="1"/>
  <c r="AE37" i="1" a="1"/>
  <c r="M124" i="1" a="1"/>
  <c r="D136" i="1" a="1"/>
  <c r="K126" i="1" a="1"/>
  <c r="G120" i="1" a="1"/>
  <c r="O109" i="1" a="1"/>
  <c r="D107" i="1" a="1"/>
  <c r="I97" i="1" a="1"/>
  <c r="H76" i="1" a="1"/>
  <c r="E82" i="1" a="1"/>
  <c r="I78" i="1" a="1"/>
  <c r="D85" i="1" a="1"/>
  <c r="N78" i="1" a="1"/>
  <c r="L87" i="1" a="1"/>
  <c r="E85" i="1" a="1"/>
  <c r="M73" i="1" a="1"/>
  <c r="E77" i="1" a="1"/>
  <c r="I81" i="1" a="1"/>
  <c r="E87" i="1" a="1"/>
  <c r="L72" i="1" a="1"/>
  <c r="D72" i="1" a="1"/>
  <c r="L50" i="1" a="1"/>
  <c r="B53" i="1" a="1"/>
  <c r="F55" i="1" a="1"/>
  <c r="N57" i="1" a="1"/>
  <c r="H62" i="1" a="1"/>
  <c r="O62" i="1" a="1"/>
  <c r="O61" i="1" a="1"/>
  <c r="K58" i="1" a="1"/>
  <c r="E50" i="1" a="1"/>
  <c r="I52" i="1" a="1"/>
  <c r="M54" i="1" a="1"/>
  <c r="G57" i="1" a="1"/>
  <c r="M60" i="1" a="1"/>
  <c r="K52" i="1" a="1"/>
  <c r="N58" i="1" a="1"/>
  <c r="L63" i="1" a="1"/>
  <c r="E63" i="1" a="1"/>
  <c r="D51" i="1" a="1"/>
  <c r="H53" i="1" a="1"/>
  <c r="B56" i="1" a="1"/>
  <c r="F58" i="1" a="1"/>
  <c r="F62" i="1" a="1"/>
  <c r="K60" i="1" a="1"/>
  <c r="K50" i="1" a="1"/>
  <c r="K54" i="1" a="1"/>
  <c r="F59" i="1" a="1"/>
  <c r="J63" i="1" a="1"/>
  <c r="I61" i="1" a="1"/>
  <c r="I48" i="1" a="1"/>
  <c r="C24" i="1" a="1"/>
  <c r="I26" i="1" a="1"/>
  <c r="O28" i="1" a="1"/>
  <c r="H31" i="1" a="1"/>
  <c r="E34" i="1" a="1"/>
  <c r="J37" i="1" a="1"/>
  <c r="I33" i="1" a="1"/>
  <c r="E39" i="1" a="1"/>
  <c r="D24" i="1" a="1"/>
  <c r="J26" i="1" a="1"/>
  <c r="C29" i="1" a="1"/>
  <c r="M31" i="1" a="1"/>
  <c r="J34" i="1" a="1"/>
  <c r="G37" i="1" a="1"/>
  <c r="C31" i="1" a="1"/>
  <c r="L37" i="1" a="1"/>
  <c r="I24" i="1" a="1"/>
  <c r="O26" i="1" a="1"/>
  <c r="H29" i="1" a="1"/>
  <c r="E32" i="1" a="1"/>
  <c r="K34" i="1" a="1"/>
  <c r="D37" i="1" a="1"/>
  <c r="E29" i="1" a="1"/>
  <c r="N24" i="1" a="1"/>
  <c r="G27" i="1" a="1"/>
  <c r="N36" i="1" a="1"/>
  <c r="E38" i="1" a="1"/>
  <c r="F32" i="1" a="1"/>
  <c r="B36" i="1" a="1"/>
  <c r="B28" i="1" a="1"/>
  <c r="F27" i="1" a="1"/>
  <c r="H37" i="1" a="1"/>
  <c r="H38" i="1" a="1"/>
  <c r="B27" i="1" a="1"/>
  <c r="D102" i="1" a="1"/>
  <c r="F49" i="1" a="1"/>
  <c r="C51" i="1" a="1"/>
  <c r="N60" i="1" a="1"/>
  <c r="B64" i="1" a="1"/>
  <c r="O24" i="1" a="1"/>
  <c r="J28" i="1" a="1"/>
  <c r="G35" i="1" a="1"/>
  <c r="G38" i="1" a="1"/>
  <c r="C40" i="1" a="1"/>
  <c r="AD105" i="1" a="1"/>
  <c r="X64" i="1" a="1"/>
  <c r="U37" i="1" a="1"/>
  <c r="AB38" i="1" a="1"/>
  <c r="AG24" i="1" a="1"/>
  <c r="K127" i="1" a="1"/>
  <c r="D123" i="1" a="1"/>
  <c r="E133" i="1" a="1"/>
  <c r="J97" i="1" a="1"/>
  <c r="I107" i="1" a="1"/>
  <c r="B112" i="1" a="1"/>
  <c r="M99" i="1" a="1"/>
  <c r="L78" i="1" a="1"/>
  <c r="M82" i="1" a="1"/>
  <c r="M78" i="1" a="1"/>
  <c r="L85" i="1" a="1"/>
  <c r="H79" i="1" a="1"/>
  <c r="F88" i="1" a="1"/>
  <c r="M85" i="1" a="1"/>
  <c r="G74" i="1" a="1"/>
  <c r="M77" i="1" a="1"/>
  <c r="C82" i="1" a="1"/>
  <c r="G88" i="1" a="1"/>
  <c r="K72" i="1" a="1"/>
  <c r="C72" i="1" a="1"/>
  <c r="B51" i="1" a="1"/>
  <c r="F53" i="1" a="1"/>
  <c r="N55" i="1" a="1"/>
  <c r="H58" i="1" a="1"/>
  <c r="F63" i="1" a="1"/>
  <c r="G64" i="1" a="1"/>
  <c r="I62" i="1" a="1"/>
  <c r="G60" i="1" a="1"/>
  <c r="I50" i="1" a="1"/>
  <c r="M52" i="1" a="1"/>
  <c r="C55" i="1" a="1"/>
  <c r="K57" i="1" a="1"/>
  <c r="C61" i="1" a="1"/>
  <c r="E55" i="1" a="1"/>
  <c r="L59" i="1" a="1"/>
  <c r="F64" i="1" a="1"/>
  <c r="D49" i="1" a="1"/>
  <c r="H51" i="1" a="1"/>
  <c r="L53" i="1" a="1"/>
  <c r="F56" i="1" a="1"/>
  <c r="J58" i="1" a="1"/>
  <c r="N62" i="1" a="1"/>
  <c r="K62" i="1" a="1"/>
  <c r="O50" i="1" a="1"/>
  <c r="C56" i="1" a="1"/>
  <c r="N59" i="1" a="1"/>
  <c r="D64" i="1" a="1"/>
  <c r="C64" i="1" a="1"/>
  <c r="H48" i="1" a="1"/>
  <c r="G24" i="1" a="1"/>
  <c r="M26" i="1" a="1"/>
  <c r="F29" i="1" a="1"/>
  <c r="L31" i="1" a="1"/>
  <c r="I34" i="1" a="1"/>
  <c r="I38" i="1" a="1"/>
  <c r="O35" i="1" a="1"/>
  <c r="M39" i="1" a="1"/>
  <c r="H24" i="1" a="1"/>
  <c r="N26" i="1" a="1"/>
  <c r="G29" i="1" a="1"/>
  <c r="D32" i="1" a="1"/>
  <c r="N34" i="1" a="1"/>
  <c r="O37" i="1" a="1"/>
  <c r="J32" i="1" a="1"/>
  <c r="K38" i="1" a="1"/>
  <c r="M24" i="1" a="1"/>
  <c r="L29" i="1" a="1"/>
  <c r="O34" i="1" a="1"/>
  <c r="K27" i="1" a="1"/>
  <c r="B35" i="1" a="1"/>
  <c r="C101" i="1" a="1"/>
  <c r="C88" i="1" a="1"/>
  <c r="I72" i="1" a="1"/>
  <c r="E58" i="1" a="1"/>
  <c r="O55" i="1" a="1"/>
  <c r="B52" i="1" a="1"/>
  <c r="I51" i="1" a="1"/>
  <c r="H27" i="1" a="1"/>
  <c r="F40" i="1" a="1"/>
  <c r="I35" i="1" a="1"/>
  <c r="D33" i="1" a="1"/>
  <c r="K32" i="1" a="1"/>
  <c r="U106" i="1" a="1"/>
  <c r="U48" i="1" a="1"/>
  <c r="W40" i="1" a="1"/>
  <c r="U32" i="1" a="1"/>
  <c r="Y24" i="1" a="1"/>
  <c r="O131" i="1" a="1"/>
  <c r="B126" i="1" a="1"/>
  <c r="F121" i="1" a="1"/>
  <c r="N99" i="1" a="1"/>
  <c r="I98" i="1" a="1"/>
  <c r="K108" i="1" a="1"/>
  <c r="E109" i="1" a="1"/>
  <c r="B81" i="1" a="1"/>
  <c r="M86" i="1" a="1"/>
  <c r="I82" i="1" a="1"/>
  <c r="D73" i="1" a="1"/>
  <c r="H81" i="1" a="1"/>
  <c r="K76" i="1" a="1"/>
  <c r="G86" i="1" a="1"/>
  <c r="K74" i="1" a="1"/>
  <c r="C78" i="1" a="1"/>
  <c r="K82" i="1" a="1"/>
  <c r="O88" i="1" a="1"/>
  <c r="J72" i="1" a="1"/>
  <c r="B49" i="1" a="1"/>
  <c r="F51" i="1" a="1"/>
  <c r="J53" i="1" a="1"/>
  <c r="D56" i="1" a="1"/>
  <c r="B59" i="1" a="1"/>
  <c r="N63" i="1" a="1"/>
  <c r="K55" i="1" a="1"/>
  <c r="C63" i="1" a="1"/>
  <c r="G62" i="1" a="1"/>
  <c r="M50" i="1" a="1"/>
  <c r="C53" i="1" a="1"/>
  <c r="G55" i="1" a="1"/>
  <c r="O57" i="1" a="1"/>
  <c r="K61" i="1" a="1"/>
  <c r="I57" i="1" a="1"/>
  <c r="F60" i="1" a="1"/>
  <c r="J64" i="1" a="1"/>
  <c r="H49" i="1" a="1"/>
  <c r="L51" i="1" a="1"/>
  <c r="B54" i="1" a="1"/>
  <c r="J56" i="1" a="1"/>
  <c r="D59" i="1" a="1"/>
  <c r="H63" i="1" a="1"/>
  <c r="M63" i="1" a="1"/>
  <c r="E51" i="1" a="1"/>
  <c r="C58" i="1" a="1"/>
  <c r="H60" i="1" a="1"/>
  <c r="L64" i="1" a="1"/>
  <c r="O48" i="1" a="1"/>
  <c r="G48" i="1" a="1"/>
  <c r="K24" i="1" a="1"/>
  <c r="D27" i="1" a="1"/>
  <c r="J29" i="1" a="1"/>
  <c r="C32" i="1" a="1"/>
  <c r="M34" i="1" a="1"/>
  <c r="D39" i="1" a="1"/>
  <c r="D38" i="1" a="1"/>
  <c r="H40" i="1" a="1"/>
  <c r="L24" i="1" a="1"/>
  <c r="E27" i="1" a="1"/>
  <c r="K29" i="1" a="1"/>
  <c r="H32" i="1" a="1"/>
  <c r="E35" i="1" a="1"/>
  <c r="F38" i="1" a="1"/>
  <c r="H34" i="1" a="1"/>
  <c r="N39" i="1" a="1"/>
  <c r="D25" i="1" a="1"/>
  <c r="J27" i="1" a="1"/>
  <c r="C30" i="1" a="1"/>
  <c r="M32" i="1" a="1"/>
  <c r="F35" i="1" a="1"/>
  <c r="C38" i="1" a="1"/>
  <c r="E33" i="1" a="1"/>
  <c r="I25" i="1" a="1"/>
  <c r="O27" i="1" a="1"/>
  <c r="J40" i="1" a="1"/>
  <c r="H39" i="1" a="1"/>
  <c r="J36" i="1" a="1"/>
  <c r="B34" i="1" a="1"/>
  <c r="B26" i="1" a="1"/>
  <c r="AD80" i="1" a="1"/>
  <c r="AF31" i="1" a="1"/>
  <c r="X34" i="1" a="1"/>
  <c r="AC38" i="1" a="1"/>
  <c r="O123" i="1" a="1"/>
  <c r="J123" i="1" a="1"/>
  <c r="N98" i="1" a="1"/>
  <c r="D108" i="1" a="1"/>
  <c r="C83" i="1" a="1"/>
  <c r="H73" i="1" a="1"/>
  <c r="E79" i="1" a="1"/>
  <c r="E75" i="1" a="1"/>
  <c r="H86" i="1" a="1"/>
  <c r="H64" i="1" a="1"/>
  <c r="I58" i="1" a="1"/>
  <c r="F54" i="1" a="1"/>
  <c r="C60" i="1" a="1"/>
  <c r="G32" i="1" a="1"/>
  <c r="O29" i="1" a="1"/>
  <c r="H25" i="1" a="1"/>
  <c r="M25" i="1" a="1"/>
  <c r="AO133" i="1" l="1"/>
  <c r="AU130" i="1"/>
  <c r="AU132" i="1"/>
  <c r="AY136" i="1"/>
  <c r="AU134" i="1"/>
  <c r="AQ132" i="1"/>
  <c r="AM130" i="1"/>
  <c r="AU136" i="1"/>
  <c r="AQ134" i="1"/>
  <c r="AM132" i="1"/>
  <c r="AW129" i="1"/>
  <c r="AQ128" i="1"/>
  <c r="AM134" i="1"/>
  <c r="AS129" i="1"/>
  <c r="AS135" i="1"/>
  <c r="AY132" i="1"/>
  <c r="AQ130" i="1"/>
  <c r="AM136" i="1"/>
  <c r="AO129" i="1"/>
  <c r="AO135" i="1"/>
  <c r="AY134" i="1"/>
  <c r="AQ136" i="1"/>
  <c r="AW131" i="1"/>
  <c r="AW133" i="1"/>
  <c r="AS131" i="1"/>
  <c r="AW135" i="1"/>
  <c r="AS133" i="1"/>
  <c r="AO131" i="1"/>
  <c r="AY128" i="1"/>
  <c r="AY130" i="1"/>
  <c r="AU128" i="1"/>
  <c r="AM128" i="1"/>
  <c r="AM126" i="1"/>
  <c r="AU124" i="1"/>
  <c r="AO121" i="1"/>
  <c r="AP136" i="1"/>
  <c r="AN135" i="1"/>
  <c r="AN133" i="1"/>
  <c r="AV136" i="1"/>
  <c r="AX135" i="1"/>
  <c r="AP135" i="1"/>
  <c r="AV134" i="1"/>
  <c r="AN134" i="1"/>
  <c r="AT133" i="1"/>
  <c r="AP133" i="1"/>
  <c r="AV132" i="1"/>
  <c r="AR132" i="1"/>
  <c r="AX131" i="1"/>
  <c r="AT131" i="1"/>
  <c r="AL131" i="1"/>
  <c r="AR130" i="1"/>
  <c r="AX129" i="1"/>
  <c r="AT129" i="1"/>
  <c r="AL129" i="1"/>
  <c r="AN128" i="1"/>
  <c r="AV124" i="1"/>
  <c r="AS127" i="1"/>
  <c r="AS125" i="1"/>
  <c r="AW123" i="1"/>
  <c r="AU122" i="1"/>
  <c r="AR135" i="1"/>
  <c r="AR133" i="1"/>
  <c r="AP132" i="1"/>
  <c r="AV131" i="1"/>
  <c r="AN131" i="1"/>
  <c r="AP130" i="1"/>
  <c r="AR129" i="1"/>
  <c r="AX128" i="1"/>
  <c r="AP128" i="1"/>
  <c r="AV127" i="1"/>
  <c r="AN127" i="1"/>
  <c r="AT126" i="1"/>
  <c r="AL126" i="1"/>
  <c r="AR125" i="1"/>
  <c r="AX124" i="1"/>
  <c r="AL124" i="1"/>
  <c r="AV123" i="1"/>
  <c r="AN123" i="1"/>
  <c r="AX122" i="1"/>
  <c r="AT122" i="1"/>
  <c r="AP122" i="1"/>
  <c r="AL122" i="1"/>
  <c r="AV121" i="1"/>
  <c r="AN121" i="1"/>
  <c r="AU126" i="1"/>
  <c r="AY124" i="1"/>
  <c r="AY122" i="1"/>
  <c r="AM122" i="1"/>
  <c r="AT136" i="1"/>
  <c r="AT134" i="1"/>
  <c r="AX132" i="1"/>
  <c r="AL132" i="1"/>
  <c r="AR131" i="1"/>
  <c r="AX130" i="1"/>
  <c r="AT130" i="1"/>
  <c r="AL130" i="1"/>
  <c r="AV129" i="1"/>
  <c r="AN129" i="1"/>
  <c r="AT128" i="1"/>
  <c r="AL128" i="1"/>
  <c r="AR127" i="1"/>
  <c r="AX126" i="1"/>
  <c r="AP126" i="1"/>
  <c r="AV125" i="1"/>
  <c r="AN125" i="1"/>
  <c r="AT124" i="1"/>
  <c r="AP124" i="1"/>
  <c r="AR123" i="1"/>
  <c r="AR121" i="1"/>
  <c r="AO127" i="1"/>
  <c r="AW125" i="1"/>
  <c r="AQ124" i="1"/>
  <c r="AS123" i="1"/>
  <c r="AW121" i="1"/>
  <c r="AV135" i="1"/>
  <c r="AL134" i="1"/>
  <c r="AS136" i="1"/>
  <c r="AY135" i="1"/>
  <c r="AQ135" i="1"/>
  <c r="AW134" i="1"/>
  <c r="AS134" i="1"/>
  <c r="AU133" i="1"/>
  <c r="AM133" i="1"/>
  <c r="AS132" i="1"/>
  <c r="AO132" i="1"/>
  <c r="AU131" i="1"/>
  <c r="AM131" i="1"/>
  <c r="AS130" i="1"/>
  <c r="AY129" i="1"/>
  <c r="AQ129" i="1"/>
  <c r="AW128" i="1"/>
  <c r="AS128" i="1"/>
  <c r="AY127" i="1"/>
  <c r="AU127" i="1"/>
  <c r="AQ127" i="1"/>
  <c r="AM127" i="1"/>
  <c r="AW126" i="1"/>
  <c r="AS126" i="1"/>
  <c r="AO126" i="1"/>
  <c r="AY125" i="1"/>
  <c r="AU125" i="1"/>
  <c r="AQ125" i="1"/>
  <c r="AW124" i="1"/>
  <c r="AS124" i="1"/>
  <c r="AO124" i="1"/>
  <c r="AY123" i="1"/>
  <c r="AU123" i="1"/>
  <c r="AQ123" i="1"/>
  <c r="AM123" i="1"/>
  <c r="AW122" i="1"/>
  <c r="AS122" i="1"/>
  <c r="AO122" i="1"/>
  <c r="AY121" i="1"/>
  <c r="AU121" i="1"/>
  <c r="AQ121" i="1"/>
  <c r="AM121" i="1"/>
  <c r="AW127" i="1"/>
  <c r="AQ126" i="1"/>
  <c r="AM124" i="1"/>
  <c r="AS121" i="1"/>
  <c r="AX136" i="1"/>
  <c r="AX134" i="1"/>
  <c r="AV133" i="1"/>
  <c r="AT132" i="1"/>
  <c r="AW136" i="1"/>
  <c r="AO136" i="1"/>
  <c r="AU135" i="1"/>
  <c r="AM135" i="1"/>
  <c r="AO134" i="1"/>
  <c r="AY133" i="1"/>
  <c r="AQ133" i="1"/>
  <c r="AW132" i="1"/>
  <c r="AY131" i="1"/>
  <c r="AQ131" i="1"/>
  <c r="AW130" i="1"/>
  <c r="AO130" i="1"/>
  <c r="AU129" i="1"/>
  <c r="AM129" i="1"/>
  <c r="AO128" i="1"/>
  <c r="AM125" i="1"/>
  <c r="AY126" i="1"/>
  <c r="AO125" i="1"/>
  <c r="AO123" i="1"/>
  <c r="AQ122" i="1"/>
  <c r="AL136" i="1"/>
  <c r="AP134" i="1"/>
  <c r="AR136" i="1"/>
  <c r="AN136" i="1"/>
  <c r="AT135" i="1"/>
  <c r="AL135" i="1"/>
  <c r="AR134" i="1"/>
  <c r="AX133" i="1"/>
  <c r="AL133" i="1"/>
  <c r="AN132" i="1"/>
  <c r="AP131" i="1"/>
  <c r="AV130" i="1"/>
  <c r="AN130" i="1"/>
  <c r="AP129" i="1"/>
  <c r="AV128" i="1"/>
  <c r="AR128" i="1"/>
  <c r="AX127" i="1"/>
  <c r="AT127" i="1"/>
  <c r="AP127" i="1"/>
  <c r="AL127" i="1"/>
  <c r="AV126" i="1"/>
  <c r="AR126" i="1"/>
  <c r="AN126" i="1"/>
  <c r="AX125" i="1"/>
  <c r="AT125" i="1"/>
  <c r="AP125" i="1"/>
  <c r="AL125" i="1"/>
  <c r="AR124" i="1"/>
  <c r="AN124" i="1"/>
  <c r="AX123" i="1"/>
  <c r="AT123" i="1"/>
  <c r="AP123" i="1"/>
  <c r="AL123" i="1"/>
  <c r="AV122" i="1"/>
  <c r="AR122" i="1"/>
  <c r="AN122" i="1"/>
  <c r="AX121" i="1"/>
  <c r="AT121" i="1"/>
  <c r="AP121" i="1"/>
  <c r="AL121" i="1"/>
  <c r="AY120" i="1"/>
  <c r="AX120" i="1"/>
  <c r="AW120" i="1"/>
  <c r="AV120" i="1"/>
  <c r="AU120" i="1"/>
  <c r="AT120" i="1"/>
  <c r="AS120" i="1"/>
  <c r="AR120" i="1"/>
  <c r="AQ120" i="1"/>
  <c r="AP120" i="1"/>
  <c r="AO120" i="1"/>
  <c r="AN120" i="1"/>
  <c r="AM120" i="1"/>
  <c r="AL120" i="1"/>
  <c r="AP111" i="1"/>
  <c r="AN112" i="1"/>
  <c r="AX111" i="1"/>
  <c r="AV112" i="1"/>
  <c r="AT111" i="1"/>
  <c r="AR112" i="1"/>
  <c r="AO111" i="1"/>
  <c r="AU98" i="1"/>
  <c r="AQ98" i="1"/>
  <c r="AW97" i="1"/>
  <c r="AS97" i="1"/>
  <c r="AO97" i="1"/>
  <c r="AM112" i="1"/>
  <c r="AM110" i="1"/>
  <c r="AS107" i="1"/>
  <c r="AM104" i="1"/>
  <c r="AQ102" i="1"/>
  <c r="AW101" i="1"/>
  <c r="AS101" i="1"/>
  <c r="AO101" i="1"/>
  <c r="AY100" i="1"/>
  <c r="AU100" i="1"/>
  <c r="AQ100" i="1"/>
  <c r="AM100" i="1"/>
  <c r="AW99" i="1"/>
  <c r="AS99" i="1"/>
  <c r="AO99" i="1"/>
  <c r="AY98" i="1"/>
  <c r="AM98" i="1"/>
  <c r="AU112" i="1"/>
  <c r="AY110" i="1"/>
  <c r="AS109" i="1"/>
  <c r="AQ108" i="1"/>
  <c r="AY106" i="1"/>
  <c r="AW105" i="1"/>
  <c r="AU104" i="1"/>
  <c r="AY102" i="1"/>
  <c r="AT112" i="1"/>
  <c r="AV111" i="1"/>
  <c r="AN111" i="1"/>
  <c r="AT110" i="1"/>
  <c r="AL110" i="1"/>
  <c r="AR109" i="1"/>
  <c r="AX108" i="1"/>
  <c r="AP108" i="1"/>
  <c r="AV107" i="1"/>
  <c r="AN107" i="1"/>
  <c r="AT106" i="1"/>
  <c r="AL106" i="1"/>
  <c r="AR105" i="1"/>
  <c r="AX104" i="1"/>
  <c r="AP104" i="1"/>
  <c r="AV103" i="1"/>
  <c r="AR103" i="1"/>
  <c r="AX102" i="1"/>
  <c r="AL102" i="1"/>
  <c r="AR101" i="1"/>
  <c r="AN101" i="1"/>
  <c r="AX100" i="1"/>
  <c r="AP100" i="1"/>
  <c r="AL100" i="1"/>
  <c r="AV99" i="1"/>
  <c r="AR99" i="1"/>
  <c r="AN99" i="1"/>
  <c r="AX98" i="1"/>
  <c r="AT98" i="1"/>
  <c r="AL98" i="1"/>
  <c r="AV97" i="1"/>
  <c r="AR97" i="1"/>
  <c r="AN97" i="1"/>
  <c r="AQ112" i="1"/>
  <c r="AU110" i="1"/>
  <c r="AO109" i="1"/>
  <c r="AM108" i="1"/>
  <c r="AU106" i="1"/>
  <c r="AO105" i="1"/>
  <c r="AW103" i="1"/>
  <c r="AU102" i="1"/>
  <c r="AP112" i="1"/>
  <c r="AL112" i="1"/>
  <c r="AR111" i="1"/>
  <c r="AX110" i="1"/>
  <c r="AP110" i="1"/>
  <c r="AV109" i="1"/>
  <c r="AN109" i="1"/>
  <c r="AT108" i="1"/>
  <c r="AL108" i="1"/>
  <c r="AR107" i="1"/>
  <c r="AX106" i="1"/>
  <c r="AP106" i="1"/>
  <c r="AV105" i="1"/>
  <c r="AN105" i="1"/>
  <c r="AT104" i="1"/>
  <c r="AL104" i="1"/>
  <c r="AN103" i="1"/>
  <c r="AT102" i="1"/>
  <c r="AP102" i="1"/>
  <c r="AV101" i="1"/>
  <c r="AT100" i="1"/>
  <c r="AP98" i="1"/>
  <c r="AY112" i="1"/>
  <c r="AS111" i="1"/>
  <c r="AW109" i="1"/>
  <c r="AU108" i="1"/>
  <c r="AO107" i="1"/>
  <c r="AM106" i="1"/>
  <c r="AY104" i="1"/>
  <c r="AS103" i="1"/>
  <c r="AM102" i="1"/>
  <c r="AW112" i="1"/>
  <c r="AO112" i="1"/>
  <c r="AU111" i="1"/>
  <c r="AM111" i="1"/>
  <c r="AS110" i="1"/>
  <c r="AY109" i="1"/>
  <c r="AQ109" i="1"/>
  <c r="AW108" i="1"/>
  <c r="AS108" i="1"/>
  <c r="AY107" i="1"/>
  <c r="AQ107" i="1"/>
  <c r="AW106" i="1"/>
  <c r="AO106" i="1"/>
  <c r="AU105" i="1"/>
  <c r="AM105" i="1"/>
  <c r="AS104" i="1"/>
  <c r="AY103" i="1"/>
  <c r="AQ103" i="1"/>
  <c r="AW102" i="1"/>
  <c r="AO102" i="1"/>
  <c r="AU101" i="1"/>
  <c r="AM101" i="1"/>
  <c r="AS100" i="1"/>
  <c r="AY99" i="1"/>
  <c r="AU99" i="1"/>
  <c r="AM99" i="1"/>
  <c r="AW98" i="1"/>
  <c r="AS98" i="1"/>
  <c r="AO98" i="1"/>
  <c r="AY97" i="1"/>
  <c r="AQ97" i="1"/>
  <c r="AM97" i="1"/>
  <c r="AW111" i="1"/>
  <c r="AQ110" i="1"/>
  <c r="AY108" i="1"/>
  <c r="AW107" i="1"/>
  <c r="AQ106" i="1"/>
  <c r="AS105" i="1"/>
  <c r="AQ104" i="1"/>
  <c r="AO103" i="1"/>
  <c r="AX112" i="1"/>
  <c r="AS112" i="1"/>
  <c r="AY111" i="1"/>
  <c r="AQ111" i="1"/>
  <c r="AW110" i="1"/>
  <c r="AO110" i="1"/>
  <c r="AU109" i="1"/>
  <c r="AM109" i="1"/>
  <c r="AO108" i="1"/>
  <c r="AU107" i="1"/>
  <c r="AM107" i="1"/>
  <c r="AS106" i="1"/>
  <c r="AY105" i="1"/>
  <c r="AQ105" i="1"/>
  <c r="AW104" i="1"/>
  <c r="AO104" i="1"/>
  <c r="AU103" i="1"/>
  <c r="AM103" i="1"/>
  <c r="AS102" i="1"/>
  <c r="AY101" i="1"/>
  <c r="AQ101" i="1"/>
  <c r="AW100" i="1"/>
  <c r="AO100" i="1"/>
  <c r="AQ99" i="1"/>
  <c r="AU97" i="1"/>
  <c r="AL111" i="1"/>
  <c r="AV110" i="1"/>
  <c r="AR110" i="1"/>
  <c r="AN110" i="1"/>
  <c r="AX109" i="1"/>
  <c r="AT109" i="1"/>
  <c r="AP109" i="1"/>
  <c r="AL109" i="1"/>
  <c r="AV108" i="1"/>
  <c r="AR108" i="1"/>
  <c r="AN108" i="1"/>
  <c r="AX107" i="1"/>
  <c r="AT107" i="1"/>
  <c r="AP107" i="1"/>
  <c r="AL107" i="1"/>
  <c r="AV106" i="1"/>
  <c r="AR106" i="1"/>
  <c r="AN106" i="1"/>
  <c r="AX105" i="1"/>
  <c r="AT105" i="1"/>
  <c r="AP105" i="1"/>
  <c r="AL105" i="1"/>
  <c r="AV104" i="1"/>
  <c r="AR104" i="1"/>
  <c r="AN104" i="1"/>
  <c r="AX103" i="1"/>
  <c r="AT103" i="1"/>
  <c r="AP103" i="1"/>
  <c r="AL103" i="1"/>
  <c r="AV102" i="1"/>
  <c r="AR102" i="1"/>
  <c r="AN102" i="1"/>
  <c r="AX101" i="1"/>
  <c r="AT101" i="1"/>
  <c r="AP101" i="1"/>
  <c r="AL101" i="1"/>
  <c r="AV100" i="1"/>
  <c r="AR100" i="1"/>
  <c r="AN100" i="1"/>
  <c r="AX99" i="1"/>
  <c r="AT99" i="1"/>
  <c r="AP99" i="1"/>
  <c r="AL99" i="1"/>
  <c r="AV98" i="1"/>
  <c r="AR98" i="1"/>
  <c r="AN98" i="1"/>
  <c r="AX97" i="1"/>
  <c r="AT97" i="1"/>
  <c r="AP97" i="1"/>
  <c r="AL97" i="1"/>
  <c r="AY96" i="1"/>
  <c r="AX96" i="1"/>
  <c r="AW96" i="1"/>
  <c r="AV96" i="1"/>
  <c r="AU96" i="1"/>
  <c r="AT96" i="1"/>
  <c r="AS96" i="1"/>
  <c r="AR96" i="1"/>
  <c r="AQ96" i="1"/>
  <c r="AP96" i="1"/>
  <c r="AO96" i="1"/>
  <c r="AN96" i="1"/>
  <c r="AM96" i="1"/>
  <c r="AL96" i="1"/>
  <c r="AR88" i="1"/>
  <c r="AV88" i="1"/>
  <c r="AN88" i="1"/>
  <c r="AQ86" i="1"/>
  <c r="AS83" i="1"/>
  <c r="AM82" i="1"/>
  <c r="AO81" i="1"/>
  <c r="AY80" i="1"/>
  <c r="AU80" i="1"/>
  <c r="AQ80" i="1"/>
  <c r="AM80" i="1"/>
  <c r="AW79" i="1"/>
  <c r="AS79" i="1"/>
  <c r="AO79" i="1"/>
  <c r="AY78" i="1"/>
  <c r="AU78" i="1"/>
  <c r="AQ78" i="1"/>
  <c r="AM78" i="1"/>
  <c r="AW77" i="1"/>
  <c r="AO77" i="1"/>
  <c r="AU76" i="1"/>
  <c r="AM76" i="1"/>
  <c r="AW75" i="1"/>
  <c r="AS75" i="1"/>
  <c r="AO75" i="1"/>
  <c r="AY74" i="1"/>
  <c r="AQ74" i="1"/>
  <c r="AM74" i="1"/>
  <c r="AW73" i="1"/>
  <c r="AS73" i="1"/>
  <c r="AO73" i="1"/>
  <c r="AS77" i="1"/>
  <c r="AY76" i="1"/>
  <c r="AQ76" i="1"/>
  <c r="AU74" i="1"/>
  <c r="AU88" i="1"/>
  <c r="AS87" i="1"/>
  <c r="AM86" i="1"/>
  <c r="AY84" i="1"/>
  <c r="AW83" i="1"/>
  <c r="AY82" i="1"/>
  <c r="AQ82" i="1"/>
  <c r="AW81" i="1"/>
  <c r="AX88" i="1"/>
  <c r="AP88" i="1"/>
  <c r="AV87" i="1"/>
  <c r="AN87" i="1"/>
  <c r="AT86" i="1"/>
  <c r="AL86" i="1"/>
  <c r="AR85" i="1"/>
  <c r="AX84" i="1"/>
  <c r="AP84" i="1"/>
  <c r="AV83" i="1"/>
  <c r="AN83" i="1"/>
  <c r="AT82" i="1"/>
  <c r="AL82" i="1"/>
  <c r="AR81" i="1"/>
  <c r="AX80" i="1"/>
  <c r="AP80" i="1"/>
  <c r="AV79" i="1"/>
  <c r="AN79" i="1"/>
  <c r="AT78" i="1"/>
  <c r="AL78" i="1"/>
  <c r="AR77" i="1"/>
  <c r="AN77" i="1"/>
  <c r="AT76" i="1"/>
  <c r="AP76" i="1"/>
  <c r="AL76" i="1"/>
  <c r="AV75" i="1"/>
  <c r="AR75" i="1"/>
  <c r="AN75" i="1"/>
  <c r="AX74" i="1"/>
  <c r="AP74" i="1"/>
  <c r="AL74" i="1"/>
  <c r="AV73" i="1"/>
  <c r="AR73" i="1"/>
  <c r="AN73" i="1"/>
  <c r="AM88" i="1"/>
  <c r="AU86" i="1"/>
  <c r="AO85" i="1"/>
  <c r="AU84" i="1"/>
  <c r="AO83" i="1"/>
  <c r="AU82" i="1"/>
  <c r="AS81" i="1"/>
  <c r="AT88" i="1"/>
  <c r="AL88" i="1"/>
  <c r="AR87" i="1"/>
  <c r="AX86" i="1"/>
  <c r="AP86" i="1"/>
  <c r="AV85" i="1"/>
  <c r="AN85" i="1"/>
  <c r="AT84" i="1"/>
  <c r="AL84" i="1"/>
  <c r="AR83" i="1"/>
  <c r="AX82" i="1"/>
  <c r="AP82" i="1"/>
  <c r="AV81" i="1"/>
  <c r="AN81" i="1"/>
  <c r="AT80" i="1"/>
  <c r="AL80" i="1"/>
  <c r="AR79" i="1"/>
  <c r="AX78" i="1"/>
  <c r="AP78" i="1"/>
  <c r="AV77" i="1"/>
  <c r="AX76" i="1"/>
  <c r="AT74" i="1"/>
  <c r="AY88" i="1"/>
  <c r="AW87" i="1"/>
  <c r="AY86" i="1"/>
  <c r="AS85" i="1"/>
  <c r="AQ84" i="1"/>
  <c r="AW88" i="1"/>
  <c r="AO88" i="1"/>
  <c r="AU87" i="1"/>
  <c r="AM87" i="1"/>
  <c r="AS86" i="1"/>
  <c r="AY85" i="1"/>
  <c r="AQ85" i="1"/>
  <c r="AW84" i="1"/>
  <c r="AO84" i="1"/>
  <c r="AU83" i="1"/>
  <c r="AM83" i="1"/>
  <c r="AS82" i="1"/>
  <c r="AY81" i="1"/>
  <c r="AQ81" i="1"/>
  <c r="AW80" i="1"/>
  <c r="AO80" i="1"/>
  <c r="AU79" i="1"/>
  <c r="AM79" i="1"/>
  <c r="AS78" i="1"/>
  <c r="AY77" i="1"/>
  <c r="AU77" i="1"/>
  <c r="AM77" i="1"/>
  <c r="AS76" i="1"/>
  <c r="AY75" i="1"/>
  <c r="AQ75" i="1"/>
  <c r="AM75" i="1"/>
  <c r="AW74" i="1"/>
  <c r="AS74" i="1"/>
  <c r="AO74" i="1"/>
  <c r="AY73" i="1"/>
  <c r="AQ73" i="1"/>
  <c r="AM73" i="1"/>
  <c r="AQ88" i="1"/>
  <c r="AO87" i="1"/>
  <c r="AW85" i="1"/>
  <c r="AM84" i="1"/>
  <c r="AS88" i="1"/>
  <c r="AY87" i="1"/>
  <c r="AQ87" i="1"/>
  <c r="AW86" i="1"/>
  <c r="AO86" i="1"/>
  <c r="AU85" i="1"/>
  <c r="AM85" i="1"/>
  <c r="AS84" i="1"/>
  <c r="AY83" i="1"/>
  <c r="AQ83" i="1"/>
  <c r="AW82" i="1"/>
  <c r="AO82" i="1"/>
  <c r="AU81" i="1"/>
  <c r="AM81" i="1"/>
  <c r="AS80" i="1"/>
  <c r="AY79" i="1"/>
  <c r="AQ79" i="1"/>
  <c r="AW78" i="1"/>
  <c r="AO78" i="1"/>
  <c r="AQ77" i="1"/>
  <c r="AW76" i="1"/>
  <c r="AO76" i="1"/>
  <c r="AU75" i="1"/>
  <c r="AU73" i="1"/>
  <c r="AX87" i="1"/>
  <c r="AT87" i="1"/>
  <c r="AP87" i="1"/>
  <c r="AL87" i="1"/>
  <c r="AV86" i="1"/>
  <c r="AR86" i="1"/>
  <c r="AN86" i="1"/>
  <c r="AX85" i="1"/>
  <c r="AT85" i="1"/>
  <c r="AP85" i="1"/>
  <c r="AL85" i="1"/>
  <c r="AV84" i="1"/>
  <c r="AR84" i="1"/>
  <c r="AN84" i="1"/>
  <c r="AX83" i="1"/>
  <c r="AT83" i="1"/>
  <c r="AP83" i="1"/>
  <c r="AL83" i="1"/>
  <c r="AV82" i="1"/>
  <c r="AR82" i="1"/>
  <c r="AN82" i="1"/>
  <c r="AX81" i="1"/>
  <c r="AT81" i="1"/>
  <c r="AP81" i="1"/>
  <c r="AL81" i="1"/>
  <c r="AV80" i="1"/>
  <c r="AR80" i="1"/>
  <c r="AN80" i="1"/>
  <c r="AX79" i="1"/>
  <c r="AT79" i="1"/>
  <c r="AP79" i="1"/>
  <c r="AL79" i="1"/>
  <c r="AV78" i="1"/>
  <c r="AR78" i="1"/>
  <c r="AN78" i="1"/>
  <c r="AX77" i="1"/>
  <c r="AT77" i="1"/>
  <c r="AP77" i="1"/>
  <c r="AL77" i="1"/>
  <c r="AV76" i="1"/>
  <c r="AR76" i="1"/>
  <c r="AN76" i="1"/>
  <c r="AX75" i="1"/>
  <c r="AT75" i="1"/>
  <c r="AP75" i="1"/>
  <c r="AL75" i="1"/>
  <c r="AV74" i="1"/>
  <c r="AR74" i="1"/>
  <c r="AN74" i="1"/>
  <c r="AX73" i="1"/>
  <c r="AT73" i="1"/>
  <c r="AP73" i="1"/>
  <c r="AL73" i="1"/>
  <c r="AY72" i="1"/>
  <c r="AX72" i="1"/>
  <c r="AW72" i="1"/>
  <c r="AV72" i="1"/>
  <c r="AU72" i="1"/>
  <c r="AT72" i="1"/>
  <c r="AS72" i="1"/>
  <c r="AR72" i="1"/>
  <c r="AQ72" i="1"/>
  <c r="AP72" i="1"/>
  <c r="AO72" i="1"/>
  <c r="AN72" i="1"/>
  <c r="AM72" i="1"/>
  <c r="AL72" i="1"/>
  <c r="AT63" i="1"/>
  <c r="AP63" i="1"/>
  <c r="AN62" i="1"/>
  <c r="AV64" i="1"/>
  <c r="AR64" i="1"/>
  <c r="AL63" i="1"/>
  <c r="AN64" i="1"/>
  <c r="AX63" i="1"/>
  <c r="AV62" i="1"/>
  <c r="AR62" i="1"/>
  <c r="AY64" i="1"/>
  <c r="AS63" i="1"/>
  <c r="AQ62" i="1"/>
  <c r="AO61" i="1"/>
  <c r="AW59" i="1"/>
  <c r="AU58" i="1"/>
  <c r="AQ58" i="1"/>
  <c r="AO57" i="1"/>
  <c r="AY56" i="1"/>
  <c r="AU56" i="1"/>
  <c r="AQ56" i="1"/>
  <c r="AM56" i="1"/>
  <c r="AW55" i="1"/>
  <c r="AS55" i="1"/>
  <c r="AO55" i="1"/>
  <c r="AY54" i="1"/>
  <c r="AU54" i="1"/>
  <c r="AQ54" i="1"/>
  <c r="AM54" i="1"/>
  <c r="AW53" i="1"/>
  <c r="AS53" i="1"/>
  <c r="AO53" i="1"/>
  <c r="AY52" i="1"/>
  <c r="AU52" i="1"/>
  <c r="AQ52" i="1"/>
  <c r="AM52" i="1"/>
  <c r="AW51" i="1"/>
  <c r="AS51" i="1"/>
  <c r="AO51" i="1"/>
  <c r="AY50" i="1"/>
  <c r="AU50" i="1"/>
  <c r="AQ50" i="1"/>
  <c r="AM50" i="1"/>
  <c r="AW49" i="1"/>
  <c r="AS49" i="1"/>
  <c r="AO49" i="1"/>
  <c r="AM64" i="1"/>
  <c r="AQ60" i="1"/>
  <c r="AX64" i="1"/>
  <c r="AN63" i="1"/>
  <c r="AP62" i="1"/>
  <c r="AV61" i="1"/>
  <c r="AN61" i="1"/>
  <c r="AT60" i="1"/>
  <c r="AL60" i="1"/>
  <c r="AR59" i="1"/>
  <c r="AX58" i="1"/>
  <c r="AP58" i="1"/>
  <c r="AV57" i="1"/>
  <c r="AN57" i="1"/>
  <c r="AT56" i="1"/>
  <c r="AL56" i="1"/>
  <c r="AR55" i="1"/>
  <c r="AX54" i="1"/>
  <c r="AP54" i="1"/>
  <c r="AL54" i="1"/>
  <c r="AR53" i="1"/>
  <c r="AN53" i="1"/>
  <c r="AT52" i="1"/>
  <c r="AP52" i="1"/>
  <c r="AL52" i="1"/>
  <c r="AV51" i="1"/>
  <c r="AR51" i="1"/>
  <c r="AN51" i="1"/>
  <c r="AX50" i="1"/>
  <c r="AP50" i="1"/>
  <c r="AL50" i="1"/>
  <c r="AV49" i="1"/>
  <c r="AR49" i="1"/>
  <c r="AN49" i="1"/>
  <c r="AU64" i="1"/>
  <c r="AO63" i="1"/>
  <c r="AM62" i="1"/>
  <c r="AY60" i="1"/>
  <c r="AS59" i="1"/>
  <c r="AW57" i="1"/>
  <c r="AL64" i="1"/>
  <c r="AR63" i="1"/>
  <c r="AX62" i="1"/>
  <c r="AT62" i="1"/>
  <c r="AL62" i="1"/>
  <c r="AR61" i="1"/>
  <c r="AX60" i="1"/>
  <c r="AP60" i="1"/>
  <c r="AV59" i="1"/>
  <c r="AN59" i="1"/>
  <c r="AT58" i="1"/>
  <c r="AL58" i="1"/>
  <c r="AR57" i="1"/>
  <c r="AX56" i="1"/>
  <c r="AP56" i="1"/>
  <c r="AV55" i="1"/>
  <c r="AN55" i="1"/>
  <c r="AT54" i="1"/>
  <c r="AV53" i="1"/>
  <c r="AX52" i="1"/>
  <c r="AT50" i="1"/>
  <c r="AW63" i="1"/>
  <c r="AU62" i="1"/>
  <c r="AS61" i="1"/>
  <c r="AM60" i="1"/>
  <c r="AY58" i="1"/>
  <c r="AS57" i="1"/>
  <c r="AP64" i="1"/>
  <c r="AW64" i="1"/>
  <c r="AO64" i="1"/>
  <c r="AU63" i="1"/>
  <c r="AM63" i="1"/>
  <c r="AS62" i="1"/>
  <c r="AY61" i="1"/>
  <c r="AU61" i="1"/>
  <c r="AM61" i="1"/>
  <c r="AS60" i="1"/>
  <c r="AY59" i="1"/>
  <c r="AQ59" i="1"/>
  <c r="AW58" i="1"/>
  <c r="AO58" i="1"/>
  <c r="AU57" i="1"/>
  <c r="AM57" i="1"/>
  <c r="AS56" i="1"/>
  <c r="AY55" i="1"/>
  <c r="AQ55" i="1"/>
  <c r="AW54" i="1"/>
  <c r="AO54" i="1"/>
  <c r="AU53" i="1"/>
  <c r="AQ53" i="1"/>
  <c r="AW52" i="1"/>
  <c r="AS52" i="1"/>
  <c r="AO52" i="1"/>
  <c r="AY51" i="1"/>
  <c r="AU51" i="1"/>
  <c r="AM51" i="1"/>
  <c r="AW50" i="1"/>
  <c r="AS50" i="1"/>
  <c r="AO50" i="1"/>
  <c r="AY49" i="1"/>
  <c r="AU49" i="1"/>
  <c r="AQ49" i="1"/>
  <c r="AM49" i="1"/>
  <c r="AQ64" i="1"/>
  <c r="AY62" i="1"/>
  <c r="AW61" i="1"/>
  <c r="AU60" i="1"/>
  <c r="AO59" i="1"/>
  <c r="AM58" i="1"/>
  <c r="AT64" i="1"/>
  <c r="AV63" i="1"/>
  <c r="AS64" i="1"/>
  <c r="AY63" i="1"/>
  <c r="AQ63" i="1"/>
  <c r="AW62" i="1"/>
  <c r="AO62" i="1"/>
  <c r="AQ61" i="1"/>
  <c r="AW60" i="1"/>
  <c r="AO60" i="1"/>
  <c r="AU59" i="1"/>
  <c r="AM59" i="1"/>
  <c r="AS58" i="1"/>
  <c r="AY57" i="1"/>
  <c r="AQ57" i="1"/>
  <c r="AW56" i="1"/>
  <c r="AO56" i="1"/>
  <c r="AU55" i="1"/>
  <c r="AM55" i="1"/>
  <c r="AS54" i="1"/>
  <c r="AY53" i="1"/>
  <c r="AM53" i="1"/>
  <c r="AQ51" i="1"/>
  <c r="AX61" i="1"/>
  <c r="AT61" i="1"/>
  <c r="AP61" i="1"/>
  <c r="AL61" i="1"/>
  <c r="AV60" i="1"/>
  <c r="AR60" i="1"/>
  <c r="AN60" i="1"/>
  <c r="AX59" i="1"/>
  <c r="AT59" i="1"/>
  <c r="AP59" i="1"/>
  <c r="AL59" i="1"/>
  <c r="AV58" i="1"/>
  <c r="AR58" i="1"/>
  <c r="AN58" i="1"/>
  <c r="AX57" i="1"/>
  <c r="AT57" i="1"/>
  <c r="AP57" i="1"/>
  <c r="AL57" i="1"/>
  <c r="AV56" i="1"/>
  <c r="AR56" i="1"/>
  <c r="AN56" i="1"/>
  <c r="AX55" i="1"/>
  <c r="AT55" i="1"/>
  <c r="AP55" i="1"/>
  <c r="AL55" i="1"/>
  <c r="AV54" i="1"/>
  <c r="AR54" i="1"/>
  <c r="AN54" i="1"/>
  <c r="AX53" i="1"/>
  <c r="AT53" i="1"/>
  <c r="AP53" i="1"/>
  <c r="AL53" i="1"/>
  <c r="AV52" i="1"/>
  <c r="AR52" i="1"/>
  <c r="AN52" i="1"/>
  <c r="AX51" i="1"/>
  <c r="AT51" i="1"/>
  <c r="AP51" i="1"/>
  <c r="AL51" i="1"/>
  <c r="AV50" i="1"/>
  <c r="AR50" i="1"/>
  <c r="AN50" i="1"/>
  <c r="AX49" i="1"/>
  <c r="AT49" i="1"/>
  <c r="AP49" i="1"/>
  <c r="AL49" i="1"/>
  <c r="AY48" i="1"/>
  <c r="AX48" i="1"/>
  <c r="AW48" i="1"/>
  <c r="AV48" i="1"/>
  <c r="AU48" i="1"/>
  <c r="AT48" i="1"/>
  <c r="AS48" i="1"/>
  <c r="AR48" i="1"/>
  <c r="AQ48" i="1"/>
  <c r="AP48" i="1"/>
  <c r="AO48" i="1"/>
  <c r="AN48" i="1"/>
  <c r="AM48" i="1"/>
  <c r="AL48" i="1"/>
  <c r="AR40" i="1"/>
  <c r="AX39" i="1"/>
  <c r="AP39" i="1"/>
  <c r="AT39" i="1"/>
  <c r="AV40" i="1"/>
  <c r="AN40" i="1"/>
  <c r="AS39" i="1"/>
  <c r="AW37" i="1"/>
  <c r="AU36" i="1"/>
  <c r="AS35" i="1"/>
  <c r="AM34" i="1"/>
  <c r="AS33" i="1"/>
  <c r="AY32" i="1"/>
  <c r="AQ32" i="1"/>
  <c r="AS31" i="1"/>
  <c r="AO29" i="1"/>
  <c r="AU40" i="1"/>
  <c r="AO39" i="1"/>
  <c r="AS37" i="1"/>
  <c r="AQ36" i="1"/>
  <c r="AO35" i="1"/>
  <c r="AQ34" i="1"/>
  <c r="AW33" i="1"/>
  <c r="AO33" i="1"/>
  <c r="AU32" i="1"/>
  <c r="AM32" i="1"/>
  <c r="AW31" i="1"/>
  <c r="AO31" i="1"/>
  <c r="AY30" i="1"/>
  <c r="AU30" i="1"/>
  <c r="AQ30" i="1"/>
  <c r="AM30" i="1"/>
  <c r="AW29" i="1"/>
  <c r="AS29" i="1"/>
  <c r="AY28" i="1"/>
  <c r="AU28" i="1"/>
  <c r="AQ28" i="1"/>
  <c r="AM28" i="1"/>
  <c r="AW27" i="1"/>
  <c r="AS27" i="1"/>
  <c r="AO27" i="1"/>
  <c r="AY26" i="1"/>
  <c r="AU26" i="1"/>
  <c r="AQ26" i="1"/>
  <c r="AM26" i="1"/>
  <c r="AW25" i="1"/>
  <c r="AS25" i="1"/>
  <c r="AO25" i="1"/>
  <c r="AW39" i="1"/>
  <c r="AM38" i="1"/>
  <c r="AY36" i="1"/>
  <c r="AW35" i="1"/>
  <c r="AU34" i="1"/>
  <c r="AT40" i="1"/>
  <c r="AL40" i="1"/>
  <c r="AR39" i="1"/>
  <c r="AX38" i="1"/>
  <c r="AP38" i="1"/>
  <c r="AV37" i="1"/>
  <c r="AN37" i="1"/>
  <c r="AT36" i="1"/>
  <c r="AL36" i="1"/>
  <c r="AR35" i="1"/>
  <c r="AX34" i="1"/>
  <c r="AP34" i="1"/>
  <c r="AV33" i="1"/>
  <c r="AN33" i="1"/>
  <c r="AT32" i="1"/>
  <c r="AL32" i="1"/>
  <c r="AR31" i="1"/>
  <c r="AX30" i="1"/>
  <c r="AP30" i="1"/>
  <c r="AV29" i="1"/>
  <c r="AR29" i="1"/>
  <c r="AX28" i="1"/>
  <c r="AT28" i="1"/>
  <c r="AP28" i="1"/>
  <c r="AL28" i="1"/>
  <c r="AV27" i="1"/>
  <c r="AR27" i="1"/>
  <c r="AN27" i="1"/>
  <c r="AX26" i="1"/>
  <c r="AP26" i="1"/>
  <c r="AL26" i="1"/>
  <c r="AV25" i="1"/>
  <c r="AR25" i="1"/>
  <c r="AN25" i="1"/>
  <c r="AQ40" i="1"/>
  <c r="AU38" i="1"/>
  <c r="AO37" i="1"/>
  <c r="AM36" i="1"/>
  <c r="AY34" i="1"/>
  <c r="AX40" i="1"/>
  <c r="AP40" i="1"/>
  <c r="AV39" i="1"/>
  <c r="AN39" i="1"/>
  <c r="AT38" i="1"/>
  <c r="AL38" i="1"/>
  <c r="AR37" i="1"/>
  <c r="AX36" i="1"/>
  <c r="AP36" i="1"/>
  <c r="AV35" i="1"/>
  <c r="AN35" i="1"/>
  <c r="AT34" i="1"/>
  <c r="AL34" i="1"/>
  <c r="AR33" i="1"/>
  <c r="AX32" i="1"/>
  <c r="AP32" i="1"/>
  <c r="AV31" i="1"/>
  <c r="AN31" i="1"/>
  <c r="AT30" i="1"/>
  <c r="AL30" i="1"/>
  <c r="AN29" i="1"/>
  <c r="AT26" i="1"/>
  <c r="AM40" i="1"/>
  <c r="AQ38" i="1"/>
  <c r="AS40" i="1"/>
  <c r="AY39" i="1"/>
  <c r="AQ39" i="1"/>
  <c r="AW38" i="1"/>
  <c r="AS38" i="1"/>
  <c r="AY37" i="1"/>
  <c r="AQ37" i="1"/>
  <c r="AW36" i="1"/>
  <c r="AO36" i="1"/>
  <c r="AU35" i="1"/>
  <c r="AM35" i="1"/>
  <c r="AS34" i="1"/>
  <c r="AY33" i="1"/>
  <c r="AQ33" i="1"/>
  <c r="AW32" i="1"/>
  <c r="AO32" i="1"/>
  <c r="AU31" i="1"/>
  <c r="AQ31" i="1"/>
  <c r="AW30" i="1"/>
  <c r="AO30" i="1"/>
  <c r="AU29" i="1"/>
  <c r="AM29" i="1"/>
  <c r="AO28" i="1"/>
  <c r="AQ27" i="1"/>
  <c r="AW26" i="1"/>
  <c r="AS26" i="1"/>
  <c r="AO26" i="1"/>
  <c r="AU25" i="1"/>
  <c r="AQ25" i="1"/>
  <c r="AM25" i="1"/>
  <c r="AY40" i="1"/>
  <c r="AY38" i="1"/>
  <c r="AW40" i="1"/>
  <c r="AO40" i="1"/>
  <c r="AU39" i="1"/>
  <c r="AM39" i="1"/>
  <c r="AO38" i="1"/>
  <c r="AU37" i="1"/>
  <c r="AM37" i="1"/>
  <c r="AS36" i="1"/>
  <c r="AY35" i="1"/>
  <c r="AQ35" i="1"/>
  <c r="AW34" i="1"/>
  <c r="AO34" i="1"/>
  <c r="AU33" i="1"/>
  <c r="AM33" i="1"/>
  <c r="AS32" i="1"/>
  <c r="AY31" i="1"/>
  <c r="AM31" i="1"/>
  <c r="AS30" i="1"/>
  <c r="AY29" i="1"/>
  <c r="AQ29" i="1"/>
  <c r="AW28" i="1"/>
  <c r="AS28" i="1"/>
  <c r="AY27" i="1"/>
  <c r="AU27" i="1"/>
  <c r="AM27" i="1"/>
  <c r="AY25" i="1"/>
  <c r="AL39" i="1"/>
  <c r="AV38" i="1"/>
  <c r="AR38" i="1"/>
  <c r="AN38" i="1"/>
  <c r="AX37" i="1"/>
  <c r="AT37" i="1"/>
  <c r="AP37" i="1"/>
  <c r="AL37" i="1"/>
  <c r="AV36" i="1"/>
  <c r="AR36" i="1"/>
  <c r="AN36" i="1"/>
  <c r="AX35" i="1"/>
  <c r="AT35" i="1"/>
  <c r="AP35" i="1"/>
  <c r="AL35" i="1"/>
  <c r="AV34" i="1"/>
  <c r="AR34" i="1"/>
  <c r="AN34" i="1"/>
  <c r="AX33" i="1"/>
  <c r="AT33" i="1"/>
  <c r="AP33" i="1"/>
  <c r="AL33" i="1"/>
  <c r="AV32" i="1"/>
  <c r="AR32" i="1"/>
  <c r="AN32" i="1"/>
  <c r="AX31" i="1"/>
  <c r="AT31" i="1"/>
  <c r="AP31" i="1"/>
  <c r="AL31" i="1"/>
  <c r="AV30" i="1"/>
  <c r="AR30" i="1"/>
  <c r="AN30" i="1"/>
  <c r="AX29" i="1"/>
  <c r="AT29" i="1"/>
  <c r="AP29" i="1"/>
  <c r="AL29" i="1"/>
  <c r="AV28" i="1"/>
  <c r="AR28" i="1"/>
  <c r="AN28" i="1"/>
  <c r="AX27" i="1"/>
  <c r="AT27" i="1"/>
  <c r="AP27" i="1"/>
  <c r="AL27" i="1"/>
  <c r="AV26" i="1"/>
  <c r="AR26" i="1"/>
  <c r="AN26" i="1"/>
  <c r="AX25" i="1"/>
  <c r="AT25" i="1"/>
  <c r="AP25" i="1"/>
  <c r="AL25" i="1"/>
  <c r="AY24" i="1"/>
  <c r="AX24" i="1"/>
  <c r="AW24" i="1"/>
  <c r="AV24" i="1"/>
  <c r="AU24" i="1"/>
  <c r="AT24" i="1"/>
  <c r="AS24" i="1"/>
  <c r="AR24" i="1"/>
  <c r="AQ24" i="1"/>
  <c r="AP24" i="1"/>
  <c r="AO24" i="1"/>
  <c r="AN24" i="1"/>
  <c r="AL24" i="1"/>
  <c r="M25" i="1"/>
  <c r="H25" i="1"/>
  <c r="O29" i="1"/>
  <c r="G32" i="1"/>
  <c r="C60" i="1"/>
  <c r="F54" i="1"/>
  <c r="I58" i="1"/>
  <c r="H64" i="1"/>
  <c r="H86" i="1"/>
  <c r="E75" i="1"/>
  <c r="E79" i="1"/>
  <c r="H73" i="1"/>
  <c r="C83" i="1"/>
  <c r="D108" i="1"/>
  <c r="N98" i="1"/>
  <c r="J123" i="1"/>
  <c r="O123" i="1"/>
  <c r="AC38" i="1"/>
  <c r="X34" i="1"/>
  <c r="AF31" i="1"/>
  <c r="AD80" i="1"/>
  <c r="B26" i="1"/>
  <c r="B34" i="1"/>
  <c r="J36" i="1"/>
  <c r="H39" i="1"/>
  <c r="J40" i="1"/>
  <c r="O27" i="1"/>
  <c r="I25" i="1"/>
  <c r="E33" i="1"/>
  <c r="C38" i="1"/>
  <c r="F35" i="1"/>
  <c r="M32" i="1"/>
  <c r="C30" i="1"/>
  <c r="J27" i="1"/>
  <c r="D25" i="1"/>
  <c r="N39" i="1"/>
  <c r="H34" i="1"/>
  <c r="F38" i="1"/>
  <c r="E35" i="1"/>
  <c r="H32" i="1"/>
  <c r="K29" i="1"/>
  <c r="E27" i="1"/>
  <c r="L24" i="1"/>
  <c r="H40" i="1"/>
  <c r="D38" i="1"/>
  <c r="D39" i="1"/>
  <c r="M34" i="1"/>
  <c r="C32" i="1"/>
  <c r="J29" i="1"/>
  <c r="D27" i="1"/>
  <c r="K24" i="1"/>
  <c r="G48" i="1"/>
  <c r="O48" i="1"/>
  <c r="L64" i="1"/>
  <c r="H60" i="1"/>
  <c r="C58" i="1"/>
  <c r="E51" i="1"/>
  <c r="M63" i="1"/>
  <c r="H63" i="1"/>
  <c r="D59" i="1"/>
  <c r="J56" i="1"/>
  <c r="B54" i="1"/>
  <c r="L51" i="1"/>
  <c r="H49" i="1"/>
  <c r="J64" i="1"/>
  <c r="F60" i="1"/>
  <c r="I57" i="1"/>
  <c r="K61" i="1"/>
  <c r="O57" i="1"/>
  <c r="G55" i="1"/>
  <c r="C53" i="1"/>
  <c r="M50" i="1"/>
  <c r="G62" i="1"/>
  <c r="C63" i="1"/>
  <c r="K55" i="1"/>
  <c r="N63" i="1"/>
  <c r="B59" i="1"/>
  <c r="D56" i="1"/>
  <c r="J53" i="1"/>
  <c r="F51" i="1"/>
  <c r="B49" i="1"/>
  <c r="J72" i="1"/>
  <c r="O88" i="1"/>
  <c r="K82" i="1"/>
  <c r="C78" i="1"/>
  <c r="K74" i="1"/>
  <c r="G86" i="1"/>
  <c r="K76" i="1"/>
  <c r="H81" i="1"/>
  <c r="D73" i="1"/>
  <c r="I82" i="1"/>
  <c r="M86" i="1"/>
  <c r="B81" i="1"/>
  <c r="E109" i="1"/>
  <c r="K108" i="1"/>
  <c r="I98" i="1"/>
  <c r="N99" i="1"/>
  <c r="F121" i="1"/>
  <c r="B126" i="1"/>
  <c r="O131" i="1"/>
  <c r="Y24" i="1"/>
  <c r="U32" i="1"/>
  <c r="W40" i="1"/>
  <c r="U48" i="1"/>
  <c r="U106" i="1"/>
  <c r="K32" i="1"/>
  <c r="D33" i="1"/>
  <c r="I35" i="1"/>
  <c r="F40" i="1"/>
  <c r="H27" i="1"/>
  <c r="I51" i="1"/>
  <c r="B52" i="1"/>
  <c r="O55" i="1"/>
  <c r="E58" i="1"/>
  <c r="I72" i="1"/>
  <c r="C88" i="1"/>
  <c r="C101" i="1"/>
  <c r="B35" i="1"/>
  <c r="K27" i="1"/>
  <c r="O34" i="1"/>
  <c r="L29" i="1"/>
  <c r="M24" i="1"/>
  <c r="K38" i="1"/>
  <c r="J32" i="1"/>
  <c r="O37" i="1"/>
  <c r="N34" i="1"/>
  <c r="D32" i="1"/>
  <c r="G29" i="1"/>
  <c r="N26" i="1"/>
  <c r="H24" i="1"/>
  <c r="M39" i="1"/>
  <c r="O35" i="1"/>
  <c r="I38" i="1"/>
  <c r="I34" i="1"/>
  <c r="L31" i="1"/>
  <c r="F29" i="1"/>
  <c r="M26" i="1"/>
  <c r="G24" i="1"/>
  <c r="H48" i="1"/>
  <c r="C64" i="1"/>
  <c r="D64" i="1"/>
  <c r="N59" i="1"/>
  <c r="C56" i="1"/>
  <c r="O50" i="1"/>
  <c r="K62" i="1"/>
  <c r="N62" i="1"/>
  <c r="J58" i="1"/>
  <c r="F56" i="1"/>
  <c r="L53" i="1"/>
  <c r="H51" i="1"/>
  <c r="D49" i="1"/>
  <c r="F64" i="1"/>
  <c r="L59" i="1"/>
  <c r="E55" i="1"/>
  <c r="C61" i="1"/>
  <c r="K57" i="1"/>
  <c r="C55" i="1"/>
  <c r="M52" i="1"/>
  <c r="I50" i="1"/>
  <c r="G60" i="1"/>
  <c r="I62" i="1"/>
  <c r="G64" i="1"/>
  <c r="F63" i="1"/>
  <c r="H58" i="1"/>
  <c r="N55" i="1"/>
  <c r="F53" i="1"/>
  <c r="B51" i="1"/>
  <c r="C72" i="1"/>
  <c r="K72" i="1"/>
  <c r="G88" i="1"/>
  <c r="C82" i="1"/>
  <c r="M77" i="1"/>
  <c r="G74" i="1"/>
  <c r="M85" i="1"/>
  <c r="F88" i="1"/>
  <c r="H79" i="1"/>
  <c r="L85" i="1"/>
  <c r="M78" i="1"/>
  <c r="M82" i="1"/>
  <c r="L78" i="1"/>
  <c r="M99" i="1"/>
  <c r="B112" i="1"/>
  <c r="I107" i="1"/>
  <c r="J97" i="1"/>
  <c r="E133" i="1"/>
  <c r="D123" i="1"/>
  <c r="K127" i="1"/>
  <c r="AG24" i="1"/>
  <c r="AB38" i="1"/>
  <c r="U37" i="1"/>
  <c r="X64" i="1"/>
  <c r="AD105" i="1"/>
  <c r="C40" i="1"/>
  <c r="G38" i="1"/>
  <c r="G35" i="1"/>
  <c r="J28" i="1"/>
  <c r="O24" i="1"/>
  <c r="B64" i="1"/>
  <c r="N60" i="1"/>
  <c r="C51" i="1"/>
  <c r="F49" i="1"/>
  <c r="D102" i="1"/>
  <c r="B27" i="1"/>
  <c r="H38" i="1"/>
  <c r="H37" i="1"/>
  <c r="F27" i="1"/>
  <c r="B28" i="1"/>
  <c r="B36" i="1"/>
  <c r="F32" i="1"/>
  <c r="E38" i="1"/>
  <c r="N36" i="1"/>
  <c r="G27" i="1"/>
  <c r="N24" i="1"/>
  <c r="E29" i="1"/>
  <c r="D37" i="1"/>
  <c r="K34" i="1"/>
  <c r="E32" i="1"/>
  <c r="H29" i="1"/>
  <c r="O26" i="1"/>
  <c r="I24" i="1"/>
  <c r="L37" i="1"/>
  <c r="C31" i="1"/>
  <c r="G37" i="1"/>
  <c r="J34" i="1"/>
  <c r="M31" i="1"/>
  <c r="C29" i="1"/>
  <c r="J26" i="1"/>
  <c r="D24" i="1"/>
  <c r="E39" i="1"/>
  <c r="I33" i="1"/>
  <c r="J37" i="1"/>
  <c r="E34" i="1"/>
  <c r="H31" i="1"/>
  <c r="O28" i="1"/>
  <c r="I26" i="1"/>
  <c r="C24" i="1"/>
  <c r="I48" i="1"/>
  <c r="I61" i="1"/>
  <c r="J63" i="1"/>
  <c r="F59" i="1"/>
  <c r="K54" i="1"/>
  <c r="K50" i="1"/>
  <c r="K60" i="1"/>
  <c r="F62" i="1"/>
  <c r="F58" i="1"/>
  <c r="B56" i="1"/>
  <c r="H53" i="1"/>
  <c r="D51" i="1"/>
  <c r="E63" i="1"/>
  <c r="L63" i="1"/>
  <c r="N58" i="1"/>
  <c r="K52" i="1"/>
  <c r="M60" i="1"/>
  <c r="G57" i="1"/>
  <c r="M54" i="1"/>
  <c r="I52" i="1"/>
  <c r="E50" i="1"/>
  <c r="K58" i="1"/>
  <c r="O61" i="1"/>
  <c r="O62" i="1"/>
  <c r="H62" i="1"/>
  <c r="N57" i="1"/>
  <c r="F55" i="1"/>
  <c r="B53" i="1"/>
  <c r="L50" i="1"/>
  <c r="D72" i="1"/>
  <c r="L72" i="1"/>
  <c r="E87" i="1"/>
  <c r="I81" i="1"/>
  <c r="E77" i="1"/>
  <c r="M73" i="1"/>
  <c r="E85" i="1"/>
  <c r="L87" i="1"/>
  <c r="N78" i="1"/>
  <c r="D85" i="1"/>
  <c r="I78" i="1"/>
  <c r="E82" i="1"/>
  <c r="H76" i="1"/>
  <c r="I97" i="1"/>
  <c r="D107" i="1"/>
  <c r="O109" i="1"/>
  <c r="G120" i="1"/>
  <c r="K126" i="1"/>
  <c r="D136" i="1"/>
  <c r="M124" i="1"/>
  <c r="AE37" i="1"/>
  <c r="T34" i="1"/>
  <c r="AA34" i="1"/>
  <c r="Y60" i="1"/>
  <c r="AC101" i="1"/>
  <c r="B33" i="1"/>
  <c r="N27" i="1"/>
  <c r="C25" i="1"/>
  <c r="M53" i="1"/>
  <c r="O52" i="1"/>
  <c r="H56" i="1"/>
  <c r="B130" i="1"/>
  <c r="M33" i="1"/>
  <c r="L30" i="1"/>
  <c r="B29" i="1"/>
  <c r="G31" i="1"/>
  <c r="C35" i="1"/>
  <c r="J24" i="1"/>
  <c r="G34" i="1"/>
  <c r="D29" i="1"/>
  <c r="E24" i="1"/>
  <c r="N31" i="1"/>
  <c r="C37" i="1"/>
  <c r="F34" i="1"/>
  <c r="E31" i="1"/>
  <c r="L28" i="1"/>
  <c r="F26" i="1"/>
  <c r="O39" i="1"/>
  <c r="J38" i="1"/>
  <c r="D30" i="1"/>
  <c r="O36" i="1"/>
  <c r="N33" i="1"/>
  <c r="D31" i="1"/>
  <c r="K28" i="1"/>
  <c r="E26" i="1"/>
  <c r="B48" i="1"/>
  <c r="J48" i="1"/>
  <c r="I59" i="1"/>
  <c r="B63" i="1"/>
  <c r="L58" i="1"/>
  <c r="E53" i="1"/>
  <c r="G50" i="1"/>
  <c r="O58" i="1"/>
  <c r="L61" i="1"/>
  <c r="B58" i="1"/>
  <c r="H55" i="1"/>
  <c r="D53" i="1"/>
  <c r="N50" i="1"/>
  <c r="E61" i="1"/>
  <c r="D63" i="1"/>
  <c r="L55" i="1"/>
  <c r="I64" i="1"/>
  <c r="E60" i="1"/>
  <c r="C57" i="1"/>
  <c r="I54" i="1"/>
  <c r="E52" i="1"/>
  <c r="O49" i="1"/>
  <c r="K56" i="1"/>
  <c r="G61" i="1"/>
  <c r="O60" i="1"/>
  <c r="N61" i="1"/>
  <c r="J57" i="1"/>
  <c r="B55" i="1"/>
  <c r="L52" i="1"/>
  <c r="H50" i="1"/>
  <c r="E72" i="1"/>
  <c r="M72" i="1"/>
  <c r="K86" i="1"/>
  <c r="O80" i="1"/>
  <c r="O76" i="1"/>
  <c r="I73" i="1"/>
  <c r="C84" i="1"/>
  <c r="J86" i="1"/>
  <c r="F78" i="1"/>
  <c r="D81" i="1"/>
  <c r="E76" i="1"/>
  <c r="J87" i="1"/>
  <c r="D74" i="1"/>
  <c r="M101" i="1"/>
  <c r="F100" i="1"/>
  <c r="G105" i="1"/>
  <c r="O120" i="1"/>
  <c r="G124" i="1"/>
  <c r="K128" i="1"/>
  <c r="E122" i="1"/>
  <c r="U34" i="1"/>
  <c r="X30" i="1"/>
  <c r="W32" i="1"/>
  <c r="AB61" i="1"/>
  <c r="AB99" i="1"/>
  <c r="B25" i="1"/>
  <c r="K35" i="1"/>
  <c r="N28" i="1"/>
  <c r="I27" i="1"/>
  <c r="N29" i="1"/>
  <c r="B61" i="1"/>
  <c r="N56" i="1"/>
  <c r="E62" i="1"/>
  <c r="O64" i="1"/>
  <c r="N53" i="1"/>
  <c r="G78" i="1"/>
  <c r="B82" i="1"/>
  <c r="E136" i="1"/>
  <c r="M38" i="1"/>
  <c r="E25" i="1"/>
  <c r="I32" i="1"/>
  <c r="B37" i="1"/>
  <c r="N37" i="1"/>
  <c r="C27" i="1"/>
  <c r="E40" i="1"/>
  <c r="M36" i="1"/>
  <c r="J31" i="1"/>
  <c r="K26" i="1"/>
  <c r="F28" i="1"/>
  <c r="B30" i="1"/>
  <c r="B38" i="1"/>
  <c r="M29" i="1"/>
  <c r="F37" i="1"/>
  <c r="D34" i="1"/>
  <c r="L26" i="1"/>
  <c r="F24" i="1"/>
  <c r="J39" i="1"/>
  <c r="I36" i="1"/>
  <c r="C34" i="1"/>
  <c r="F31" i="1"/>
  <c r="M28" i="1"/>
  <c r="G26" i="1"/>
  <c r="G39" i="1"/>
  <c r="N40" i="1"/>
  <c r="L40" i="1"/>
  <c r="H36" i="1"/>
  <c r="O33" i="1"/>
  <c r="N30" i="1"/>
  <c r="H28" i="1"/>
  <c r="O25" i="1"/>
  <c r="I37" i="1"/>
  <c r="K37" i="1"/>
  <c r="M40" i="1"/>
  <c r="G36" i="1"/>
  <c r="J33" i="1"/>
  <c r="M30" i="1"/>
  <c r="G28" i="1"/>
  <c r="N25" i="1"/>
  <c r="C48" i="1"/>
  <c r="K48" i="1"/>
  <c r="M57" i="1"/>
  <c r="L62" i="1"/>
  <c r="D58" i="1"/>
  <c r="G52" i="1"/>
  <c r="C50" i="1"/>
  <c r="O56" i="1"/>
  <c r="D61" i="1"/>
  <c r="L57" i="1"/>
  <c r="D55" i="1"/>
  <c r="N52" i="1"/>
  <c r="J50" i="1"/>
  <c r="E59" i="1"/>
  <c r="J62" i="1"/>
  <c r="K64" i="1"/>
  <c r="O63" i="1"/>
  <c r="O59" i="1"/>
  <c r="M56" i="1"/>
  <c r="E54" i="1"/>
  <c r="O51" i="1"/>
  <c r="K49" i="1"/>
  <c r="G54" i="1"/>
  <c r="I60" i="1"/>
  <c r="G58" i="1"/>
  <c r="F61" i="1"/>
  <c r="F57" i="1"/>
  <c r="L54" i="1"/>
  <c r="H52" i="1"/>
  <c r="D50" i="1"/>
  <c r="F72" i="1"/>
  <c r="N72" i="1"/>
  <c r="C86" i="1"/>
  <c r="M79" i="1"/>
  <c r="C76" i="1"/>
  <c r="E73" i="1"/>
  <c r="I83" i="1"/>
  <c r="B86" i="1"/>
  <c r="B78" i="1"/>
  <c r="J80" i="1"/>
  <c r="O75" i="1"/>
  <c r="J85" i="1"/>
  <c r="E96" i="1"/>
  <c r="D109" i="1"/>
  <c r="I112" i="1"/>
  <c r="O104" i="1"/>
  <c r="H130" i="1"/>
  <c r="C122" i="1"/>
  <c r="J132" i="1"/>
  <c r="I135" i="1"/>
  <c r="W31" i="1"/>
  <c r="AD27" i="1"/>
  <c r="AG29" i="1"/>
  <c r="AG86" i="1"/>
  <c r="U132" i="1"/>
  <c r="L38" i="1"/>
  <c r="J35" i="1"/>
  <c r="N38" i="1"/>
  <c r="L39" i="1"/>
  <c r="N48" i="1"/>
  <c r="H59" i="1"/>
  <c r="M59" i="1"/>
  <c r="K63" i="1"/>
  <c r="J51" i="1"/>
  <c r="K87" i="1"/>
  <c r="B31" i="1"/>
  <c r="I40" i="1"/>
  <c r="O31" i="1"/>
  <c r="K39" i="1"/>
  <c r="E36" i="1"/>
  <c r="O30" i="1"/>
  <c r="I28" i="1"/>
  <c r="F36" i="1"/>
  <c r="C39" i="1"/>
  <c r="D40" i="1"/>
  <c r="D36" i="1"/>
  <c r="K33" i="1"/>
  <c r="J30" i="1"/>
  <c r="D28" i="1"/>
  <c r="K25" i="1"/>
  <c r="L34" i="1"/>
  <c r="L36" i="1"/>
  <c r="O40" i="1"/>
  <c r="L35" i="1"/>
  <c r="F33" i="1"/>
  <c r="I30" i="1"/>
  <c r="C28" i="1"/>
  <c r="J25" i="1"/>
  <c r="D48" i="1"/>
  <c r="L48" i="1"/>
  <c r="M55" i="1"/>
  <c r="D62" i="1"/>
  <c r="J55" i="1"/>
  <c r="C52" i="1"/>
  <c r="M49" i="1"/>
  <c r="C54" i="1"/>
  <c r="J60" i="1"/>
  <c r="H57" i="1"/>
  <c r="N54" i="1"/>
  <c r="J52" i="1"/>
  <c r="F50" i="1"/>
  <c r="E57" i="1"/>
  <c r="B62" i="1"/>
  <c r="I63" i="1"/>
  <c r="G63" i="1"/>
  <c r="G59" i="1"/>
  <c r="I56" i="1"/>
  <c r="O53" i="1"/>
  <c r="K51" i="1"/>
  <c r="G49" i="1"/>
  <c r="M64" i="1"/>
  <c r="K59" i="1"/>
  <c r="G56" i="1"/>
  <c r="L60" i="1"/>
  <c r="B57" i="1"/>
  <c r="H54" i="1"/>
  <c r="D52" i="1"/>
  <c r="N49" i="1"/>
  <c r="G72" i="1"/>
  <c r="O72" i="1"/>
  <c r="I85" i="1"/>
  <c r="I79" i="1"/>
  <c r="M75" i="1"/>
  <c r="H88" i="1"/>
  <c r="E81" i="1"/>
  <c r="L83" i="1"/>
  <c r="L75" i="1"/>
  <c r="G87" i="1"/>
  <c r="O73" i="1"/>
  <c r="J83" i="1"/>
  <c r="M96" i="1"/>
  <c r="N104" i="1"/>
  <c r="O107" i="1"/>
  <c r="H108" i="1"/>
  <c r="D128" i="1"/>
  <c r="E135" i="1"/>
  <c r="L127" i="1"/>
  <c r="K135" i="1"/>
  <c r="AC28" i="1"/>
  <c r="Z25" i="1"/>
  <c r="AC27" i="1"/>
  <c r="AB84" i="1"/>
  <c r="W128" i="1"/>
  <c r="I29" i="1"/>
  <c r="G30" i="1"/>
  <c r="L32" i="1"/>
  <c r="D35" i="1"/>
  <c r="F48" i="1"/>
  <c r="E49" i="1"/>
  <c r="L49" i="1"/>
  <c r="G53" i="1"/>
  <c r="J59" i="1"/>
  <c r="M83" i="1"/>
  <c r="F81" i="1"/>
  <c r="B39" i="1"/>
  <c r="K36" i="1"/>
  <c r="H26" i="1"/>
  <c r="F39" i="1"/>
  <c r="L33" i="1"/>
  <c r="C26" i="1"/>
  <c r="B32" i="1"/>
  <c r="B40" i="1"/>
  <c r="K40" i="1"/>
  <c r="C36" i="1"/>
  <c r="H30" i="1"/>
  <c r="D26" i="1"/>
  <c r="M37" i="1"/>
  <c r="O38" i="1"/>
  <c r="N35" i="1"/>
  <c r="H33" i="1"/>
  <c r="K30" i="1"/>
  <c r="E28" i="1"/>
  <c r="L25" i="1"/>
  <c r="N32" i="1"/>
  <c r="E37" i="1"/>
  <c r="I39" i="1"/>
  <c r="M35" i="1"/>
  <c r="G33" i="1"/>
  <c r="F30" i="1"/>
  <c r="M27" i="1"/>
  <c r="G25" i="1"/>
  <c r="K31" i="1"/>
  <c r="C33" i="1"/>
  <c r="G40" i="1"/>
  <c r="H35" i="1"/>
  <c r="O32" i="1"/>
  <c r="E30" i="1"/>
  <c r="L27" i="1"/>
  <c r="F25" i="1"/>
  <c r="E48" i="1"/>
  <c r="M48" i="1"/>
  <c r="O54" i="1"/>
  <c r="J61" i="1"/>
  <c r="C62" i="1"/>
  <c r="M51" i="1"/>
  <c r="I49" i="1"/>
  <c r="N64" i="1"/>
  <c r="B60" i="1"/>
  <c r="D57" i="1"/>
  <c r="J54" i="1"/>
  <c r="F52" i="1"/>
  <c r="B50" i="1"/>
  <c r="I55" i="1"/>
  <c r="H61" i="1"/>
  <c r="M61" i="1"/>
  <c r="M62" i="1"/>
  <c r="M58" i="1"/>
  <c r="E56" i="1"/>
  <c r="K53" i="1"/>
  <c r="G51" i="1"/>
  <c r="C49" i="1"/>
  <c r="E64" i="1"/>
  <c r="C59" i="1"/>
  <c r="I53" i="1"/>
  <c r="D60" i="1"/>
  <c r="L56" i="1"/>
  <c r="D54" i="1"/>
  <c r="N51" i="1"/>
  <c r="J49" i="1"/>
  <c r="H72" i="1"/>
  <c r="N87" i="1"/>
  <c r="G84" i="1"/>
  <c r="K78" i="1"/>
  <c r="I75" i="1"/>
  <c r="K88" i="1"/>
  <c r="K80" i="1"/>
  <c r="D83" i="1"/>
  <c r="H75" i="1"/>
  <c r="C87" i="1"/>
  <c r="K73" i="1"/>
  <c r="F83" i="1"/>
  <c r="H112" i="1"/>
  <c r="H101" i="1"/>
  <c r="K103" i="1"/>
  <c r="L104" i="1"/>
  <c r="N125" i="1"/>
  <c r="J134" i="1"/>
  <c r="G136" i="1"/>
  <c r="C131" i="1"/>
  <c r="Y26" i="1"/>
  <c r="AF38" i="1"/>
  <c r="V38" i="1"/>
  <c r="U83" i="1"/>
  <c r="AD136" i="1"/>
  <c r="B79" i="1"/>
  <c r="L76" i="1"/>
  <c r="H74" i="1"/>
  <c r="D96" i="1"/>
  <c r="L96" i="1"/>
  <c r="C104" i="1"/>
  <c r="L108" i="1"/>
  <c r="O110" i="1"/>
  <c r="K100" i="1"/>
  <c r="M97" i="1"/>
  <c r="O102" i="1"/>
  <c r="L109" i="1"/>
  <c r="H105" i="1"/>
  <c r="L101" i="1"/>
  <c r="D99" i="1"/>
  <c r="E111" i="1"/>
  <c r="F112" i="1"/>
  <c r="L107" i="1"/>
  <c r="J102" i="1"/>
  <c r="M112" i="1"/>
  <c r="I108" i="1"/>
  <c r="E104" i="1"/>
  <c r="G101" i="1"/>
  <c r="M98" i="1"/>
  <c r="M109" i="1"/>
  <c r="I110" i="1"/>
  <c r="O105" i="1"/>
  <c r="M107" i="1"/>
  <c r="F109" i="1"/>
  <c r="B105" i="1"/>
  <c r="H102" i="1"/>
  <c r="D100" i="1"/>
  <c r="N97" i="1"/>
  <c r="F120" i="1"/>
  <c r="N120" i="1"/>
  <c r="L130" i="1"/>
  <c r="H128" i="1"/>
  <c r="D126" i="1"/>
  <c r="N123" i="1"/>
  <c r="J121" i="1"/>
  <c r="K134" i="1"/>
  <c r="O126" i="1"/>
  <c r="K124" i="1"/>
  <c r="G122" i="1"/>
  <c r="K136" i="1"/>
  <c r="D135" i="1"/>
  <c r="J130" i="1"/>
  <c r="F126" i="1"/>
  <c r="L123" i="1"/>
  <c r="D121" i="1"/>
  <c r="M129" i="1"/>
  <c r="D133" i="1"/>
  <c r="J128" i="1"/>
  <c r="D132" i="1"/>
  <c r="M136" i="1"/>
  <c r="I132" i="1"/>
  <c r="E128" i="1"/>
  <c r="C125" i="1"/>
  <c r="I122" i="1"/>
  <c r="N131" i="1"/>
  <c r="I136" i="1"/>
  <c r="K131" i="1"/>
  <c r="I126" i="1"/>
  <c r="X24" i="1"/>
  <c r="AF24" i="1"/>
  <c r="Y38" i="1"/>
  <c r="AC34" i="1"/>
  <c r="AA31" i="1"/>
  <c r="AG28" i="1"/>
  <c r="AC26" i="1"/>
  <c r="W39" i="1"/>
  <c r="W33" i="1"/>
  <c r="V39" i="1"/>
  <c r="AB34" i="1"/>
  <c r="AB30" i="1"/>
  <c r="T28" i="1"/>
  <c r="AD25" i="1"/>
  <c r="Z39" i="1"/>
  <c r="AF34" i="1"/>
  <c r="AA40" i="1"/>
  <c r="Y37" i="1"/>
  <c r="AE34" i="1"/>
  <c r="AA32" i="1"/>
  <c r="W30" i="1"/>
  <c r="AG27" i="1"/>
  <c r="AD38" i="1"/>
  <c r="Z32" i="1"/>
  <c r="AB25" i="1"/>
  <c r="AA49" i="1"/>
  <c r="T56" i="1"/>
  <c r="AA56" i="1"/>
  <c r="AD72" i="1"/>
  <c r="AF86" i="1"/>
  <c r="Y85" i="1"/>
  <c r="T83" i="1"/>
  <c r="AC110" i="1"/>
  <c r="T108" i="1"/>
  <c r="AG103" i="1"/>
  <c r="AF101" i="1"/>
  <c r="Y122" i="1"/>
  <c r="AE130" i="1"/>
  <c r="AB134" i="1"/>
  <c r="M87" i="1"/>
  <c r="E83" i="1"/>
  <c r="O78" i="1"/>
  <c r="G76" i="1"/>
  <c r="C74" i="1"/>
  <c r="I87" i="1"/>
  <c r="O82" i="1"/>
  <c r="L88" i="1"/>
  <c r="H85" i="1"/>
  <c r="N80" i="1"/>
  <c r="L77" i="1"/>
  <c r="D75" i="1"/>
  <c r="F87" i="1"/>
  <c r="J84" i="1"/>
  <c r="B80" i="1"/>
  <c r="I86" i="1"/>
  <c r="O81" i="1"/>
  <c r="E78" i="1"/>
  <c r="K75" i="1"/>
  <c r="G73" i="1"/>
  <c r="E86" i="1"/>
  <c r="K81" i="1"/>
  <c r="F85" i="1"/>
  <c r="B83" i="1"/>
  <c r="L80" i="1"/>
  <c r="H78" i="1"/>
  <c r="D76" i="1"/>
  <c r="N73" i="1"/>
  <c r="F96" i="1"/>
  <c r="N96" i="1"/>
  <c r="N111" i="1"/>
  <c r="J107" i="1"/>
  <c r="E107" i="1"/>
  <c r="I99" i="1"/>
  <c r="E97" i="1"/>
  <c r="C100" i="1"/>
  <c r="J108" i="1"/>
  <c r="F104" i="1"/>
  <c r="D101" i="1"/>
  <c r="J98" i="1"/>
  <c r="O106" i="1"/>
  <c r="H111" i="1"/>
  <c r="J106" i="1"/>
  <c r="G112" i="1"/>
  <c r="O111" i="1"/>
  <c r="G107" i="1"/>
  <c r="C103" i="1"/>
  <c r="M100" i="1"/>
  <c r="E98" i="1"/>
  <c r="I105" i="1"/>
  <c r="G109" i="1"/>
  <c r="I104" i="1"/>
  <c r="L112" i="1"/>
  <c r="N107" i="1"/>
  <c r="D104" i="1"/>
  <c r="N101" i="1"/>
  <c r="J99" i="1"/>
  <c r="F97" i="1"/>
  <c r="H120" i="1"/>
  <c r="F135" i="1"/>
  <c r="D130" i="1"/>
  <c r="N127" i="1"/>
  <c r="J125" i="1"/>
  <c r="F123" i="1"/>
  <c r="B121" i="1"/>
  <c r="C132" i="1"/>
  <c r="G126" i="1"/>
  <c r="C124" i="1"/>
  <c r="M121" i="1"/>
  <c r="I133" i="1"/>
  <c r="B134" i="1"/>
  <c r="H129" i="1"/>
  <c r="H125" i="1"/>
  <c r="N122" i="1"/>
  <c r="H134" i="1"/>
  <c r="J136" i="1"/>
  <c r="B132" i="1"/>
  <c r="D127" i="1"/>
  <c r="O134" i="1"/>
  <c r="O135" i="1"/>
  <c r="G131" i="1"/>
  <c r="C127" i="1"/>
  <c r="I124" i="1"/>
  <c r="O121" i="1"/>
  <c r="G134" i="1"/>
  <c r="C135" i="1"/>
  <c r="I130" i="1"/>
  <c r="B24" i="1"/>
  <c r="Z24" i="1"/>
  <c r="AD40" i="1"/>
  <c r="W37" i="1"/>
  <c r="AE33" i="1"/>
  <c r="AG30" i="1"/>
  <c r="Y28" i="1"/>
  <c r="U26" i="1"/>
  <c r="U38" i="1"/>
  <c r="W29" i="1"/>
  <c r="T38" i="1"/>
  <c r="Z33" i="1"/>
  <c r="T30" i="1"/>
  <c r="Z27" i="1"/>
  <c r="V25" i="1"/>
  <c r="X38" i="1"/>
  <c r="AD33" i="1"/>
  <c r="AC39" i="1"/>
  <c r="AA36" i="1"/>
  <c r="W34" i="1"/>
  <c r="AG31" i="1"/>
  <c r="AC29" i="1"/>
  <c r="Y27" i="1"/>
  <c r="T37" i="1"/>
  <c r="X31" i="1"/>
  <c r="AC48" i="1"/>
  <c r="V59" i="1"/>
  <c r="Y61" i="1"/>
  <c r="X59" i="1"/>
  <c r="Y84" i="1"/>
  <c r="T82" i="1"/>
  <c r="AE80" i="1"/>
  <c r="Z78" i="1"/>
  <c r="AA103" i="1"/>
  <c r="Z103" i="1"/>
  <c r="Y99" i="1"/>
  <c r="X97" i="1"/>
  <c r="AF130" i="1"/>
  <c r="AG125" i="1"/>
  <c r="Z134" i="1"/>
  <c r="O86" i="1"/>
  <c r="G82" i="1"/>
  <c r="B87" i="1"/>
  <c r="N84" i="1"/>
  <c r="F80" i="1"/>
  <c r="H77" i="1"/>
  <c r="N74" i="1"/>
  <c r="J88" i="1"/>
  <c r="B84" i="1"/>
  <c r="D79" i="1"/>
  <c r="O85" i="1"/>
  <c r="G81" i="1"/>
  <c r="O77" i="1"/>
  <c r="G75" i="1"/>
  <c r="C73" i="1"/>
  <c r="K85" i="1"/>
  <c r="C81" i="1"/>
  <c r="B85" i="1"/>
  <c r="L82" i="1"/>
  <c r="H80" i="1"/>
  <c r="D78" i="1"/>
  <c r="N75" i="1"/>
  <c r="J73" i="1"/>
  <c r="G96" i="1"/>
  <c r="O96" i="1"/>
  <c r="F111" i="1"/>
  <c r="B107" i="1"/>
  <c r="M105" i="1"/>
  <c r="E99" i="1"/>
  <c r="I111" i="1"/>
  <c r="J112" i="1"/>
  <c r="B108" i="1"/>
  <c r="L103" i="1"/>
  <c r="N100" i="1"/>
  <c r="F98" i="1"/>
  <c r="E105" i="1"/>
  <c r="J110" i="1"/>
  <c r="L105" i="1"/>
  <c r="G110" i="1"/>
  <c r="G111" i="1"/>
  <c r="M106" i="1"/>
  <c r="M102" i="1"/>
  <c r="E100" i="1"/>
  <c r="O97" i="1"/>
  <c r="E103" i="1"/>
  <c r="M108" i="1"/>
  <c r="O103" i="1"/>
  <c r="D112" i="1"/>
  <c r="F107" i="1"/>
  <c r="N103" i="1"/>
  <c r="J101" i="1"/>
  <c r="F99" i="1"/>
  <c r="B97" i="1"/>
  <c r="I120" i="1"/>
  <c r="N133" i="1"/>
  <c r="N129" i="1"/>
  <c r="J127" i="1"/>
  <c r="F125" i="1"/>
  <c r="B123" i="1"/>
  <c r="L136" i="1"/>
  <c r="K130" i="1"/>
  <c r="C126" i="1"/>
  <c r="M123" i="1"/>
  <c r="I121" i="1"/>
  <c r="I131" i="1"/>
  <c r="H133" i="1"/>
  <c r="N128" i="1"/>
  <c r="D125" i="1"/>
  <c r="J122" i="1"/>
  <c r="H132" i="1"/>
  <c r="B136" i="1"/>
  <c r="H131" i="1"/>
  <c r="J126" i="1"/>
  <c r="M133" i="1"/>
  <c r="G135" i="1"/>
  <c r="M130" i="1"/>
  <c r="M126" i="1"/>
  <c r="E124" i="1"/>
  <c r="K121" i="1"/>
  <c r="O132" i="1"/>
  <c r="I134" i="1"/>
  <c r="O129" i="1"/>
  <c r="I31" i="1"/>
  <c r="AA24" i="1"/>
  <c r="Z40" i="1"/>
  <c r="AC36" i="1"/>
  <c r="AA33" i="1"/>
  <c r="AC30" i="1"/>
  <c r="U28" i="1"/>
  <c r="AE25" i="1"/>
  <c r="AA37" i="1"/>
  <c r="AF39" i="1"/>
  <c r="Z37" i="1"/>
  <c r="AF32" i="1"/>
  <c r="AD29" i="1"/>
  <c r="V27" i="1"/>
  <c r="AB39" i="1"/>
  <c r="AD37" i="1"/>
  <c r="V33" i="1"/>
  <c r="U39" i="1"/>
  <c r="W36" i="1"/>
  <c r="AG33" i="1"/>
  <c r="AC31" i="1"/>
  <c r="Y29" i="1"/>
  <c r="U27" i="1"/>
  <c r="Z36" i="1"/>
  <c r="V30" i="1"/>
  <c r="AB63" i="1"/>
  <c r="AB54" i="1"/>
  <c r="AE56" i="1"/>
  <c r="T57" i="1"/>
  <c r="AE81" i="1"/>
  <c r="AD79" i="1"/>
  <c r="AA78" i="1"/>
  <c r="V76" i="1"/>
  <c r="AG100" i="1"/>
  <c r="V101" i="1"/>
  <c r="U97" i="1"/>
  <c r="Z120" i="1"/>
  <c r="AB124" i="1"/>
  <c r="AC123" i="1"/>
  <c r="V132" i="1"/>
  <c r="M81" i="1"/>
  <c r="N88" i="1"/>
  <c r="F84" i="1"/>
  <c r="L79" i="1"/>
  <c r="D77" i="1"/>
  <c r="J74" i="1"/>
  <c r="B88" i="1"/>
  <c r="H83" i="1"/>
  <c r="J76" i="1"/>
  <c r="G85" i="1"/>
  <c r="M80" i="1"/>
  <c r="K77" i="1"/>
  <c r="C75" i="1"/>
  <c r="D88" i="1"/>
  <c r="C85" i="1"/>
  <c r="I80" i="1"/>
  <c r="L84" i="1"/>
  <c r="H82" i="1"/>
  <c r="D80" i="1"/>
  <c r="N77" i="1"/>
  <c r="J75" i="1"/>
  <c r="F73" i="1"/>
  <c r="H96" i="1"/>
  <c r="K112" i="1"/>
  <c r="L110" i="1"/>
  <c r="H106" i="1"/>
  <c r="M103" i="1"/>
  <c r="O98" i="1"/>
  <c r="I109" i="1"/>
  <c r="L111" i="1"/>
  <c r="H107" i="1"/>
  <c r="D103" i="1"/>
  <c r="J100" i="1"/>
  <c r="B98" i="1"/>
  <c r="I103" i="1"/>
  <c r="B110" i="1"/>
  <c r="D105" i="1"/>
  <c r="G108" i="1"/>
  <c r="M110" i="1"/>
  <c r="E106" i="1"/>
  <c r="I102" i="1"/>
  <c r="O99" i="1"/>
  <c r="K97" i="1"/>
  <c r="E101" i="1"/>
  <c r="E108" i="1"/>
  <c r="G103" i="1"/>
  <c r="J111" i="1"/>
  <c r="L106" i="1"/>
  <c r="J103" i="1"/>
  <c r="F101" i="1"/>
  <c r="B99" i="1"/>
  <c r="B120" i="1"/>
  <c r="J120" i="1"/>
  <c r="L132" i="1"/>
  <c r="J129" i="1"/>
  <c r="F127" i="1"/>
  <c r="B125" i="1"/>
  <c r="L122" i="1"/>
  <c r="B135" i="1"/>
  <c r="E129" i="1"/>
  <c r="M125" i="1"/>
  <c r="I123" i="1"/>
  <c r="E121" i="1"/>
  <c r="G130" i="1"/>
  <c r="N132" i="1"/>
  <c r="F128" i="1"/>
  <c r="N124" i="1"/>
  <c r="F122" i="1"/>
  <c r="C136" i="1"/>
  <c r="H135" i="1"/>
  <c r="N130" i="1"/>
  <c r="L125" i="1"/>
  <c r="G132" i="1"/>
  <c r="M134" i="1"/>
  <c r="E130" i="1"/>
  <c r="E126" i="1"/>
  <c r="K123" i="1"/>
  <c r="G121" i="1"/>
  <c r="M131" i="1"/>
  <c r="O133" i="1"/>
  <c r="G129" i="1"/>
  <c r="T24" i="1"/>
  <c r="AB24" i="1"/>
  <c r="T39" i="1"/>
  <c r="U36" i="1"/>
  <c r="AG32" i="1"/>
  <c r="Y30" i="1"/>
  <c r="AE27" i="1"/>
  <c r="AA25" i="1"/>
  <c r="AG36" i="1"/>
  <c r="AC40" i="1"/>
  <c r="AF36" i="1"/>
  <c r="X32" i="1"/>
  <c r="Z29" i="1"/>
  <c r="AF26" i="1"/>
  <c r="Y40" i="1"/>
  <c r="V37" i="1"/>
  <c r="AB32" i="1"/>
  <c r="AE38" i="1"/>
  <c r="AG35" i="1"/>
  <c r="AC33" i="1"/>
  <c r="Y31" i="1"/>
  <c r="U29" i="1"/>
  <c r="AG25" i="1"/>
  <c r="AF35" i="1"/>
  <c r="AB29" i="1"/>
  <c r="AA63" i="1"/>
  <c r="T52" i="1"/>
  <c r="AE52" i="1"/>
  <c r="AD54" i="1"/>
  <c r="AA79" i="1"/>
  <c r="Z77" i="1"/>
  <c r="W76" i="1"/>
  <c r="AF73" i="1"/>
  <c r="AC98" i="1"/>
  <c r="AF98" i="1"/>
  <c r="T111" i="1"/>
  <c r="AG136" i="1"/>
  <c r="X122" i="1"/>
  <c r="Y121" i="1"/>
  <c r="AF129" i="1"/>
  <c r="N76" i="1"/>
  <c r="F74" i="1"/>
  <c r="H87" i="1"/>
  <c r="N82" i="1"/>
  <c r="D86" i="1"/>
  <c r="M84" i="1"/>
  <c r="E80" i="1"/>
  <c r="G77" i="1"/>
  <c r="M74" i="1"/>
  <c r="N85" i="1"/>
  <c r="I84" i="1"/>
  <c r="O79" i="1"/>
  <c r="H84" i="1"/>
  <c r="D82" i="1"/>
  <c r="N79" i="1"/>
  <c r="J77" i="1"/>
  <c r="F75" i="1"/>
  <c r="B73" i="1"/>
  <c r="I96" i="1"/>
  <c r="K110" i="1"/>
  <c r="D110" i="1"/>
  <c r="N105" i="1"/>
  <c r="K102" i="1"/>
  <c r="K98" i="1"/>
  <c r="C108" i="1"/>
  <c r="D111" i="1"/>
  <c r="N106" i="1"/>
  <c r="N102" i="1"/>
  <c r="B100" i="1"/>
  <c r="L97" i="1"/>
  <c r="G102" i="1"/>
  <c r="H109" i="1"/>
  <c r="J104" i="1"/>
  <c r="G106" i="1"/>
  <c r="E110" i="1"/>
  <c r="K105" i="1"/>
  <c r="E102" i="1"/>
  <c r="K99" i="1"/>
  <c r="G97" i="1"/>
  <c r="E112" i="1"/>
  <c r="K107" i="1"/>
  <c r="I100" i="1"/>
  <c r="B111" i="1"/>
  <c r="D106" i="1"/>
  <c r="F103" i="1"/>
  <c r="B101" i="1"/>
  <c r="L98" i="1"/>
  <c r="C120" i="1"/>
  <c r="K120" i="1"/>
  <c r="J131" i="1"/>
  <c r="F129" i="1"/>
  <c r="B127" i="1"/>
  <c r="L124" i="1"/>
  <c r="H122" i="1"/>
  <c r="F133" i="1"/>
  <c r="O128" i="1"/>
  <c r="I125" i="1"/>
  <c r="E123" i="1"/>
  <c r="H136" i="1"/>
  <c r="C128" i="1"/>
  <c r="F132" i="1"/>
  <c r="B128" i="1"/>
  <c r="J124" i="1"/>
  <c r="B122" i="1"/>
  <c r="C134" i="1"/>
  <c r="N134" i="1"/>
  <c r="F130" i="1"/>
  <c r="H123" i="1"/>
  <c r="O130" i="1"/>
  <c r="E134" i="1"/>
  <c r="K129" i="1"/>
  <c r="O125" i="1"/>
  <c r="G123" i="1"/>
  <c r="C121" i="1"/>
  <c r="C130" i="1"/>
  <c r="G133" i="1"/>
  <c r="M128" i="1"/>
  <c r="U24" i="1"/>
  <c r="AC24" i="1"/>
  <c r="AG40" i="1"/>
  <c r="AE35" i="1"/>
  <c r="AC32" i="1"/>
  <c r="U30" i="1"/>
  <c r="AA27" i="1"/>
  <c r="W25" i="1"/>
  <c r="Y36" i="1"/>
  <c r="AE39" i="1"/>
  <c r="X36" i="1"/>
  <c r="AD31" i="1"/>
  <c r="AF28" i="1"/>
  <c r="AB26" i="1"/>
  <c r="AF40" i="1"/>
  <c r="AB36" i="1"/>
  <c r="T32" i="1"/>
  <c r="W38" i="1"/>
  <c r="AC35" i="1"/>
  <c r="Y33" i="1"/>
  <c r="U31" i="1"/>
  <c r="AE28" i="1"/>
  <c r="Y25" i="1"/>
  <c r="AD34" i="1"/>
  <c r="T29" i="1"/>
  <c r="Y56" i="1"/>
  <c r="Z49" i="1"/>
  <c r="W50" i="1"/>
  <c r="Z52" i="1"/>
  <c r="W77" i="1"/>
  <c r="V75" i="1"/>
  <c r="AG73" i="1"/>
  <c r="X96" i="1"/>
  <c r="AE111" i="1"/>
  <c r="AG111" i="1"/>
  <c r="AD108" i="1"/>
  <c r="W129" i="1"/>
  <c r="Y132" i="1"/>
  <c r="X134" i="1"/>
  <c r="AB127" i="1"/>
  <c r="F76" i="1"/>
  <c r="B74" i="1"/>
  <c r="N86" i="1"/>
  <c r="F82" i="1"/>
  <c r="I88" i="1"/>
  <c r="E84" i="1"/>
  <c r="K79" i="1"/>
  <c r="C77" i="1"/>
  <c r="I74" i="1"/>
  <c r="M88" i="1"/>
  <c r="O83" i="1"/>
  <c r="C79" i="1"/>
  <c r="D84" i="1"/>
  <c r="N81" i="1"/>
  <c r="J79" i="1"/>
  <c r="F77" i="1"/>
  <c r="B75" i="1"/>
  <c r="B96" i="1"/>
  <c r="J96" i="1"/>
  <c r="O108" i="1"/>
  <c r="J109" i="1"/>
  <c r="H104" i="1"/>
  <c r="I101" i="1"/>
  <c r="G98" i="1"/>
  <c r="C106" i="1"/>
  <c r="N110" i="1"/>
  <c r="F106" i="1"/>
  <c r="F102" i="1"/>
  <c r="L99" i="1"/>
  <c r="H97" i="1"/>
  <c r="G100" i="1"/>
  <c r="N108" i="1"/>
  <c r="B104" i="1"/>
  <c r="K104" i="1"/>
  <c r="K109" i="1"/>
  <c r="C105" i="1"/>
  <c r="O101" i="1"/>
  <c r="G99" i="1"/>
  <c r="C97" i="1"/>
  <c r="K111" i="1"/>
  <c r="C107" i="1"/>
  <c r="C112" i="1"/>
  <c r="H110" i="1"/>
  <c r="J105" i="1"/>
  <c r="B103" i="1"/>
  <c r="L100" i="1"/>
  <c r="H98" i="1"/>
  <c r="D120" i="1"/>
  <c r="L120" i="1"/>
  <c r="F131" i="1"/>
  <c r="B129" i="1"/>
  <c r="L126" i="1"/>
  <c r="H124" i="1"/>
  <c r="D122" i="1"/>
  <c r="O136" i="1"/>
  <c r="I127" i="1"/>
  <c r="E125" i="1"/>
  <c r="O122" i="1"/>
  <c r="L134" i="1"/>
  <c r="F136" i="1"/>
  <c r="L131" i="1"/>
  <c r="H127" i="1"/>
  <c r="F124" i="1"/>
  <c r="L121" i="1"/>
  <c r="K132" i="1"/>
  <c r="F134" i="1"/>
  <c r="L129" i="1"/>
  <c r="J135" i="1"/>
  <c r="I129" i="1"/>
  <c r="K133" i="1"/>
  <c r="C129" i="1"/>
  <c r="K125" i="1"/>
  <c r="C123" i="1"/>
  <c r="N135" i="1"/>
  <c r="G128" i="1"/>
  <c r="M132" i="1"/>
  <c r="O127" i="1"/>
  <c r="V24" i="1"/>
  <c r="AD24" i="1"/>
  <c r="AA39" i="1"/>
  <c r="W35" i="1"/>
  <c r="Y32" i="1"/>
  <c r="AE29" i="1"/>
  <c r="W27" i="1"/>
  <c r="X39" i="1"/>
  <c r="AA35" i="1"/>
  <c r="X40" i="1"/>
  <c r="AD35" i="1"/>
  <c r="Z31" i="1"/>
  <c r="AB28" i="1"/>
  <c r="X26" i="1"/>
  <c r="AB40" i="1"/>
  <c r="T36" i="1"/>
  <c r="V31" i="1"/>
  <c r="AG37" i="1"/>
  <c r="Y35" i="1"/>
  <c r="U33" i="1"/>
  <c r="AE30" i="1"/>
  <c r="AA28" i="1"/>
  <c r="AE40" i="1"/>
  <c r="V34" i="1"/>
  <c r="AF27" i="1"/>
  <c r="U54" i="1"/>
  <c r="AB64" i="1"/>
  <c r="AE59" i="1"/>
  <c r="V50" i="1"/>
  <c r="AG74" i="1"/>
  <c r="AB88" i="1"/>
  <c r="AB87" i="1"/>
  <c r="AF96" i="1"/>
  <c r="AA107" i="1"/>
  <c r="AA108" i="1"/>
  <c r="Z106" i="1"/>
  <c r="AG126" i="1"/>
  <c r="V129" i="1"/>
  <c r="AE136" i="1"/>
  <c r="X125" i="1"/>
  <c r="O84" i="1"/>
  <c r="G80" i="1"/>
  <c r="I77" i="1"/>
  <c r="O74" i="1"/>
  <c r="L86" i="1"/>
  <c r="K84" i="1"/>
  <c r="C80" i="1"/>
  <c r="D87" i="1"/>
  <c r="J82" i="1"/>
  <c r="J78" i="1"/>
  <c r="B76" i="1"/>
  <c r="L73" i="1"/>
  <c r="F86" i="1"/>
  <c r="L81" i="1"/>
  <c r="O87" i="1"/>
  <c r="K83" i="1"/>
  <c r="G79" i="1"/>
  <c r="M76" i="1"/>
  <c r="E74" i="1"/>
  <c r="E88" i="1"/>
  <c r="G83" i="1"/>
  <c r="I76" i="1"/>
  <c r="N83" i="1"/>
  <c r="J81" i="1"/>
  <c r="F79" i="1"/>
  <c r="B77" i="1"/>
  <c r="L74" i="1"/>
  <c r="C96" i="1"/>
  <c r="K96" i="1"/>
  <c r="K106" i="1"/>
  <c r="B109" i="1"/>
  <c r="O112" i="1"/>
  <c r="O100" i="1"/>
  <c r="C98" i="1"/>
  <c r="G104" i="1"/>
  <c r="F110" i="1"/>
  <c r="B106" i="1"/>
  <c r="B102" i="1"/>
  <c r="H99" i="1"/>
  <c r="D97" i="1"/>
  <c r="N112" i="1"/>
  <c r="F108" i="1"/>
  <c r="H103" i="1"/>
  <c r="C102" i="1"/>
  <c r="C109" i="1"/>
  <c r="M104" i="1"/>
  <c r="K101" i="1"/>
  <c r="C99" i="1"/>
  <c r="M111" i="1"/>
  <c r="C111" i="1"/>
  <c r="I106" i="1"/>
  <c r="C110" i="1"/>
  <c r="N109" i="1"/>
  <c r="F105" i="1"/>
  <c r="L102" i="1"/>
  <c r="H100" i="1"/>
  <c r="D98" i="1"/>
  <c r="E120" i="1"/>
  <c r="M120" i="1"/>
  <c r="B131" i="1"/>
  <c r="L128" i="1"/>
  <c r="H126" i="1"/>
  <c r="D124" i="1"/>
  <c r="N121" i="1"/>
  <c r="M135" i="1"/>
  <c r="E127" i="1"/>
  <c r="O124" i="1"/>
  <c r="K122" i="1"/>
  <c r="B133" i="1"/>
  <c r="L135" i="1"/>
  <c r="D131" i="1"/>
  <c r="N126" i="1"/>
  <c r="B124" i="1"/>
  <c r="H121" i="1"/>
  <c r="E131" i="1"/>
  <c r="L133" i="1"/>
  <c r="D129" i="1"/>
  <c r="D134" i="1"/>
  <c r="M127" i="1"/>
  <c r="C133" i="1"/>
  <c r="I128" i="1"/>
  <c r="G125" i="1"/>
  <c r="M122" i="1"/>
  <c r="J133" i="1"/>
  <c r="N136" i="1"/>
  <c r="E132" i="1"/>
  <c r="G127" i="1"/>
  <c r="W24" i="1"/>
  <c r="AE24" i="1"/>
  <c r="AG38" i="1"/>
  <c r="AG34" i="1"/>
  <c r="AE31" i="1"/>
  <c r="AA29" i="1"/>
  <c r="AG26" i="1"/>
  <c r="U40" i="1"/>
  <c r="Y34" i="1"/>
  <c r="AD39" i="1"/>
  <c r="V35" i="1"/>
  <c r="AF30" i="1"/>
  <c r="X28" i="1"/>
  <c r="T40" i="1"/>
  <c r="Z35" i="1"/>
  <c r="V29" i="1"/>
  <c r="AC37" i="1"/>
  <c r="U35" i="1"/>
  <c r="AE32" i="1"/>
  <c r="AA30" i="1"/>
  <c r="W28" i="1"/>
  <c r="AE36" i="1"/>
  <c r="AB33" i="1"/>
  <c r="AD26" i="1"/>
  <c r="AE51" i="1"/>
  <c r="X60" i="1"/>
  <c r="U61" i="1"/>
  <c r="V72" i="1"/>
  <c r="U88" i="1"/>
  <c r="AC87" i="1"/>
  <c r="X85" i="1"/>
  <c r="Z112" i="1"/>
  <c r="X110" i="1"/>
  <c r="W106" i="1"/>
  <c r="V104" i="1"/>
  <c r="AC124" i="1"/>
  <c r="W134" i="1"/>
  <c r="AC131" i="1"/>
  <c r="T123" i="1"/>
  <c r="AE26" i="1"/>
  <c r="AG39" i="1"/>
  <c r="AF37" i="1"/>
  <c r="AB35" i="1"/>
  <c r="X33" i="1"/>
  <c r="T31" i="1"/>
  <c r="AD28" i="1"/>
  <c r="Z26" i="1"/>
  <c r="V48" i="1"/>
  <c r="AD48" i="1"/>
  <c r="Z62" i="1"/>
  <c r="Y62" i="1"/>
  <c r="U56" i="1"/>
  <c r="AE53" i="1"/>
  <c r="AA51" i="1"/>
  <c r="W49" i="1"/>
  <c r="Z63" i="1"/>
  <c r="AB58" i="1"/>
  <c r="X54" i="1"/>
  <c r="AD51" i="1"/>
  <c r="V49" i="1"/>
  <c r="T64" i="1"/>
  <c r="T60" i="1"/>
  <c r="Z55" i="1"/>
  <c r="Y58" i="1"/>
  <c r="AE60" i="1"/>
  <c r="W56" i="1"/>
  <c r="AA52" i="1"/>
  <c r="AG49" i="1"/>
  <c r="U58" i="1"/>
  <c r="AA60" i="1"/>
  <c r="AG55" i="1"/>
  <c r="X61" i="1"/>
  <c r="T59" i="1"/>
  <c r="AD56" i="1"/>
  <c r="Z54" i="1"/>
  <c r="V52" i="1"/>
  <c r="AF49" i="1"/>
  <c r="W72" i="1"/>
  <c r="AE72" i="1"/>
  <c r="AC86" i="1"/>
  <c r="U84" i="1"/>
  <c r="AA81" i="1"/>
  <c r="W79" i="1"/>
  <c r="AG76" i="1"/>
  <c r="AC74" i="1"/>
  <c r="AA87" i="1"/>
  <c r="AB86" i="1"/>
  <c r="X84" i="1"/>
  <c r="AD81" i="1"/>
  <c r="Z79" i="1"/>
  <c r="V77" i="1"/>
  <c r="AF74" i="1"/>
  <c r="T88" i="1"/>
  <c r="Y87" i="1"/>
  <c r="U85" i="1"/>
  <c r="AE82" i="1"/>
  <c r="AA80" i="1"/>
  <c r="W78" i="1"/>
  <c r="AG75" i="1"/>
  <c r="AC73" i="1"/>
  <c r="X87" i="1"/>
  <c r="T85" i="1"/>
  <c r="AD82" i="1"/>
  <c r="Z80" i="1"/>
  <c r="V78" i="1"/>
  <c r="AF75" i="1"/>
  <c r="AB73" i="1"/>
  <c r="Y96" i="1"/>
  <c r="AG96" i="1"/>
  <c r="X112" i="1"/>
  <c r="U110" i="1"/>
  <c r="AE105" i="1"/>
  <c r="W103" i="1"/>
  <c r="AC100" i="1"/>
  <c r="Y98" i="1"/>
  <c r="W111" i="1"/>
  <c r="AG106" i="1"/>
  <c r="T110" i="1"/>
  <c r="AD107" i="1"/>
  <c r="Z105" i="1"/>
  <c r="V103" i="1"/>
  <c r="AF100" i="1"/>
  <c r="AB98" i="1"/>
  <c r="Y111" i="1"/>
  <c r="W108" i="1"/>
  <c r="AG105" i="1"/>
  <c r="AC103" i="1"/>
  <c r="Y101" i="1"/>
  <c r="U99" i="1"/>
  <c r="AE112" i="1"/>
  <c r="AD110" i="1"/>
  <c r="Z108" i="1"/>
  <c r="V106" i="1"/>
  <c r="AF103" i="1"/>
  <c r="AB101" i="1"/>
  <c r="X99" i="1"/>
  <c r="T97" i="1"/>
  <c r="AA120" i="1"/>
  <c r="AE135" i="1"/>
  <c r="AG128" i="1"/>
  <c r="AC126" i="1"/>
  <c r="Y124" i="1"/>
  <c r="U122" i="1"/>
  <c r="AC130" i="1"/>
  <c r="AD129" i="1"/>
  <c r="X124" i="1"/>
  <c r="T122" i="1"/>
  <c r="AG130" i="1"/>
  <c r="T128" i="1"/>
  <c r="AC133" i="1"/>
  <c r="AA130" i="1"/>
  <c r="AG127" i="1"/>
  <c r="AC125" i="1"/>
  <c r="Y123" i="1"/>
  <c r="U121" i="1"/>
  <c r="AF132" i="1"/>
  <c r="W136" i="1"/>
  <c r="AE128" i="1"/>
  <c r="Z133" i="1"/>
  <c r="Z136" i="1"/>
  <c r="V134" i="1"/>
  <c r="AF131" i="1"/>
  <c r="AB129" i="1"/>
  <c r="X127" i="1"/>
  <c r="T125" i="1"/>
  <c r="AD122" i="1"/>
  <c r="AA26" i="1"/>
  <c r="Y39" i="1"/>
  <c r="AB37" i="1"/>
  <c r="X35" i="1"/>
  <c r="T33" i="1"/>
  <c r="AD30" i="1"/>
  <c r="Z28" i="1"/>
  <c r="V26" i="1"/>
  <c r="W48" i="1"/>
  <c r="AE48" i="1"/>
  <c r="V64" i="1"/>
  <c r="AG60" i="1"/>
  <c r="AE55" i="1"/>
  <c r="AA53" i="1"/>
  <c r="W51" i="1"/>
  <c r="W63" i="1"/>
  <c r="AF62" i="1"/>
  <c r="T58" i="1"/>
  <c r="AD53" i="1"/>
  <c r="V51" i="1"/>
  <c r="Y64" i="1"/>
  <c r="AD63" i="1"/>
  <c r="Z59" i="1"/>
  <c r="AF54" i="1"/>
  <c r="AE64" i="1"/>
  <c r="W60" i="1"/>
  <c r="AC55" i="1"/>
  <c r="W52" i="1"/>
  <c r="AC49" i="1"/>
  <c r="AA64" i="1"/>
  <c r="AG59" i="1"/>
  <c r="Y55" i="1"/>
  <c r="T61" i="1"/>
  <c r="AD58" i="1"/>
  <c r="Z56" i="1"/>
  <c r="V54" i="1"/>
  <c r="AF51" i="1"/>
  <c r="AB49" i="1"/>
  <c r="X72" i="1"/>
  <c r="AF72" i="1"/>
  <c r="U86" i="1"/>
  <c r="AE83" i="1"/>
  <c r="W81" i="1"/>
  <c r="AG78" i="1"/>
  <c r="AC76" i="1"/>
  <c r="Y74" i="1"/>
  <c r="Y86" i="1"/>
  <c r="X86" i="1"/>
  <c r="T84" i="1"/>
  <c r="Z81" i="1"/>
  <c r="V79" i="1"/>
  <c r="AF76" i="1"/>
  <c r="AB74" i="1"/>
  <c r="V87" i="1"/>
  <c r="U87" i="1"/>
  <c r="AE84" i="1"/>
  <c r="AA82" i="1"/>
  <c r="W80" i="1"/>
  <c r="AG77" i="1"/>
  <c r="AC75" i="1"/>
  <c r="Y73" i="1"/>
  <c r="T87" i="1"/>
  <c r="AD84" i="1"/>
  <c r="Z82" i="1"/>
  <c r="V80" i="1"/>
  <c r="AF77" i="1"/>
  <c r="AB75" i="1"/>
  <c r="X73" i="1"/>
  <c r="Z96" i="1"/>
  <c r="AF112" i="1"/>
  <c r="AB112" i="1"/>
  <c r="AA109" i="1"/>
  <c r="AA105" i="1"/>
  <c r="AG102" i="1"/>
  <c r="Y100" i="1"/>
  <c r="U98" i="1"/>
  <c r="AG110" i="1"/>
  <c r="Y106" i="1"/>
  <c r="AD109" i="1"/>
  <c r="Z107" i="1"/>
  <c r="V105" i="1"/>
  <c r="AF102" i="1"/>
  <c r="AB100" i="1"/>
  <c r="X98" i="1"/>
  <c r="AE110" i="1"/>
  <c r="AG107" i="1"/>
  <c r="AC105" i="1"/>
  <c r="Y103" i="1"/>
  <c r="U101" i="1"/>
  <c r="AE98" i="1"/>
  <c r="W112" i="1"/>
  <c r="Z110" i="1"/>
  <c r="V108" i="1"/>
  <c r="AF105" i="1"/>
  <c r="AB103" i="1"/>
  <c r="X101" i="1"/>
  <c r="T99" i="1"/>
  <c r="T120" i="1"/>
  <c r="AB120" i="1"/>
  <c r="Y134" i="1"/>
  <c r="AC128" i="1"/>
  <c r="Y126" i="1"/>
  <c r="U124" i="1"/>
  <c r="AE121" i="1"/>
  <c r="AF136" i="1"/>
  <c r="X128" i="1"/>
  <c r="T124" i="1"/>
  <c r="AD121" i="1"/>
  <c r="X136" i="1"/>
  <c r="AF126" i="1"/>
  <c r="U133" i="1"/>
  <c r="W130" i="1"/>
  <c r="AC127" i="1"/>
  <c r="Y125" i="1"/>
  <c r="U123" i="1"/>
  <c r="AC136" i="1"/>
  <c r="Z131" i="1"/>
  <c r="AC135" i="1"/>
  <c r="AA135" i="1"/>
  <c r="AB132" i="1"/>
  <c r="V136" i="1"/>
  <c r="AF133" i="1"/>
  <c r="AB131" i="1"/>
  <c r="X129" i="1"/>
  <c r="T127" i="1"/>
  <c r="AD124" i="1"/>
  <c r="Z122" i="1"/>
  <c r="W26" i="1"/>
  <c r="AA38" i="1"/>
  <c r="X37" i="1"/>
  <c r="T35" i="1"/>
  <c r="AD32" i="1"/>
  <c r="Z30" i="1"/>
  <c r="V28" i="1"/>
  <c r="AF25" i="1"/>
  <c r="X48" i="1"/>
  <c r="AF48" i="1"/>
  <c r="Z64" i="1"/>
  <c r="AA59" i="1"/>
  <c r="AA55" i="1"/>
  <c r="W53" i="1"/>
  <c r="AG50" i="1"/>
  <c r="AE61" i="1"/>
  <c r="X62" i="1"/>
  <c r="Z57" i="1"/>
  <c r="Z53" i="1"/>
  <c r="AF50" i="1"/>
  <c r="AG62" i="1"/>
  <c r="V63" i="1"/>
  <c r="AF58" i="1"/>
  <c r="T54" i="1"/>
  <c r="W64" i="1"/>
  <c r="AC59" i="1"/>
  <c r="U55" i="1"/>
  <c r="AG51" i="1"/>
  <c r="Y49" i="1"/>
  <c r="AG63" i="1"/>
  <c r="Y59" i="1"/>
  <c r="AE54" i="1"/>
  <c r="AD60" i="1"/>
  <c r="Z58" i="1"/>
  <c r="V56" i="1"/>
  <c r="AF53" i="1"/>
  <c r="AB51" i="1"/>
  <c r="X49" i="1"/>
  <c r="Y72" i="1"/>
  <c r="AG72" i="1"/>
  <c r="AE85" i="1"/>
  <c r="W83" i="1"/>
  <c r="AG80" i="1"/>
  <c r="AC78" i="1"/>
  <c r="Y76" i="1"/>
  <c r="U74" i="1"/>
  <c r="AA83" i="1"/>
  <c r="T86" i="1"/>
  <c r="AD83" i="1"/>
  <c r="V81" i="1"/>
  <c r="AF78" i="1"/>
  <c r="AB76" i="1"/>
  <c r="X74" i="1"/>
  <c r="Z83" i="1"/>
  <c r="AE86" i="1"/>
  <c r="AA84" i="1"/>
  <c r="W82" i="1"/>
  <c r="AG79" i="1"/>
  <c r="AC77" i="1"/>
  <c r="Y75" i="1"/>
  <c r="U73" i="1"/>
  <c r="AD86" i="1"/>
  <c r="Z84" i="1"/>
  <c r="V82" i="1"/>
  <c r="AF79" i="1"/>
  <c r="AB77" i="1"/>
  <c r="X75" i="1"/>
  <c r="T73" i="1"/>
  <c r="AA96" i="1"/>
  <c r="AD111" i="1"/>
  <c r="Z111" i="1"/>
  <c r="AG108" i="1"/>
  <c r="AG104" i="1"/>
  <c r="AC102" i="1"/>
  <c r="U100" i="1"/>
  <c r="AE97" i="1"/>
  <c r="Y110" i="1"/>
  <c r="W105" i="1"/>
  <c r="Z109" i="1"/>
  <c r="V107" i="1"/>
  <c r="AF104" i="1"/>
  <c r="AB102" i="1"/>
  <c r="X100" i="1"/>
  <c r="T98" i="1"/>
  <c r="W110" i="1"/>
  <c r="AC107" i="1"/>
  <c r="Y105" i="1"/>
  <c r="U103" i="1"/>
  <c r="AE100" i="1"/>
  <c r="AA98" i="1"/>
  <c r="AC111" i="1"/>
  <c r="V110" i="1"/>
  <c r="AF107" i="1"/>
  <c r="AB105" i="1"/>
  <c r="X103" i="1"/>
  <c r="T101" i="1"/>
  <c r="AD98" i="1"/>
  <c r="U120" i="1"/>
  <c r="AC120" i="1"/>
  <c r="AC132" i="1"/>
  <c r="Y128" i="1"/>
  <c r="U126" i="1"/>
  <c r="AE123" i="1"/>
  <c r="AA121" i="1"/>
  <c r="T136" i="1"/>
  <c r="Z127" i="1"/>
  <c r="AD123" i="1"/>
  <c r="Z121" i="1"/>
  <c r="V135" i="1"/>
  <c r="AD125" i="1"/>
  <c r="AA132" i="1"/>
  <c r="AG129" i="1"/>
  <c r="Y127" i="1"/>
  <c r="U125" i="1"/>
  <c r="AE122" i="1"/>
  <c r="AC134" i="1"/>
  <c r="T130" i="1"/>
  <c r="U135" i="1"/>
  <c r="U134" i="1"/>
  <c r="AD131" i="1"/>
  <c r="AF135" i="1"/>
  <c r="AB133" i="1"/>
  <c r="X131" i="1"/>
  <c r="T129" i="1"/>
  <c r="AD126" i="1"/>
  <c r="Z124" i="1"/>
  <c r="V122" i="1"/>
  <c r="Y48" i="1"/>
  <c r="AG48" i="1"/>
  <c r="V62" i="1"/>
  <c r="AC58" i="1"/>
  <c r="W55" i="1"/>
  <c r="AG52" i="1"/>
  <c r="AC50" i="1"/>
  <c r="AC60" i="1"/>
  <c r="AD61" i="1"/>
  <c r="AF56" i="1"/>
  <c r="V53" i="1"/>
  <c r="AB50" i="1"/>
  <c r="AA61" i="1"/>
  <c r="AB62" i="1"/>
  <c r="X58" i="1"/>
  <c r="Z51" i="1"/>
  <c r="AC63" i="1"/>
  <c r="U59" i="1"/>
  <c r="AA54" i="1"/>
  <c r="AC51" i="1"/>
  <c r="U49" i="1"/>
  <c r="Y63" i="1"/>
  <c r="AE58" i="1"/>
  <c r="W54" i="1"/>
  <c r="Z60" i="1"/>
  <c r="V58" i="1"/>
  <c r="AF55" i="1"/>
  <c r="AB53" i="1"/>
  <c r="X51" i="1"/>
  <c r="T49" i="1"/>
  <c r="Z72" i="1"/>
  <c r="AC88" i="1"/>
  <c r="AA85" i="1"/>
  <c r="AG82" i="1"/>
  <c r="AC80" i="1"/>
  <c r="Y78" i="1"/>
  <c r="U76" i="1"/>
  <c r="AE73" i="1"/>
  <c r="AF88" i="1"/>
  <c r="AD85" i="1"/>
  <c r="V83" i="1"/>
  <c r="AF80" i="1"/>
  <c r="AB78" i="1"/>
  <c r="X76" i="1"/>
  <c r="T74" i="1"/>
  <c r="AE88" i="1"/>
  <c r="AA86" i="1"/>
  <c r="W84" i="1"/>
  <c r="AG81" i="1"/>
  <c r="AC79" i="1"/>
  <c r="Y77" i="1"/>
  <c r="U75" i="1"/>
  <c r="AD88" i="1"/>
  <c r="Z86" i="1"/>
  <c r="V84" i="1"/>
  <c r="AF81" i="1"/>
  <c r="AB79" i="1"/>
  <c r="X77" i="1"/>
  <c r="T75" i="1"/>
  <c r="T96" i="1"/>
  <c r="AB96" i="1"/>
  <c r="AD112" i="1"/>
  <c r="AF111" i="1"/>
  <c r="Y108" i="1"/>
  <c r="AC104" i="1"/>
  <c r="U102" i="1"/>
  <c r="AE99" i="1"/>
  <c r="AA97" i="1"/>
  <c r="AE109" i="1"/>
  <c r="Y102" i="1"/>
  <c r="V109" i="1"/>
  <c r="AF106" i="1"/>
  <c r="AB104" i="1"/>
  <c r="X102" i="1"/>
  <c r="T100" i="1"/>
  <c r="AD97" i="1"/>
  <c r="AG109" i="1"/>
  <c r="Y107" i="1"/>
  <c r="U105" i="1"/>
  <c r="AE102" i="1"/>
  <c r="AA100" i="1"/>
  <c r="W98" i="1"/>
  <c r="U111" i="1"/>
  <c r="AF109" i="1"/>
  <c r="AB107" i="1"/>
  <c r="X105" i="1"/>
  <c r="T103" i="1"/>
  <c r="AD100" i="1"/>
  <c r="Z98" i="1"/>
  <c r="V120" i="1"/>
  <c r="AD120" i="1"/>
  <c r="AA131" i="1"/>
  <c r="U128" i="1"/>
  <c r="AE125" i="1"/>
  <c r="AA123" i="1"/>
  <c r="W121" i="1"/>
  <c r="AF134" i="1"/>
  <c r="T126" i="1"/>
  <c r="Z123" i="1"/>
  <c r="V121" i="1"/>
  <c r="AD133" i="1"/>
  <c r="AA136" i="1"/>
  <c r="W132" i="1"/>
  <c r="AC129" i="1"/>
  <c r="U127" i="1"/>
  <c r="AE124" i="1"/>
  <c r="AA122" i="1"/>
  <c r="W133" i="1"/>
  <c r="AF128" i="1"/>
  <c r="AA134" i="1"/>
  <c r="AG132" i="1"/>
  <c r="AB130" i="1"/>
  <c r="AB135" i="1"/>
  <c r="X133" i="1"/>
  <c r="T131" i="1"/>
  <c r="AD128" i="1"/>
  <c r="Z126" i="1"/>
  <c r="V124" i="1"/>
  <c r="AF121" i="1"/>
  <c r="AC25" i="1"/>
  <c r="V40" i="1"/>
  <c r="AD36" i="1"/>
  <c r="Z34" i="1"/>
  <c r="V32" i="1"/>
  <c r="AF29" i="1"/>
  <c r="AB27" i="1"/>
  <c r="X25" i="1"/>
  <c r="Z48" i="1"/>
  <c r="T63" i="1"/>
  <c r="AD64" i="1"/>
  <c r="AA57" i="1"/>
  <c r="AG54" i="1"/>
  <c r="AC52" i="1"/>
  <c r="Y50" i="1"/>
  <c r="W59" i="1"/>
  <c r="V61" i="1"/>
  <c r="X56" i="1"/>
  <c r="AF52" i="1"/>
  <c r="X50" i="1"/>
  <c r="U60" i="1"/>
  <c r="T62" i="1"/>
  <c r="AD57" i="1"/>
  <c r="AG64" i="1"/>
  <c r="U63" i="1"/>
  <c r="AA58" i="1"/>
  <c r="AG53" i="1"/>
  <c r="U51" i="1"/>
  <c r="U64" i="1"/>
  <c r="AE62" i="1"/>
  <c r="W58" i="1"/>
  <c r="Y53" i="1"/>
  <c r="V60" i="1"/>
  <c r="AF57" i="1"/>
  <c r="AB55" i="1"/>
  <c r="X53" i="1"/>
  <c r="T51" i="1"/>
  <c r="B72" i="1"/>
  <c r="AA72" i="1"/>
  <c r="Y88" i="1"/>
  <c r="W85" i="1"/>
  <c r="AC82" i="1"/>
  <c r="Y80" i="1"/>
  <c r="U78" i="1"/>
  <c r="AE75" i="1"/>
  <c r="AA73" i="1"/>
  <c r="X88" i="1"/>
  <c r="Z85" i="1"/>
  <c r="AF82" i="1"/>
  <c r="AB80" i="1"/>
  <c r="X78" i="1"/>
  <c r="T76" i="1"/>
  <c r="AD73" i="1"/>
  <c r="AA88" i="1"/>
  <c r="W86" i="1"/>
  <c r="AG83" i="1"/>
  <c r="AC81" i="1"/>
  <c r="Y79" i="1"/>
  <c r="U77" i="1"/>
  <c r="AE74" i="1"/>
  <c r="Z88" i="1"/>
  <c r="V86" i="1"/>
  <c r="AF83" i="1"/>
  <c r="AB81" i="1"/>
  <c r="X79" i="1"/>
  <c r="T77" i="1"/>
  <c r="AD74" i="1"/>
  <c r="U96" i="1"/>
  <c r="AC96" i="1"/>
  <c r="V112" i="1"/>
  <c r="AC112" i="1"/>
  <c r="AE107" i="1"/>
  <c r="Y104" i="1"/>
  <c r="AE101" i="1"/>
  <c r="AA99" i="1"/>
  <c r="W97" i="1"/>
  <c r="W109" i="1"/>
  <c r="V111" i="1"/>
  <c r="AF108" i="1"/>
  <c r="AB106" i="1"/>
  <c r="X104" i="1"/>
  <c r="T102" i="1"/>
  <c r="AD99" i="1"/>
  <c r="Z97" i="1"/>
  <c r="AC109" i="1"/>
  <c r="U107" i="1"/>
  <c r="AE104" i="1"/>
  <c r="AA102" i="1"/>
  <c r="W100" i="1"/>
  <c r="AG97" i="1"/>
  <c r="AA110" i="1"/>
  <c r="AB109" i="1"/>
  <c r="X107" i="1"/>
  <c r="T105" i="1"/>
  <c r="AD102" i="1"/>
  <c r="Z100" i="1"/>
  <c r="V98" i="1"/>
  <c r="W120" i="1"/>
  <c r="AE120" i="1"/>
  <c r="Y130" i="1"/>
  <c r="AE127" i="1"/>
  <c r="AA125" i="1"/>
  <c r="W123" i="1"/>
  <c r="U136" i="1"/>
  <c r="T134" i="1"/>
  <c r="Z125" i="1"/>
  <c r="V123" i="1"/>
  <c r="Y136" i="1"/>
  <c r="X132" i="1"/>
  <c r="AG135" i="1"/>
  <c r="AG131" i="1"/>
  <c r="Y129" i="1"/>
  <c r="AE126" i="1"/>
  <c r="AA124" i="1"/>
  <c r="W122" i="1"/>
  <c r="W131" i="1"/>
  <c r="AD127" i="1"/>
  <c r="AG133" i="1"/>
  <c r="AE131" i="1"/>
  <c r="Z129" i="1"/>
  <c r="X135" i="1"/>
  <c r="T133" i="1"/>
  <c r="AD130" i="1"/>
  <c r="Z128" i="1"/>
  <c r="V126" i="1"/>
  <c r="AF123" i="1"/>
  <c r="AB121" i="1"/>
  <c r="X27" i="1"/>
  <c r="T25" i="1"/>
  <c r="AA48" i="1"/>
  <c r="AF63" i="1"/>
  <c r="X63" i="1"/>
  <c r="AG56" i="1"/>
  <c r="AC54" i="1"/>
  <c r="Y52" i="1"/>
  <c r="U50" i="1"/>
  <c r="AE57" i="1"/>
  <c r="AB60" i="1"/>
  <c r="AD55" i="1"/>
  <c r="AB52" i="1"/>
  <c r="T50" i="1"/>
  <c r="AG58" i="1"/>
  <c r="Z61" i="1"/>
  <c r="V57" i="1"/>
  <c r="AE63" i="1"/>
  <c r="AA62" i="1"/>
  <c r="AG57" i="1"/>
  <c r="AC53" i="1"/>
  <c r="AE50" i="1"/>
  <c r="AC62" i="1"/>
  <c r="W62" i="1"/>
  <c r="AC57" i="1"/>
  <c r="Y51" i="1"/>
  <c r="AF59" i="1"/>
  <c r="AB57" i="1"/>
  <c r="X55" i="1"/>
  <c r="T53" i="1"/>
  <c r="AD50" i="1"/>
  <c r="T72" i="1"/>
  <c r="AB72" i="1"/>
  <c r="AE87" i="1"/>
  <c r="AG84" i="1"/>
  <c r="Y82" i="1"/>
  <c r="U80" i="1"/>
  <c r="AE77" i="1"/>
  <c r="AA75" i="1"/>
  <c r="W73" i="1"/>
  <c r="AD87" i="1"/>
  <c r="V85" i="1"/>
  <c r="AB82" i="1"/>
  <c r="X80" i="1"/>
  <c r="T78" i="1"/>
  <c r="AD75" i="1"/>
  <c r="Z73" i="1"/>
  <c r="W88" i="1"/>
  <c r="AG85" i="1"/>
  <c r="AC83" i="1"/>
  <c r="Y81" i="1"/>
  <c r="U79" i="1"/>
  <c r="AE76" i="1"/>
  <c r="AA74" i="1"/>
  <c r="V88" i="1"/>
  <c r="AF85" i="1"/>
  <c r="AB83" i="1"/>
  <c r="X81" i="1"/>
  <c r="T79" i="1"/>
  <c r="AD76" i="1"/>
  <c r="Z74" i="1"/>
  <c r="V96" i="1"/>
  <c r="AD96" i="1"/>
  <c r="AB111" i="1"/>
  <c r="U112" i="1"/>
  <c r="W107" i="1"/>
  <c r="U104" i="1"/>
  <c r="AA101" i="1"/>
  <c r="W99" i="1"/>
  <c r="AG112" i="1"/>
  <c r="AC108" i="1"/>
  <c r="AF110" i="1"/>
  <c r="AB108" i="1"/>
  <c r="X106" i="1"/>
  <c r="T104" i="1"/>
  <c r="AD101" i="1"/>
  <c r="Z99" i="1"/>
  <c r="V97" i="1"/>
  <c r="Y109" i="1"/>
  <c r="AE106" i="1"/>
  <c r="AA104" i="1"/>
  <c r="W102" i="1"/>
  <c r="AG99" i="1"/>
  <c r="AC97" i="1"/>
  <c r="AE108" i="1"/>
  <c r="X109" i="1"/>
  <c r="T107" i="1"/>
  <c r="AD104" i="1"/>
  <c r="Z102" i="1"/>
  <c r="V100" i="1"/>
  <c r="AF97" i="1"/>
  <c r="X120" i="1"/>
  <c r="AF120" i="1"/>
  <c r="AE129" i="1"/>
  <c r="AA127" i="1"/>
  <c r="W125" i="1"/>
  <c r="AG122" i="1"/>
  <c r="AG134" i="1"/>
  <c r="V133" i="1"/>
  <c r="V125" i="1"/>
  <c r="AF122" i="1"/>
  <c r="W135" i="1"/>
  <c r="V131" i="1"/>
  <c r="Y135" i="1"/>
  <c r="Y131" i="1"/>
  <c r="U129" i="1"/>
  <c r="AA126" i="1"/>
  <c r="W124" i="1"/>
  <c r="AG121" i="1"/>
  <c r="AB136" i="1"/>
  <c r="V127" i="1"/>
  <c r="Y133" i="1"/>
  <c r="U130" i="1"/>
  <c r="AB128" i="1"/>
  <c r="T135" i="1"/>
  <c r="AD132" i="1"/>
  <c r="Z130" i="1"/>
  <c r="V128" i="1"/>
  <c r="AF125" i="1"/>
  <c r="AB123" i="1"/>
  <c r="X121" i="1"/>
  <c r="U25" i="1"/>
  <c r="Z38" i="1"/>
  <c r="V36" i="1"/>
  <c r="AF33" i="1"/>
  <c r="AB31" i="1"/>
  <c r="X29" i="1"/>
  <c r="T27" i="1"/>
  <c r="T48" i="1"/>
  <c r="AB48" i="1"/>
  <c r="AD62" i="1"/>
  <c r="AC64" i="1"/>
  <c r="AC56" i="1"/>
  <c r="Y54" i="1"/>
  <c r="U52" i="1"/>
  <c r="AE49" i="1"/>
  <c r="AF64" i="1"/>
  <c r="AD59" i="1"/>
  <c r="V55" i="1"/>
  <c r="X52" i="1"/>
  <c r="AD49" i="1"/>
  <c r="W57" i="1"/>
  <c r="AF60" i="1"/>
  <c r="AB56" i="1"/>
  <c r="U62" i="1"/>
  <c r="AG61" i="1"/>
  <c r="Y57" i="1"/>
  <c r="U53" i="1"/>
  <c r="AA50" i="1"/>
  <c r="W61" i="1"/>
  <c r="AC61" i="1"/>
  <c r="U57" i="1"/>
  <c r="AF61" i="1"/>
  <c r="AB59" i="1"/>
  <c r="X57" i="1"/>
  <c r="T55" i="1"/>
  <c r="AD52" i="1"/>
  <c r="Z50" i="1"/>
  <c r="U72" i="1"/>
  <c r="AC72" i="1"/>
  <c r="W87" i="1"/>
  <c r="AC84" i="1"/>
  <c r="U82" i="1"/>
  <c r="AE79" i="1"/>
  <c r="AA77" i="1"/>
  <c r="W75" i="1"/>
  <c r="AG88" i="1"/>
  <c r="Z87" i="1"/>
  <c r="AF84" i="1"/>
  <c r="X82" i="1"/>
  <c r="T80" i="1"/>
  <c r="AD77" i="1"/>
  <c r="Z75" i="1"/>
  <c r="V73" i="1"/>
  <c r="AG87" i="1"/>
  <c r="AC85" i="1"/>
  <c r="Y83" i="1"/>
  <c r="U81" i="1"/>
  <c r="AE78" i="1"/>
  <c r="AA76" i="1"/>
  <c r="W74" i="1"/>
  <c r="AF87" i="1"/>
  <c r="AB85" i="1"/>
  <c r="X83" i="1"/>
  <c r="T81" i="1"/>
  <c r="AD78" i="1"/>
  <c r="Z76" i="1"/>
  <c r="V74" i="1"/>
  <c r="W96" i="1"/>
  <c r="AE96" i="1"/>
  <c r="T112" i="1"/>
  <c r="AA111" i="1"/>
  <c r="AC106" i="1"/>
  <c r="AE103" i="1"/>
  <c r="W101" i="1"/>
  <c r="AG98" i="1"/>
  <c r="Y112" i="1"/>
  <c r="U108" i="1"/>
  <c r="AB110" i="1"/>
  <c r="X108" i="1"/>
  <c r="T106" i="1"/>
  <c r="AD103" i="1"/>
  <c r="Z101" i="1"/>
  <c r="V99" i="1"/>
  <c r="AA112" i="1"/>
  <c r="U109" i="1"/>
  <c r="AA106" i="1"/>
  <c r="W104" i="1"/>
  <c r="AG101" i="1"/>
  <c r="AC99" i="1"/>
  <c r="Y97" i="1"/>
  <c r="X111" i="1"/>
  <c r="T109" i="1"/>
  <c r="AD106" i="1"/>
  <c r="Z104" i="1"/>
  <c r="V102" i="1"/>
  <c r="AF99" i="1"/>
  <c r="AB97" i="1"/>
  <c r="Y120" i="1"/>
  <c r="AG120" i="1"/>
  <c r="AA129" i="1"/>
  <c r="W127" i="1"/>
  <c r="AG124" i="1"/>
  <c r="AC122" i="1"/>
  <c r="AA133" i="1"/>
  <c r="T132" i="1"/>
  <c r="AF124" i="1"/>
  <c r="AB122" i="1"/>
  <c r="AE133" i="1"/>
  <c r="X130" i="1"/>
  <c r="AE134" i="1"/>
  <c r="U131" i="1"/>
  <c r="AA128" i="1"/>
  <c r="W126" i="1"/>
  <c r="AG123" i="1"/>
  <c r="AC121" i="1"/>
  <c r="Z135" i="1"/>
  <c r="X126" i="1"/>
  <c r="AE132" i="1"/>
  <c r="AD135" i="1"/>
  <c r="AB126" i="1"/>
  <c r="AD134" i="1"/>
  <c r="Z132" i="1"/>
  <c r="V130" i="1"/>
  <c r="AF127" i="1"/>
  <c r="AB125" i="1"/>
  <c r="X123" i="1"/>
  <c r="T1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<sst xmlns="http://schemas.openxmlformats.org/spreadsheetml/2006/main" count="3333" uniqueCount="1587">
  <si>
    <t>K</t>
  </si>
  <si>
    <t>r</t>
  </si>
  <si>
    <t>sigma</t>
  </si>
  <si>
    <t>S</t>
  </si>
  <si>
    <t>tau</t>
  </si>
  <si>
    <t>Delta</t>
  </si>
  <si>
    <t>q</t>
  </si>
  <si>
    <t>Gamma</t>
  </si>
  <si>
    <t>Vega</t>
  </si>
  <si>
    <t>Theta</t>
  </si>
  <si>
    <t>Rho</t>
  </si>
  <si>
    <t>Contract Name</t>
  </si>
  <si>
    <t>Last Trade Date</t>
  </si>
  <si>
    <t>Strike</t>
  </si>
  <si>
    <t>Last Price</t>
  </si>
  <si>
    <t>Bid</t>
  </si>
  <si>
    <t>Ask</t>
  </si>
  <si>
    <t>Change</t>
  </si>
  <si>
    <t>% Change</t>
  </si>
  <si>
    <t>Volume</t>
  </si>
  <si>
    <t>Open Interest</t>
  </si>
  <si>
    <t>Implied Volatility</t>
  </si>
  <si>
    <t>-</t>
  </si>
  <si>
    <t>2022-04-05 10:38AM EDT</t>
  </si>
  <si>
    <t>2022-04-05 10:21AM EDT</t>
  </si>
  <si>
    <t>2022-04-05 10:51AM EDT</t>
  </si>
  <si>
    <t>2022-04-05 10:39AM EDT</t>
  </si>
  <si>
    <t>2022-04-05 10:56AM EDT</t>
  </si>
  <si>
    <t>2022-04-05 10:57AM EDT</t>
  </si>
  <si>
    <t>2022-04-05 10:46AM EDT</t>
  </si>
  <si>
    <t>2022-04-05 10:54AM EDT</t>
  </si>
  <si>
    <t>2022-04-05 10:31AM EDT</t>
  </si>
  <si>
    <t>2022-04-05 10:05AM EDT</t>
  </si>
  <si>
    <t>BABA220506C00045000</t>
  </si>
  <si>
    <t>2022-04-01 11:38AM EDT</t>
  </si>
  <si>
    <t>BABA220506C00055000</t>
  </si>
  <si>
    <t>2022-03-30 2:29PM EDT</t>
  </si>
  <si>
    <t>BABA220506C00070000</t>
  </si>
  <si>
    <t>2022-03-30 12:19PM EDT</t>
  </si>
  <si>
    <t>BABA220506C00075000</t>
  </si>
  <si>
    <t>2022-04-01 1:24PM EDT</t>
  </si>
  <si>
    <t>BABA220506C00080000</t>
  </si>
  <si>
    <t>2022-04-04 9:59AM EDT</t>
  </si>
  <si>
    <t>BABA220506C00085000</t>
  </si>
  <si>
    <t>2022-04-05 10:26AM EDT</t>
  </si>
  <si>
    <t>BABA220506C00090000</t>
  </si>
  <si>
    <t>2022-04-05 11:02AM EDT</t>
  </si>
  <si>
    <t>BABA220506C00095000</t>
  </si>
  <si>
    <t>BABA220506C00099000</t>
  </si>
  <si>
    <t>2022-03-30 12:10PM EDT</t>
  </si>
  <si>
    <t>BABA220506C00100000</t>
  </si>
  <si>
    <t>BABA220506C00101000</t>
  </si>
  <si>
    <t>2022-03-31 12:24PM EDT</t>
  </si>
  <si>
    <t>BABA220506C00102000</t>
  </si>
  <si>
    <t>2022-04-04 12:58PM EDT</t>
  </si>
  <si>
    <t>BABA220506C00103000</t>
  </si>
  <si>
    <t>2022-03-30 10:35AM EDT</t>
  </si>
  <si>
    <t>BABA220506C00104000</t>
  </si>
  <si>
    <t>2022-03-28 1:50PM EDT</t>
  </si>
  <si>
    <t>BABA220506C00105000</t>
  </si>
  <si>
    <t>BABA220506C00107000</t>
  </si>
  <si>
    <t>2022-04-01 9:31AM EDT</t>
  </si>
  <si>
    <t>BABA220506C00108000</t>
  </si>
  <si>
    <t>2022-04-05 10:16AM EDT</t>
  </si>
  <si>
    <t>BABA220506C00109000</t>
  </si>
  <si>
    <t>BABA220506C00110000</t>
  </si>
  <si>
    <t>BABA220506C00111000</t>
  </si>
  <si>
    <t>BABA220506C00112000</t>
  </si>
  <si>
    <t>2022-04-05 10:53AM EDT</t>
  </si>
  <si>
    <t>BABA220506C00113000</t>
  </si>
  <si>
    <t>BABA220506C00114000</t>
  </si>
  <si>
    <t>2022-04-05 9:53AM EDT</t>
  </si>
  <si>
    <t>BABA220506C00115000</t>
  </si>
  <si>
    <t>2022-04-05 10:43AM EDT</t>
  </si>
  <si>
    <t>BABA220506C00116000</t>
  </si>
  <si>
    <t>BABA220506C00117000</t>
  </si>
  <si>
    <t>2022-04-05 11:03AM EDT</t>
  </si>
  <si>
    <t>BABA220506C00118000</t>
  </si>
  <si>
    <t>BABA220506C00119000</t>
  </si>
  <si>
    <t>BABA220506C00120000</t>
  </si>
  <si>
    <t>BABA220506C00121000</t>
  </si>
  <si>
    <t>2022-04-05 10:00AM EDT</t>
  </si>
  <si>
    <t>BABA220506C00122000</t>
  </si>
  <si>
    <t>2022-04-05 9:30AM EDT</t>
  </si>
  <si>
    <t>BABA220506C00123000</t>
  </si>
  <si>
    <t>2022-04-05 10:52AM EDT</t>
  </si>
  <si>
    <t>BABA220506C00124000</t>
  </si>
  <si>
    <t>2022-04-05 11:00AM EDT</t>
  </si>
  <si>
    <t>BABA220506C00125000</t>
  </si>
  <si>
    <t>2022-04-05 9:32AM EDT</t>
  </si>
  <si>
    <t>BABA220506C00126000</t>
  </si>
  <si>
    <t>2022-04-04 12:38PM EDT</t>
  </si>
  <si>
    <t>BABA220506C00127000</t>
  </si>
  <si>
    <t>BABA220506C00128000</t>
  </si>
  <si>
    <t>BABA220506C00130000</t>
  </si>
  <si>
    <t>2022-04-05 10:32AM EDT</t>
  </si>
  <si>
    <t>BABA220506C00135000</t>
  </si>
  <si>
    <t>2022-04-05 9:40AM EDT</t>
  </si>
  <si>
    <t>BABA220506C00140000</t>
  </si>
  <si>
    <t>2022-04-05 10:19AM EDT</t>
  </si>
  <si>
    <t>BABA220506C00145000</t>
  </si>
  <si>
    <t>BABA220506C00150000</t>
  </si>
  <si>
    <t>BABA220506C00155000</t>
  </si>
  <si>
    <t>2022-04-04 3:08PM EDT</t>
  </si>
  <si>
    <t>BABA220506C00160000</t>
  </si>
  <si>
    <t>2022-04-05 9:39AM EDT</t>
  </si>
  <si>
    <t>BABA220506C00165000</t>
  </si>
  <si>
    <t>2022-04-05 10:02AM EDT</t>
  </si>
  <si>
    <t>BABA220506C00170000</t>
  </si>
  <si>
    <t>2022-04-04 11:45AM EDT</t>
  </si>
  <si>
    <t>BABA220506C00175000</t>
  </si>
  <si>
    <t>2022-04-04 3:46PM EDT</t>
  </si>
  <si>
    <t>BABA220506C00180000</t>
  </si>
  <si>
    <t>2022-04-04 3:26PM EDT</t>
  </si>
  <si>
    <t>BABA220506C00185000</t>
  </si>
  <si>
    <t>2022-03-31 1:50PM EDT</t>
  </si>
  <si>
    <t>Mid price</t>
  </si>
  <si>
    <t>T = 1 m</t>
  </si>
  <si>
    <t>2022-04-05 11:42AM EDT.</t>
  </si>
  <si>
    <t>Date</t>
  </si>
  <si>
    <t>Open</t>
  </si>
  <si>
    <t>High</t>
  </si>
  <si>
    <t>Low</t>
  </si>
  <si>
    <t>Close*</t>
  </si>
  <si>
    <t>Adj Close**</t>
  </si>
  <si>
    <t>Apr 04, 2022</t>
  </si>
  <si>
    <t>39,088,500</t>
  </si>
  <si>
    <t>Apr 01, 2022</t>
  </si>
  <si>
    <t>55,787,700</t>
  </si>
  <si>
    <t>Mar 31, 2022</t>
  </si>
  <si>
    <t>31,240,200</t>
  </si>
  <si>
    <t>Mar 30, 2022</t>
  </si>
  <si>
    <t>28,381,700</t>
  </si>
  <si>
    <t>Mar 29, 2022</t>
  </si>
  <si>
    <t>28,060,900</t>
  </si>
  <si>
    <t>Mar 28, 2022</t>
  </si>
  <si>
    <t>30,168,000</t>
  </si>
  <si>
    <t>Mar 25, 2022</t>
  </si>
  <si>
    <t>42,396,500</t>
  </si>
  <si>
    <t>Mar 24, 2022</t>
  </si>
  <si>
    <t>55,850,200</t>
  </si>
  <si>
    <t>Mar 23, 2022</t>
  </si>
  <si>
    <t>81,605,700</t>
  </si>
  <si>
    <t>Mar 22, 2022</t>
  </si>
  <si>
    <t>88,193,400</t>
  </si>
  <si>
    <t>Mar 21, 2022</t>
  </si>
  <si>
    <t>58,882,900</t>
  </si>
  <si>
    <t>Mar 18, 2022</t>
  </si>
  <si>
    <t>83,781,800</t>
  </si>
  <si>
    <t>Mar 17, 2022</t>
  </si>
  <si>
    <t>80,663,200</t>
  </si>
  <si>
    <t>Mar 16, 2022</t>
  </si>
  <si>
    <t>159,834,300</t>
  </si>
  <si>
    <t>Mar 15, 2022</t>
  </si>
  <si>
    <t>86,209,300</t>
  </si>
  <si>
    <t>Mar 14, 2022</t>
  </si>
  <si>
    <t>69,992,600</t>
  </si>
  <si>
    <t>Mar 11, 2022</t>
  </si>
  <si>
    <t>39,341,800</t>
  </si>
  <si>
    <t>Mar 10, 2022</t>
  </si>
  <si>
    <t>37,671,200</t>
  </si>
  <si>
    <t>Mar 09, 2022</t>
  </si>
  <si>
    <t>20,853,600</t>
  </si>
  <si>
    <t>Mar 08, 2022</t>
  </si>
  <si>
    <t>23,275,500</t>
  </si>
  <si>
    <t>Mar 07, 2022</t>
  </si>
  <si>
    <t>20,679,400</t>
  </si>
  <si>
    <t>sigma_day</t>
  </si>
  <si>
    <t>sigma_year</t>
  </si>
  <si>
    <t>BABA220715C00040000</t>
  </si>
  <si>
    <t>2022-04-05 12:58PM EDT</t>
  </si>
  <si>
    <t>BABA220715C00045000</t>
  </si>
  <si>
    <t>2022-03-23 2:14PM EDT</t>
  </si>
  <si>
    <t>BABA220715C00050000</t>
  </si>
  <si>
    <t>2022-03-21 10:27AM EDT</t>
  </si>
  <si>
    <t>BABA220715C00055000</t>
  </si>
  <si>
    <t>2022-03-14 9:34AM EDT</t>
  </si>
  <si>
    <t>BABA220715C00060000</t>
  </si>
  <si>
    <t>2022-03-28 3:57PM EDT</t>
  </si>
  <si>
    <t>BABA220715C00065000</t>
  </si>
  <si>
    <t>2022-03-28 3:42PM EDT</t>
  </si>
  <si>
    <t>BABA220715C00070000</t>
  </si>
  <si>
    <t>2022-04-04 12:44PM EDT</t>
  </si>
  <si>
    <t>BABA220715C00075000</t>
  </si>
  <si>
    <t>2022-04-04 12:54PM EDT</t>
  </si>
  <si>
    <t>BABA220715C00080000</t>
  </si>
  <si>
    <t>2022-04-05 1:02PM EDT</t>
  </si>
  <si>
    <t>BABA220715C00085000</t>
  </si>
  <si>
    <t>2022-04-05 1:01PM EDT</t>
  </si>
  <si>
    <t>BABA220715C00090000</t>
  </si>
  <si>
    <t>2022-04-04 9:49AM EDT</t>
  </si>
  <si>
    <t>BABA220715C00095000</t>
  </si>
  <si>
    <t>2022-04-04 10:55AM EDT</t>
  </si>
  <si>
    <t>BABA220715C00100000</t>
  </si>
  <si>
    <t>2022-04-05 3:30PM EDT</t>
  </si>
  <si>
    <t>BABA220715C00105000</t>
  </si>
  <si>
    <t>2022-04-05 1:31PM EDT</t>
  </si>
  <si>
    <t>BABA220715C00110000</t>
  </si>
  <si>
    <t>2022-04-05 3:59PM EDT</t>
  </si>
  <si>
    <t>BABA220715C00115000</t>
  </si>
  <si>
    <t>2022-04-06 9:33AM EDT</t>
  </si>
  <si>
    <t>BABA220715C00120000</t>
  </si>
  <si>
    <t>2022-04-06 9:32AM EDT</t>
  </si>
  <si>
    <t>BABA220715C00125000</t>
  </si>
  <si>
    <t>BABA220715C00130000</t>
  </si>
  <si>
    <t>2022-04-05 3:12PM EDT</t>
  </si>
  <si>
    <t>BABA220715C00135000</t>
  </si>
  <si>
    <t>BABA220715C00140000</t>
  </si>
  <si>
    <t>2022-04-05 3:52PM EDT</t>
  </si>
  <si>
    <t>BABA220715C00145000</t>
  </si>
  <si>
    <t>2022-04-05 2:59PM EDT</t>
  </si>
  <si>
    <t>BABA220715C00150000</t>
  </si>
  <si>
    <t>2022-04-05 3:11PM EDT</t>
  </si>
  <si>
    <t>BABA220715C00155000</t>
  </si>
  <si>
    <t>2022-04-06 9:35AM EDT</t>
  </si>
  <si>
    <t>BABA220715C00160000</t>
  </si>
  <si>
    <t>2022-04-05 2:48PM EDT</t>
  </si>
  <si>
    <t>BABA220715C00165000</t>
  </si>
  <si>
    <t>2022-04-05 3:53PM EDT</t>
  </si>
  <si>
    <t>BABA220715C00170000</t>
  </si>
  <si>
    <t>BABA220715C00175000</t>
  </si>
  <si>
    <t>BABA220715C00180000</t>
  </si>
  <si>
    <t>BABA220715C00185000</t>
  </si>
  <si>
    <t>BABA220715C00190000</t>
  </si>
  <si>
    <t>BABA220715C00195000</t>
  </si>
  <si>
    <t>BABA220715C00200000</t>
  </si>
  <si>
    <t>BABA220715C00205000</t>
  </si>
  <si>
    <t>2022-04-05 3:31PM EDT</t>
  </si>
  <si>
    <t>BABA220715C00210000</t>
  </si>
  <si>
    <t>2022-04-04 2:24PM EDT</t>
  </si>
  <si>
    <t>BABA220715C00215000</t>
  </si>
  <si>
    <t>2022-04-01 3:26PM EDT</t>
  </si>
  <si>
    <t>BABA220715C00220000</t>
  </si>
  <si>
    <t>2022-04-01 10:04AM EDT</t>
  </si>
  <si>
    <t>BABA220715C00225000</t>
  </si>
  <si>
    <t>2022-04-04 3:16PM EDT</t>
  </si>
  <si>
    <t>BABA220715C00230000</t>
  </si>
  <si>
    <t>2022-04-01 3:03PM EDT</t>
  </si>
  <si>
    <t>BABA220715C00235000</t>
  </si>
  <si>
    <t>2022-04-01 9:32AM EDT</t>
  </si>
  <si>
    <t>BABA220715C00240000</t>
  </si>
  <si>
    <t>2022-04-05 12:41PM EDT</t>
  </si>
  <si>
    <t>BABA220715C00245000</t>
  </si>
  <si>
    <t>2022-04-01 1:41PM EDT</t>
  </si>
  <si>
    <t>BABA220715C00250000</t>
  </si>
  <si>
    <t>2022-04-04 2:21PM EDT</t>
  </si>
  <si>
    <t>BABA220715C00255000</t>
  </si>
  <si>
    <t>2022-04-04 12:31PM EDT</t>
  </si>
  <si>
    <t>BABA220715C00260000</t>
  </si>
  <si>
    <t>2022-04-01 1:37PM EDT</t>
  </si>
  <si>
    <t>BABA220715C00265000</t>
  </si>
  <si>
    <t>BABA220715C00270000</t>
  </si>
  <si>
    <t>2022-04-05 11:07AM EDT</t>
  </si>
  <si>
    <t>T = 3m</t>
  </si>
  <si>
    <t>Apr 05, 2022</t>
  </si>
  <si>
    <t>35,008,700</t>
  </si>
  <si>
    <t>Mar 04, 2022</t>
  </si>
  <si>
    <t>24,574,700</t>
  </si>
  <si>
    <t>Mar 03, 2022</t>
  </si>
  <si>
    <t>21,725,900</t>
  </si>
  <si>
    <t>Mar 02, 2022</t>
  </si>
  <si>
    <t>20,791,800</t>
  </si>
  <si>
    <t>Mar 01, 2022</t>
  </si>
  <si>
    <t>21,218,500</t>
  </si>
  <si>
    <t>Feb 28, 2022</t>
  </si>
  <si>
    <t>23,063,500</t>
  </si>
  <si>
    <t>Feb 25, 2022</t>
  </si>
  <si>
    <t>21,428,400</t>
  </si>
  <si>
    <t>Feb 24, 2022</t>
  </si>
  <si>
    <t>35,294,700</t>
  </si>
  <si>
    <t>Feb 23, 2022</t>
  </si>
  <si>
    <t>24,489,200</t>
  </si>
  <si>
    <t>Feb 22, 2022</t>
  </si>
  <si>
    <t>21,755,100</t>
  </si>
  <si>
    <t>Feb 18, 2022</t>
  </si>
  <si>
    <t>21,201,400</t>
  </si>
  <si>
    <t>Feb 17, 2022</t>
  </si>
  <si>
    <t>15,906,000</t>
  </si>
  <si>
    <t>Feb 16, 2022</t>
  </si>
  <si>
    <t>17,993,300</t>
  </si>
  <si>
    <t>Feb 15, 2022</t>
  </si>
  <si>
    <t>14,634,700</t>
  </si>
  <si>
    <t>Feb 14, 2022</t>
  </si>
  <si>
    <t>13,154,900</t>
  </si>
  <si>
    <t>Feb 11, 2022</t>
  </si>
  <si>
    <t>13,889,900</t>
  </si>
  <si>
    <t>Feb 10, 2022</t>
  </si>
  <si>
    <t>16,116,600</t>
  </si>
  <si>
    <t>Feb 09, 2022</t>
  </si>
  <si>
    <t>18,253,600</t>
  </si>
  <si>
    <t>Feb 08, 2022</t>
  </si>
  <si>
    <t>22,340,500</t>
  </si>
  <si>
    <t>Feb 07, 2022</t>
  </si>
  <si>
    <t>28,589,200</t>
  </si>
  <si>
    <t>Feb 04, 2022</t>
  </si>
  <si>
    <t>13,538,200</t>
  </si>
  <si>
    <t>Feb 03, 2022</t>
  </si>
  <si>
    <t>16,651,500</t>
  </si>
  <si>
    <t>Feb 02, 2022</t>
  </si>
  <si>
    <t>14,050,100</t>
  </si>
  <si>
    <t>Feb 01, 2022</t>
  </si>
  <si>
    <t>15,036,100</t>
  </si>
  <si>
    <t>Jan 31, 2022</t>
  </si>
  <si>
    <t>20,346,500</t>
  </si>
  <si>
    <t>Jan 28, 2022</t>
  </si>
  <si>
    <t>18,892,400</t>
  </si>
  <si>
    <t>Jan 27, 2022</t>
  </si>
  <si>
    <t>21,472,700</t>
  </si>
  <si>
    <t>Jan 26, 2022</t>
  </si>
  <si>
    <t>27,513,200</t>
  </si>
  <si>
    <t>Jan 25, 2022</t>
  </si>
  <si>
    <t>22,224,100</t>
  </si>
  <si>
    <t>Jan 24, 2022</t>
  </si>
  <si>
    <t>28,509,300</t>
  </si>
  <si>
    <t>Jan 21, 2022</t>
  </si>
  <si>
    <t>26,341,400</t>
  </si>
  <si>
    <t>Jan 20, 2022</t>
  </si>
  <si>
    <t>28,966,400</t>
  </si>
  <si>
    <t>Jan 19, 2022</t>
  </si>
  <si>
    <t>14,665,200</t>
  </si>
  <si>
    <t>Jan 18, 2022</t>
  </si>
  <si>
    <t>26,122,200</t>
  </si>
  <si>
    <t>Jan 14, 2022</t>
  </si>
  <si>
    <t>18,614,900</t>
  </si>
  <si>
    <t>Jan 13, 2022</t>
  </si>
  <si>
    <t>19,887,700</t>
  </si>
  <si>
    <t>Jan 12, 2022</t>
  </si>
  <si>
    <t>25,961,100</t>
  </si>
  <si>
    <t>Jan 11, 2022</t>
  </si>
  <si>
    <t>23,616,400</t>
  </si>
  <si>
    <t>Jan 10, 2022</t>
  </si>
  <si>
    <t>23,372,200</t>
  </si>
  <si>
    <t>Jan 07, 2022</t>
  </si>
  <si>
    <t>38,113,000</t>
  </si>
  <si>
    <t>Jan 06, 2022</t>
  </si>
  <si>
    <t>32,045,800</t>
  </si>
  <si>
    <t>Daily returns</t>
  </si>
  <si>
    <t>sigma day</t>
  </si>
  <si>
    <t>sigma year</t>
  </si>
  <si>
    <t>BABA221021C00025000</t>
  </si>
  <si>
    <t>2022-03-31 1:04PM EDT</t>
  </si>
  <si>
    <t>BABA221021C00030000</t>
  </si>
  <si>
    <t>BABA221021C00035000</t>
  </si>
  <si>
    <t>2022-03-25 2:22PM EDT</t>
  </si>
  <si>
    <t>BABA221021C00040000</t>
  </si>
  <si>
    <t>2022-03-29 3:08PM EDT</t>
  </si>
  <si>
    <t>BABA221021C00065000</t>
  </si>
  <si>
    <t>2022-03-28 2:24PM EDT</t>
  </si>
  <si>
    <t>BABA221021C00070000</t>
  </si>
  <si>
    <t>BABA221021C00075000</t>
  </si>
  <si>
    <t>2022-04-05 12:27PM EDT</t>
  </si>
  <si>
    <t>BABA221021C00080000</t>
  </si>
  <si>
    <t>2022-03-29 3:28PM EDT</t>
  </si>
  <si>
    <t>BABA221021C00085000</t>
  </si>
  <si>
    <t>2022-03-31 2:53PM EDT</t>
  </si>
  <si>
    <t>BABA221021C00090000</t>
  </si>
  <si>
    <t>BABA221021C00095000</t>
  </si>
  <si>
    <t>2022-04-05 12:01PM EDT</t>
  </si>
  <si>
    <t>BABA221021C00100000</t>
  </si>
  <si>
    <t>2022-04-06 9:48AM EDT</t>
  </si>
  <si>
    <t>BABA221021C00105000</t>
  </si>
  <si>
    <t>2022-04-05 11:26AM EDT</t>
  </si>
  <si>
    <t>BABA221021C00110000</t>
  </si>
  <si>
    <t>2022-04-05 2:39PM EDT</t>
  </si>
  <si>
    <t>BABA221021C00115000</t>
  </si>
  <si>
    <t>2022-04-06 9:50AM EDT</t>
  </si>
  <si>
    <t>BABA221021C00120000</t>
  </si>
  <si>
    <t>2022-04-05 3:46PM EDT</t>
  </si>
  <si>
    <t>BABA221021C00125000</t>
  </si>
  <si>
    <t>2022-04-05 2:40PM EDT</t>
  </si>
  <si>
    <t>BABA221021C00130000</t>
  </si>
  <si>
    <t>2022-04-06 9:34AM EDT</t>
  </si>
  <si>
    <t>BABA221021C00135000</t>
  </si>
  <si>
    <t>2022-04-05 9:52AM EDT</t>
  </si>
  <si>
    <t>BABA221021C00140000</t>
  </si>
  <si>
    <t>2022-04-06 9:52AM EDT</t>
  </si>
  <si>
    <t>BABA221021C00145000</t>
  </si>
  <si>
    <t>2022-04-05 3:25PM EDT</t>
  </si>
  <si>
    <t>BABA221021C00150000</t>
  </si>
  <si>
    <t>2022-04-06 9:51AM EDT</t>
  </si>
  <si>
    <t>BABA221021C00155000</t>
  </si>
  <si>
    <t>2022-04-05 3:58PM EDT</t>
  </si>
  <si>
    <t>BABA221021C00160000</t>
  </si>
  <si>
    <t>2022-04-06 9:38AM EDT</t>
  </si>
  <si>
    <t>BABA221021C00165000</t>
  </si>
  <si>
    <t>BABA221021C00170000</t>
  </si>
  <si>
    <t>2022-04-05 3:57PM EDT</t>
  </si>
  <si>
    <t>BABA221021C00175000</t>
  </si>
  <si>
    <t>2022-04-05 3:18PM EDT</t>
  </si>
  <si>
    <t>BABA221021C00180000</t>
  </si>
  <si>
    <t>BABA221021C00185000</t>
  </si>
  <si>
    <t>BABA221021C00190000</t>
  </si>
  <si>
    <t>2022-04-05 11:51AM EDT</t>
  </si>
  <si>
    <t>BABA221021C00195000</t>
  </si>
  <si>
    <t>BABA221021C00200000</t>
  </si>
  <si>
    <t>2022-04-06 9:40AM EDT</t>
  </si>
  <si>
    <t>BABA221021C00205000</t>
  </si>
  <si>
    <t>2022-04-01 12:40PM EDT</t>
  </si>
  <si>
    <t>BABA221021C00210000</t>
  </si>
  <si>
    <t>2022-04-04 10:44AM EDT</t>
  </si>
  <si>
    <t>BABA221021C00215000</t>
  </si>
  <si>
    <t>2022-04-01 9:41AM EDT</t>
  </si>
  <si>
    <t>BABA221021C00220000</t>
  </si>
  <si>
    <t>2022-04-05 12:48PM EDT</t>
  </si>
  <si>
    <t>BABA221021C00225000</t>
  </si>
  <si>
    <t>2022-04-05 1:06PM EDT</t>
  </si>
  <si>
    <t>T = 6m</t>
  </si>
  <si>
    <t>Jan 05, 2022</t>
  </si>
  <si>
    <t>36,651,100</t>
  </si>
  <si>
    <t>Jan 04, 2022</t>
  </si>
  <si>
    <t>20,824,000</t>
  </si>
  <si>
    <t>Jan 03, 2022</t>
  </si>
  <si>
    <t>16,775,300</t>
  </si>
  <si>
    <t>Dec 31, 2021</t>
  </si>
  <si>
    <t>24,287,000</t>
  </si>
  <si>
    <t>Dec 30, 2021</t>
  </si>
  <si>
    <t>45,437,100</t>
  </si>
  <si>
    <t>Dec 29, 2021</t>
  </si>
  <si>
    <t>21,100,500</t>
  </si>
  <si>
    <t>Dec 28, 2021</t>
  </si>
  <si>
    <t>17,052,100</t>
  </si>
  <si>
    <t>Dec 27, 2021</t>
  </si>
  <si>
    <t>17,864,400</t>
  </si>
  <si>
    <t>Dec 23, 2021</t>
  </si>
  <si>
    <t>17,563,300</t>
  </si>
  <si>
    <t>Dec 22, 2021</t>
  </si>
  <si>
    <t>24,502,000</t>
  </si>
  <si>
    <t>Dec 21, 2021</t>
  </si>
  <si>
    <t>18,036,300</t>
  </si>
  <si>
    <t>Dec 20, 2021</t>
  </si>
  <si>
    <t>23,970,500</t>
  </si>
  <si>
    <t>Dec 17, 2021</t>
  </si>
  <si>
    <t>19,781,100</t>
  </si>
  <si>
    <t>Dec 16, 2021</t>
  </si>
  <si>
    <t>22,533,400</t>
  </si>
  <si>
    <t>Dec 15, 2021</t>
  </si>
  <si>
    <t>24,893,500</t>
  </si>
  <si>
    <t>Dec 14, 2021</t>
  </si>
  <si>
    <t>17,691,500</t>
  </si>
  <si>
    <t>Dec 13, 2021</t>
  </si>
  <si>
    <t>15,820,500</t>
  </si>
  <si>
    <t>Dec 10, 2021</t>
  </si>
  <si>
    <t>15,008,300</t>
  </si>
  <si>
    <t>Dec 09, 2021</t>
  </si>
  <si>
    <t>23,499,300</t>
  </si>
  <si>
    <t>Dec 08, 2021</t>
  </si>
  <si>
    <t>22,275,000</t>
  </si>
  <si>
    <t>Dec 07, 2021</t>
  </si>
  <si>
    <t>38,542,800</t>
  </si>
  <si>
    <t>Dec 06, 2021</t>
  </si>
  <si>
    <t>43,111,400</t>
  </si>
  <si>
    <t>Dec 03, 2021</t>
  </si>
  <si>
    <t>70,266,500</t>
  </si>
  <si>
    <t>Dec 02, 2021</t>
  </si>
  <si>
    <t>34,478,600</t>
  </si>
  <si>
    <t>Dec 01, 2021</t>
  </si>
  <si>
    <t>29,203,800</t>
  </si>
  <si>
    <t>Nov 30, 2021</t>
  </si>
  <si>
    <t>32,625,400</t>
  </si>
  <si>
    <t>Nov 29, 2021</t>
  </si>
  <si>
    <t>18,648,900</t>
  </si>
  <si>
    <t>Nov 26, 2021</t>
  </si>
  <si>
    <t>14,814,900</t>
  </si>
  <si>
    <t>Nov 24, 2021</t>
  </si>
  <si>
    <t>20,010,400</t>
  </si>
  <si>
    <t>Nov 23, 2021</t>
  </si>
  <si>
    <t>24,102,900</t>
  </si>
  <si>
    <t>Nov 22, 2021</t>
  </si>
  <si>
    <t>26,390,400</t>
  </si>
  <si>
    <t>Nov 19, 2021</t>
  </si>
  <si>
    <t>28,575,700</t>
  </si>
  <si>
    <t>Nov 18, 2021</t>
  </si>
  <si>
    <t>61,571,500</t>
  </si>
  <si>
    <t>Nov 17, 2021</t>
  </si>
  <si>
    <t>18,829,500</t>
  </si>
  <si>
    <t>Nov 16, 2021</t>
  </si>
  <si>
    <t>11,887,500</t>
  </si>
  <si>
    <t>Nov 15, 2021</t>
  </si>
  <si>
    <t>9,655,700</t>
  </si>
  <si>
    <t>Nov 12, 2021</t>
  </si>
  <si>
    <t>13,741,800</t>
  </si>
  <si>
    <t>Nov 11, 2021</t>
  </si>
  <si>
    <t>16,747,500</t>
  </si>
  <si>
    <t>Nov 10, 2021</t>
  </si>
  <si>
    <t>17,216,800</t>
  </si>
  <si>
    <t>Nov 09, 2021</t>
  </si>
  <si>
    <t>14,010,100</t>
  </si>
  <si>
    <t>Nov 08, 2021</t>
  </si>
  <si>
    <t>16,223,100</t>
  </si>
  <si>
    <t>Nov 05, 2021</t>
  </si>
  <si>
    <t>22,098,200</t>
  </si>
  <si>
    <t>Nov 04, 2021</t>
  </si>
  <si>
    <t>16,669,200</t>
  </si>
  <si>
    <t>Nov 03, 2021</t>
  </si>
  <si>
    <t>13,569,700</t>
  </si>
  <si>
    <t>Nov 02, 2021</t>
  </si>
  <si>
    <t>19,072,900</t>
  </si>
  <si>
    <t>Nov 01, 2021</t>
  </si>
  <si>
    <t>17,609,500</t>
  </si>
  <si>
    <t>Oct 29, 2021</t>
  </si>
  <si>
    <t>17,155,400</t>
  </si>
  <si>
    <t>Oct 28, 2021</t>
  </si>
  <si>
    <t>12,440,100</t>
  </si>
  <si>
    <t>Oct 27, 2021</t>
  </si>
  <si>
    <t>11,801,800</t>
  </si>
  <si>
    <t>Oct 26, 2021</t>
  </si>
  <si>
    <t>17,577,000</t>
  </si>
  <si>
    <t>Oct 25, 2021</t>
  </si>
  <si>
    <t>13,119,700</t>
  </si>
  <si>
    <t>Oct 22, 2021</t>
  </si>
  <si>
    <t>20,807,300</t>
  </si>
  <si>
    <t>Oct 21, 2021</t>
  </si>
  <si>
    <t>16,444,000</t>
  </si>
  <si>
    <t>Oct 20, 2021</t>
  </si>
  <si>
    <t>33,714,400</t>
  </si>
  <si>
    <t>Oct 19, 2021</t>
  </si>
  <si>
    <t>33,538,900</t>
  </si>
  <si>
    <t>Oct 18, 2021</t>
  </si>
  <si>
    <t>18,945,900</t>
  </si>
  <si>
    <t>Oct 15, 2021</t>
  </si>
  <si>
    <t>20,762,800</t>
  </si>
  <si>
    <t>Oct 14, 2021</t>
  </si>
  <si>
    <t>17,403,700</t>
  </si>
  <si>
    <t>Oct 13, 2021</t>
  </si>
  <si>
    <t>18,595,000</t>
  </si>
  <si>
    <t>Oct 12, 2021</t>
  </si>
  <si>
    <t>24,512,700</t>
  </si>
  <si>
    <t>Oct 11, 2021</t>
  </si>
  <si>
    <t>42,193,600</t>
  </si>
  <si>
    <t>Oct 08, 2021</t>
  </si>
  <si>
    <t>33,499,200</t>
  </si>
  <si>
    <t>Oct 07, 2021</t>
  </si>
  <si>
    <t>46,035,900</t>
  </si>
  <si>
    <t>Oct 06, 2021</t>
  </si>
  <si>
    <t>14,875,900</t>
  </si>
  <si>
    <t>BABA230317C00040000</t>
  </si>
  <si>
    <t>2022-04-04 2:57PM EDT</t>
  </si>
  <si>
    <t>BABA230317C00050000</t>
  </si>
  <si>
    <t>2022-04-05 12:22PM EDT</t>
  </si>
  <si>
    <t>BABA230317C00055000</t>
  </si>
  <si>
    <t>2022-03-21 9:32AM EDT</t>
  </si>
  <si>
    <t>BABA230317C00060000</t>
  </si>
  <si>
    <t>2022-04-04 2:18PM EDT</t>
  </si>
  <si>
    <t>BABA230317C00065000</t>
  </si>
  <si>
    <t>BABA230317C00070000</t>
  </si>
  <si>
    <t>2022-04-01 9:53AM EDT</t>
  </si>
  <si>
    <t>BABA230317C00075000</t>
  </si>
  <si>
    <t>2022-04-05 3:42PM EDT</t>
  </si>
  <si>
    <t>BABA230317C00080000</t>
  </si>
  <si>
    <t>2022-04-05 2:22PM EDT</t>
  </si>
  <si>
    <t>BABA230317C00085000</t>
  </si>
  <si>
    <t>2022-03-31 11:59AM EDT</t>
  </si>
  <si>
    <t>BABA230317C00090000</t>
  </si>
  <si>
    <t>2022-04-05 10:06AM EDT</t>
  </si>
  <si>
    <t>BABA230317C00095000</t>
  </si>
  <si>
    <t>2022-04-05 12:20PM EDT</t>
  </si>
  <si>
    <t>BABA230317C00100000</t>
  </si>
  <si>
    <t>2022-04-06 9:55AM EDT</t>
  </si>
  <si>
    <t>BABA230317C00105000</t>
  </si>
  <si>
    <t>2022-04-04 12:35PM EDT</t>
  </si>
  <si>
    <t>BABA230317C00110000</t>
  </si>
  <si>
    <t>2022-04-06 9:37AM EDT</t>
  </si>
  <si>
    <t>BABA230317C00115000</t>
  </si>
  <si>
    <t>2022-04-06 9:46AM EDT</t>
  </si>
  <si>
    <t>BABA230317C00120000</t>
  </si>
  <si>
    <t>BABA230317C00125000</t>
  </si>
  <si>
    <t>2022-04-04 1:24PM EDT</t>
  </si>
  <si>
    <t>BABA230317C00130000</t>
  </si>
  <si>
    <t>BABA230317C00135000</t>
  </si>
  <si>
    <t>2022-04-04 11:07AM EDT</t>
  </si>
  <si>
    <t>BABA230317C00140000</t>
  </si>
  <si>
    <t>2022-04-05 12:55PM EDT</t>
  </si>
  <si>
    <t>BABA230317C00145000</t>
  </si>
  <si>
    <t>2022-04-05 10:44AM EDT</t>
  </si>
  <si>
    <t>BABA230317C00150000</t>
  </si>
  <si>
    <t>2022-04-06 9:56AM EDT</t>
  </si>
  <si>
    <t>BABA230317C00155000</t>
  </si>
  <si>
    <t>2022-04-05 1:14PM EDT</t>
  </si>
  <si>
    <t>BABA230317C00160000</t>
  </si>
  <si>
    <t>BABA230317C00165000</t>
  </si>
  <si>
    <t>2022-04-04 3:22PM EDT</t>
  </si>
  <si>
    <t>BABA230317C00170000</t>
  </si>
  <si>
    <t>2022-03-31 1:28PM EDT</t>
  </si>
  <si>
    <t>BABA230317C00175000</t>
  </si>
  <si>
    <t>2022-04-04 2:36PM EDT</t>
  </si>
  <si>
    <t>BABA230317C00180000</t>
  </si>
  <si>
    <t>BABA230317C00185000</t>
  </si>
  <si>
    <t>2022-04-05 1:05PM EDT</t>
  </si>
  <si>
    <t>BABA230317C00190000</t>
  </si>
  <si>
    <t>BABA230317C00195000</t>
  </si>
  <si>
    <t>2022-04-05 12:29PM EDT</t>
  </si>
  <si>
    <t>BABA230317C00200000</t>
  </si>
  <si>
    <t>2022-04-05 1:29PM EDT</t>
  </si>
  <si>
    <t>BABA230317C00205000</t>
  </si>
  <si>
    <t>BABA230317C00210000</t>
  </si>
  <si>
    <t>2022-03-29 3:31PM EDT</t>
  </si>
  <si>
    <t>BABA230317C00215000</t>
  </si>
  <si>
    <t>2022-04-01 2:37PM EDT</t>
  </si>
  <si>
    <t>BABA230317C00220000</t>
  </si>
  <si>
    <t>2022-04-04 11:21AM EDT</t>
  </si>
  <si>
    <t>BABA230317C00225000</t>
  </si>
  <si>
    <t>2022-03-23 11:02AM EDT</t>
  </si>
  <si>
    <t>BABA230317C00230000</t>
  </si>
  <si>
    <t>2022-03-28 9:33AM EDT</t>
  </si>
  <si>
    <t>BABA230317C00240000</t>
  </si>
  <si>
    <t>2022-03-31 9:32AM EDT</t>
  </si>
  <si>
    <t>BABA230317C00250000</t>
  </si>
  <si>
    <t>BABA230317C00260000</t>
  </si>
  <si>
    <t>2022-04-05 2:45PM EDT</t>
  </si>
  <si>
    <t>T = 1y</t>
  </si>
  <si>
    <t>Oct 05, 2021</t>
  </si>
  <si>
    <t>14,032,100</t>
  </si>
  <si>
    <t>Oct 04, 2021</t>
  </si>
  <si>
    <t>25,218,500</t>
  </si>
  <si>
    <t>Oct 01, 2021</t>
  </si>
  <si>
    <t>20,211,000</t>
  </si>
  <si>
    <t>Sep 30, 2021</t>
  </si>
  <si>
    <t>14,291,500</t>
  </si>
  <si>
    <t>Sep 29, 2021</t>
  </si>
  <si>
    <t>17,361,300</t>
  </si>
  <si>
    <t>Sep 28, 2021</t>
  </si>
  <si>
    <t>26,299,600</t>
  </si>
  <si>
    <t>Sep 27, 2021</t>
  </si>
  <si>
    <t>24,287,400</t>
  </si>
  <si>
    <t>Sep 24, 2021</t>
  </si>
  <si>
    <t>32,067,400</t>
  </si>
  <si>
    <t>Sep 23, 2021</t>
  </si>
  <si>
    <t>24,707,500</t>
  </si>
  <si>
    <t>Sep 22, 2021</t>
  </si>
  <si>
    <t>19,832,000</t>
  </si>
  <si>
    <t>Sep 21, 2021</t>
  </si>
  <si>
    <t>19,494,700</t>
  </si>
  <si>
    <t>Sep 20, 2021</t>
  </si>
  <si>
    <t>36,177,500</t>
  </si>
  <si>
    <t>Sep 17, 2021</t>
  </si>
  <si>
    <t>25,489,000</t>
  </si>
  <si>
    <t>Sep 16, 2021</t>
  </si>
  <si>
    <t>24,358,900</t>
  </si>
  <si>
    <t>Sep 15, 2021</t>
  </si>
  <si>
    <t>31,796,600</t>
  </si>
  <si>
    <t>Sep 14, 2021</t>
  </si>
  <si>
    <t>20,925,900</t>
  </si>
  <si>
    <t>Sep 13, 2021</t>
  </si>
  <si>
    <t>15,458,600</t>
  </si>
  <si>
    <t>Sep 10, 2021</t>
  </si>
  <si>
    <t>15,064,300</t>
  </si>
  <si>
    <t>Sep 09, 2021</t>
  </si>
  <si>
    <t>17,295,800</t>
  </si>
  <si>
    <t>Sep 08, 2021</t>
  </si>
  <si>
    <t>18,993,000</t>
  </si>
  <si>
    <t>Sep 07, 2021</t>
  </si>
  <si>
    <t>24,608,500</t>
  </si>
  <si>
    <t>Sep 03, 2021</t>
  </si>
  <si>
    <t>16,423,500</t>
  </si>
  <si>
    <t>Sep 02, 2021</t>
  </si>
  <si>
    <t>29,302,400</t>
  </si>
  <si>
    <t>Sep 01, 2021</t>
  </si>
  <si>
    <t>29,550,200</t>
  </si>
  <si>
    <t>Aug 31, 2021</t>
  </si>
  <si>
    <t>24,629,100</t>
  </si>
  <si>
    <t>Aug 30, 2021</t>
  </si>
  <si>
    <t>23,769,400</t>
  </si>
  <si>
    <t>Aug 27, 2021</t>
  </si>
  <si>
    <t>31,718,100</t>
  </si>
  <si>
    <t>Aug 26, 2021</t>
  </si>
  <si>
    <t>18,816,500</t>
  </si>
  <si>
    <t>Aug 25, 2021</t>
  </si>
  <si>
    <t>26,055,400</t>
  </si>
  <si>
    <t>Aug 24, 2021</t>
  </si>
  <si>
    <t>62,786,400</t>
  </si>
  <si>
    <t>Aug 23, 2021</t>
  </si>
  <si>
    <t>88,699,200</t>
  </si>
  <si>
    <t>Aug 20, 2021</t>
  </si>
  <si>
    <t>75,948,900</t>
  </si>
  <si>
    <t>Aug 19, 2021</t>
  </si>
  <si>
    <t>66,663,000</t>
  </si>
  <si>
    <t>Aug 18, 2021</t>
  </si>
  <si>
    <t>34,339,800</t>
  </si>
  <si>
    <t>Aug 17, 2021</t>
  </si>
  <si>
    <t>40,558,000</t>
  </si>
  <si>
    <t>Aug 16, 2021</t>
  </si>
  <si>
    <t>21,020,700</t>
  </si>
  <si>
    <t>Aug 13, 2021</t>
  </si>
  <si>
    <t>15,377,000</t>
  </si>
  <si>
    <t>Aug 12, 2021</t>
  </si>
  <si>
    <t>12,873,400</t>
  </si>
  <si>
    <t>Aug 11, 2021</t>
  </si>
  <si>
    <t>8,985,100</t>
  </si>
  <si>
    <t>Aug 10, 2021</t>
  </si>
  <si>
    <t>9,983,700</t>
  </si>
  <si>
    <t>Aug 09, 2021</t>
  </si>
  <si>
    <t>14,657,200</t>
  </si>
  <si>
    <t>Aug 06, 2021</t>
  </si>
  <si>
    <t>11,967,700</t>
  </si>
  <si>
    <t>Aug 05, 2021</t>
  </si>
  <si>
    <t>9,881,400</t>
  </si>
  <si>
    <t>Aug 04, 2021</t>
  </si>
  <si>
    <t>22,327,300</t>
  </si>
  <si>
    <t>Aug 03, 2021</t>
  </si>
  <si>
    <t>20,115,900</t>
  </si>
  <si>
    <t>Aug 02, 2021</t>
  </si>
  <si>
    <t>17,889,200</t>
  </si>
  <si>
    <t>Jul 30, 2021</t>
  </si>
  <si>
    <t>17,250,600</t>
  </si>
  <si>
    <t>Jul 29, 2021</t>
  </si>
  <si>
    <t>23,363,200</t>
  </si>
  <si>
    <t>Jul 28, 2021</t>
  </si>
  <si>
    <t>34,535,200</t>
  </si>
  <si>
    <t>Jul 27, 2021</t>
  </si>
  <si>
    <t>59,265,700</t>
  </si>
  <si>
    <t>Jul 26, 2021</t>
  </si>
  <si>
    <t>55,736,800</t>
  </si>
  <si>
    <t>Jul 23, 2021</t>
  </si>
  <si>
    <t>25,539,900</t>
  </si>
  <si>
    <t>Jul 22, 2021</t>
  </si>
  <si>
    <t>10,563,100</t>
  </si>
  <si>
    <t>Jul 21, 2021</t>
  </si>
  <si>
    <t>7,650,300</t>
  </si>
  <si>
    <t>Jul 20, 2021</t>
  </si>
  <si>
    <t>9,986,800</t>
  </si>
  <si>
    <t>Jul 19, 2021</t>
  </si>
  <si>
    <t>15,865,800</t>
  </si>
  <si>
    <t>Jul 16, 2021</t>
  </si>
  <si>
    <t>11,150,200</t>
  </si>
  <si>
    <t>Jul 15, 2021</t>
  </si>
  <si>
    <t>14,283,600</t>
  </si>
  <si>
    <t>Jul 14, 2021</t>
  </si>
  <si>
    <t>19,484,200</t>
  </si>
  <si>
    <t>Jul 13, 2021</t>
  </si>
  <si>
    <t>17,375,900</t>
  </si>
  <si>
    <t>Jul 12, 2021</t>
  </si>
  <si>
    <t>11,259,500</t>
  </si>
  <si>
    <t>Jul 09, 2021</t>
  </si>
  <si>
    <t>16,911,300</t>
  </si>
  <si>
    <t>Jul 08, 2021</t>
  </si>
  <si>
    <t>33,992,500</t>
  </si>
  <si>
    <t>Jul 07, 2021</t>
  </si>
  <si>
    <t>18,340,400</t>
  </si>
  <si>
    <t>Jul 06, 2021</t>
  </si>
  <si>
    <t>23,719,900</t>
  </si>
  <si>
    <t>Jul 02, 2021</t>
  </si>
  <si>
    <t>12,989,200</t>
  </si>
  <si>
    <t>Jul 01, 2021</t>
  </si>
  <si>
    <t>13,316,400</t>
  </si>
  <si>
    <t>Jun 30, 2021</t>
  </si>
  <si>
    <t>9,348,600</t>
  </si>
  <si>
    <t>Jun 29, 2021</t>
  </si>
  <si>
    <t>10,273,800</t>
  </si>
  <si>
    <t>Jun 28, 2021</t>
  </si>
  <si>
    <t>13,564,900</t>
  </si>
  <si>
    <t>Jun 25, 2021</t>
  </si>
  <si>
    <t>27,383,900</t>
  </si>
  <si>
    <t>Jun 24, 2021</t>
  </si>
  <si>
    <t>13,488,200</t>
  </si>
  <si>
    <t>Jun 23, 2021</t>
  </si>
  <si>
    <t>13,785,800</t>
  </si>
  <si>
    <t>Jun 22, 2021</t>
  </si>
  <si>
    <t>11,092,100</t>
  </si>
  <si>
    <t>Jun 21, 2021</t>
  </si>
  <si>
    <t>9,273,800</t>
  </si>
  <si>
    <t>Jun 18, 2021</t>
  </si>
  <si>
    <t>13,724,600</t>
  </si>
  <si>
    <t>Jun 17, 2021</t>
  </si>
  <si>
    <t>11,233,700</t>
  </si>
  <si>
    <t>Jun 16, 2021</t>
  </si>
  <si>
    <t>10,917,800</t>
  </si>
  <si>
    <t>Jun 15, 2021</t>
  </si>
  <si>
    <t>12,167,000</t>
  </si>
  <si>
    <t>Jun 14, 2021</t>
  </si>
  <si>
    <t>10,773,100</t>
  </si>
  <si>
    <t>Jun 11, 2021</t>
  </si>
  <si>
    <t>12,276,600</t>
  </si>
  <si>
    <t>Jun 10, 2021</t>
  </si>
  <si>
    <t>10,735,900</t>
  </si>
  <si>
    <t>Jun 09, 2021</t>
  </si>
  <si>
    <t>10,233,600</t>
  </si>
  <si>
    <t>Jun 08, 2021</t>
  </si>
  <si>
    <t>9,443,000</t>
  </si>
  <si>
    <t>Jun 07, 2021</t>
  </si>
  <si>
    <t>9,928,600</t>
  </si>
  <si>
    <t>Jun 04, 2021</t>
  </si>
  <si>
    <t>8,999,100</t>
  </si>
  <si>
    <t>Jun 03, 2021</t>
  </si>
  <si>
    <t>12,448,100</t>
  </si>
  <si>
    <t>Jun 02, 2021</t>
  </si>
  <si>
    <t>13,126,400</t>
  </si>
  <si>
    <t>Jun 01, 2021</t>
  </si>
  <si>
    <t>23,052,800</t>
  </si>
  <si>
    <t>May 28, 2021</t>
  </si>
  <si>
    <t>10,401,500</t>
  </si>
  <si>
    <t>May 27, 2021</t>
  </si>
  <si>
    <t>18,680,200</t>
  </si>
  <si>
    <t>May 26, 2021</t>
  </si>
  <si>
    <t>9,405,800</t>
  </si>
  <si>
    <t>May 25, 2021</t>
  </si>
  <si>
    <t>14,116,100</t>
  </si>
  <si>
    <t>May 24, 2021</t>
  </si>
  <si>
    <t>15,884,200</t>
  </si>
  <si>
    <t>May 21, 2021</t>
  </si>
  <si>
    <t>22,825,500</t>
  </si>
  <si>
    <t>May 20, 2021</t>
  </si>
  <si>
    <t>19,123,400</t>
  </si>
  <si>
    <t>May 19, 2021</t>
  </si>
  <si>
    <t>17,030,400</t>
  </si>
  <si>
    <t>May 18, 2021</t>
  </si>
  <si>
    <t>19,519,400</t>
  </si>
  <si>
    <t>May 17, 2021</t>
  </si>
  <si>
    <t>20,529,800</t>
  </si>
  <si>
    <t>May 14, 2021</t>
  </si>
  <si>
    <t>31,626,800</t>
  </si>
  <si>
    <t>May 13, 2021</t>
  </si>
  <si>
    <t>51,693,900</t>
  </si>
  <si>
    <t>May 12, 2021</t>
  </si>
  <si>
    <t>20,366,900</t>
  </si>
  <si>
    <t>May 11, 2021</t>
  </si>
  <si>
    <t>13,887,700</t>
  </si>
  <si>
    <t>May 10, 2021</t>
  </si>
  <si>
    <t>17,266,700</t>
  </si>
  <si>
    <t>May 07, 2021</t>
  </si>
  <si>
    <t>10,550,000</t>
  </si>
  <si>
    <t>May 06, 2021</t>
  </si>
  <si>
    <t>12,247,700</t>
  </si>
  <si>
    <t>May 05, 2021</t>
  </si>
  <si>
    <t>10,013,800</t>
  </si>
  <si>
    <t>May 04, 2021</t>
  </si>
  <si>
    <t>13,260,500</t>
  </si>
  <si>
    <t>May 03, 2021</t>
  </si>
  <si>
    <t>13,620,900</t>
  </si>
  <si>
    <t>Apr 30, 2021</t>
  </si>
  <si>
    <t>9,326,400</t>
  </si>
  <si>
    <t>Apr 29, 2021</t>
  </si>
  <si>
    <t>9,552,800</t>
  </si>
  <si>
    <t>Apr 28, 2021</t>
  </si>
  <si>
    <t>9,187,700</t>
  </si>
  <si>
    <t>Apr 27, 2021</t>
  </si>
  <si>
    <t>11,646,300</t>
  </si>
  <si>
    <t>Apr 26, 2021</t>
  </si>
  <si>
    <t>7,792,900</t>
  </si>
  <si>
    <t>Apr 23, 2021</t>
  </si>
  <si>
    <t>8,967,000</t>
  </si>
  <si>
    <t>Apr 22, 2021</t>
  </si>
  <si>
    <t>11,986,200</t>
  </si>
  <si>
    <t>Apr 21, 2021</t>
  </si>
  <si>
    <t>14,315,900</t>
  </si>
  <si>
    <t>Apr 20, 2021</t>
  </si>
  <si>
    <t>12,093,900</t>
  </si>
  <si>
    <t>Apr 19, 2021</t>
  </si>
  <si>
    <t>11,216,000</t>
  </si>
  <si>
    <t>Apr 16, 2021</t>
  </si>
  <si>
    <t>14,418,800</t>
  </si>
  <si>
    <t>Apr 15, 2021</t>
  </si>
  <si>
    <t>11,288,900</t>
  </si>
  <si>
    <t>Apr 14, 2021</t>
  </si>
  <si>
    <t>12,405,200</t>
  </si>
  <si>
    <t>Apr 13, 2021</t>
  </si>
  <si>
    <t>20,793,000</t>
  </si>
  <si>
    <t>Apr 12, 2021</t>
  </si>
  <si>
    <t>57,500,300</t>
  </si>
  <si>
    <t>Apr 09, 2021</t>
  </si>
  <si>
    <t>19,763,000</t>
  </si>
  <si>
    <t>Apr 08, 2021</t>
  </si>
  <si>
    <t>12,211,300</t>
  </si>
  <si>
    <t>Apr 07, 2021</t>
  </si>
  <si>
    <t>18,034,900</t>
  </si>
  <si>
    <t>Apr 06, 2021</t>
  </si>
  <si>
    <t>18,100,400</t>
  </si>
  <si>
    <t>BABA230120C00020000</t>
  </si>
  <si>
    <t>2022-04-04 9:56AM EDT</t>
  </si>
  <si>
    <t>BABA230120C00025000</t>
  </si>
  <si>
    <t>2022-03-28 11:44AM EDT</t>
  </si>
  <si>
    <t>BABA230120C00030000</t>
  </si>
  <si>
    <t>2022-03-16 11:01AM EDT</t>
  </si>
  <si>
    <t>BABA230120C00035000</t>
  </si>
  <si>
    <t>2022-03-21 1:58PM EDT</t>
  </si>
  <si>
    <t>BABA230120C00040000</t>
  </si>
  <si>
    <t>2022-04-04 3:02PM EDT</t>
  </si>
  <si>
    <t>BABA230120C00045000</t>
  </si>
  <si>
    <t>2022-03-17 1:45PM EDT</t>
  </si>
  <si>
    <t>BABA230120C00050000</t>
  </si>
  <si>
    <t>BABA230120C00055000</t>
  </si>
  <si>
    <t>2022-03-25 12:13PM EDT</t>
  </si>
  <si>
    <t>BABA230120C00060000</t>
  </si>
  <si>
    <t>2022-04-05 3:07PM EDT</t>
  </si>
  <si>
    <t>BABA230120C00065000</t>
  </si>
  <si>
    <t>BABA230120C00070000</t>
  </si>
  <si>
    <t>BABA230120C00075000</t>
  </si>
  <si>
    <t>BABA230120C00080000</t>
  </si>
  <si>
    <t>2022-04-06 9:58AM EDT</t>
  </si>
  <si>
    <t>BABA230120C00085000</t>
  </si>
  <si>
    <t>2022-04-06 10:49AM EDT</t>
  </si>
  <si>
    <t>BABA230120C00090000</t>
  </si>
  <si>
    <t>2022-04-06 10:00AM EDT</t>
  </si>
  <si>
    <t>BABA230120C00095000</t>
  </si>
  <si>
    <t>2022-04-06 10:39AM EDT</t>
  </si>
  <si>
    <t>BABA230120C00100000</t>
  </si>
  <si>
    <t>2022-04-06 10:43AM EDT</t>
  </si>
  <si>
    <t>BABA230120C00105000</t>
  </si>
  <si>
    <t>2022-04-06 10:40AM EDT</t>
  </si>
  <si>
    <t>BABA230120C00110000</t>
  </si>
  <si>
    <t>2022-04-06 10:51AM EDT</t>
  </si>
  <si>
    <t>BABA230120C00115000</t>
  </si>
  <si>
    <t>2022-04-06 10:24AM EDT</t>
  </si>
  <si>
    <t>BABA230120C00120000</t>
  </si>
  <si>
    <t>2022-04-06 10:50AM EDT</t>
  </si>
  <si>
    <t>BABA230120C00125000</t>
  </si>
  <si>
    <t>BABA230120C00130000</t>
  </si>
  <si>
    <t>2022-04-06 10:04AM EDT</t>
  </si>
  <si>
    <t>BABA230120C00135000</t>
  </si>
  <si>
    <t>BABA230120C00140000</t>
  </si>
  <si>
    <t>2022-04-06 10:38AM EDT</t>
  </si>
  <si>
    <t>BABA230120C00145000</t>
  </si>
  <si>
    <t>2022-04-06 10:36AM EDT</t>
  </si>
  <si>
    <t>BABA230120C00150000</t>
  </si>
  <si>
    <t>BABA230120C00155000</t>
  </si>
  <si>
    <t>BABA230120C00160000</t>
  </si>
  <si>
    <t>2022-04-06 10:27AM EDT</t>
  </si>
  <si>
    <t>BABA230120C00165000</t>
  </si>
  <si>
    <t>2022-04-06 10:19AM EDT</t>
  </si>
  <si>
    <t>BABA230120C00170000</t>
  </si>
  <si>
    <t>2022-04-06 10:35AM EDT</t>
  </si>
  <si>
    <t>BABA230120C00175000</t>
  </si>
  <si>
    <t>2022-04-06 10:01AM EDT</t>
  </si>
  <si>
    <t>BABA230120C00180000</t>
  </si>
  <si>
    <t>2022-04-06 10:26AM EDT</t>
  </si>
  <si>
    <t>BABA230120C00185000</t>
  </si>
  <si>
    <t>2022-04-06 10:34AM EDT</t>
  </si>
  <si>
    <t>BABA230120C00190000</t>
  </si>
  <si>
    <t>2022-04-06 10:10AM EDT</t>
  </si>
  <si>
    <t>BABA230120C00195000</t>
  </si>
  <si>
    <t>2022-04-05 11:40AM EDT</t>
  </si>
  <si>
    <t>BABA230120C00200000</t>
  </si>
  <si>
    <t>BABA230120C00210000</t>
  </si>
  <si>
    <t>BABA230120C00220000</t>
  </si>
  <si>
    <t>2022-04-05 2:02PM EDT</t>
  </si>
  <si>
    <t>BABA230120C00230000</t>
  </si>
  <si>
    <t>2022-04-05 3:09PM EDT</t>
  </si>
  <si>
    <t>BABA230120C00235000</t>
  </si>
  <si>
    <t>BABA230120C00240000</t>
  </si>
  <si>
    <t>BABA230120C00245000</t>
  </si>
  <si>
    <t>2022-04-05 3:10PM EDT</t>
  </si>
  <si>
    <t>BABA230120C00250000</t>
  </si>
  <si>
    <t>2022-04-06 10:44AM EDT</t>
  </si>
  <si>
    <t>BABA230120C00255000</t>
  </si>
  <si>
    <t>BABA230120C00260000</t>
  </si>
  <si>
    <t>BABA230120C00265000</t>
  </si>
  <si>
    <t>2022-04-04 2:35PM EDT</t>
  </si>
  <si>
    <t>BABA230120C00270000</t>
  </si>
  <si>
    <t>2022-04-05 9:33AM EDT</t>
  </si>
  <si>
    <t>BABA230120C00275000</t>
  </si>
  <si>
    <t>BABA230120C00280000</t>
  </si>
  <si>
    <t>2022-04-05 2:38PM EDT</t>
  </si>
  <si>
    <t>BABA230120C00285000</t>
  </si>
  <si>
    <t>2022-03-30 3:56PM EDT</t>
  </si>
  <si>
    <t>BABA230120C00290000</t>
  </si>
  <si>
    <t>2022-04-05 12:30PM EDT</t>
  </si>
  <si>
    <t>BABA230120C00295000</t>
  </si>
  <si>
    <t>2022-04-05 3:40PM EDT</t>
  </si>
  <si>
    <t>BABA230120C00300000</t>
  </si>
  <si>
    <t>2022-04-06 10:45AM EDT</t>
  </si>
  <si>
    <t>BABA230120C00305000</t>
  </si>
  <si>
    <t>2022-04-04 3:40PM EDT</t>
  </si>
  <si>
    <t>BABA230120C00310000</t>
  </si>
  <si>
    <t>2022-04-06 10:07AM EDT</t>
  </si>
  <si>
    <t>BABA230120C00315000</t>
  </si>
  <si>
    <t>2022-04-04 3:47PM EDT</t>
  </si>
  <si>
    <t>BABA230120C00320000</t>
  </si>
  <si>
    <t>2022-03-24 1:04PM EDT</t>
  </si>
  <si>
    <t>BABA230120C00330000</t>
  </si>
  <si>
    <t>2022-04-05 12:53PM EDT</t>
  </si>
  <si>
    <t>BABA230120C00340000</t>
  </si>
  <si>
    <t>2022-04-05 2:15PM EDT</t>
  </si>
  <si>
    <t>BABA230120C00350000</t>
  </si>
  <si>
    <t>BABA230120C00360000</t>
  </si>
  <si>
    <t>BABA230120C00370000</t>
  </si>
  <si>
    <t>2022-03-25 12:01PM EDT</t>
  </si>
  <si>
    <t>BABA230120C00380000</t>
  </si>
  <si>
    <t>2022-04-04 11:04AM EDT</t>
  </si>
  <si>
    <t>BABA230120C00390000</t>
  </si>
  <si>
    <t>BABA230120C00400000</t>
  </si>
  <si>
    <t>2022-04-05 9:34AM EDT</t>
  </si>
  <si>
    <t>BABA230120C00410000</t>
  </si>
  <si>
    <t>BABA230120C00420000</t>
  </si>
  <si>
    <t>2022-04-04 11:57AM EDT</t>
  </si>
  <si>
    <t>BABA230120C00430000</t>
  </si>
  <si>
    <t>2022-03-24 10:09AM EDT</t>
  </si>
  <si>
    <t>BABA230120C00440000</t>
  </si>
  <si>
    <t>2022-04-04 10:02AM EDT</t>
  </si>
  <si>
    <t>BABA230120C00450000</t>
  </si>
  <si>
    <t>2022-04-01 2:39PM EDT</t>
  </si>
  <si>
    <t>BABA230120C00460000</t>
  </si>
  <si>
    <t>2022-04-06 10:25AM EDT</t>
  </si>
  <si>
    <t>T = 9m</t>
  </si>
  <si>
    <t>BABA240119C00040000</t>
  </si>
  <si>
    <t>BABA240119C00045000</t>
  </si>
  <si>
    <t>BABA240119C00050000</t>
  </si>
  <si>
    <t>2022-04-06 9:39AM EDT</t>
  </si>
  <si>
    <t>BABA240119C00055000</t>
  </si>
  <si>
    <t>2022-04-01 9:34AM EDT</t>
  </si>
  <si>
    <t>BABA240119C00060000</t>
  </si>
  <si>
    <t>2022-04-05 10:35AM EDT</t>
  </si>
  <si>
    <t>BABA240119C00065000</t>
  </si>
  <si>
    <t>2022-04-06 9:43AM EDT</t>
  </si>
  <si>
    <t>BABA240119C00070000</t>
  </si>
  <si>
    <t>BABA240119C00075000</t>
  </si>
  <si>
    <t>2022-04-06 10:22AM EDT</t>
  </si>
  <si>
    <t>BABA240119C00080000</t>
  </si>
  <si>
    <t>2022-04-06 10:30AM EDT</t>
  </si>
  <si>
    <t>BABA240119C00085000</t>
  </si>
  <si>
    <t>BABA240119C00090000</t>
  </si>
  <si>
    <t>2022-04-06 10:46AM EDT</t>
  </si>
  <si>
    <t>BABA240119C00095000</t>
  </si>
  <si>
    <t>2022-04-06 10:37AM EDT</t>
  </si>
  <si>
    <t>BABA240119C00100000</t>
  </si>
  <si>
    <t>2022-04-06 10:31AM EDT</t>
  </si>
  <si>
    <t>BABA240119C00105000</t>
  </si>
  <si>
    <t>2022-04-06 10:18AM EDT</t>
  </si>
  <si>
    <t>BABA240119C00110000</t>
  </si>
  <si>
    <t>2022-04-06 10:33AM EDT</t>
  </si>
  <si>
    <t>BABA240119C00115000</t>
  </si>
  <si>
    <t>2022-04-06 10:57AM EDT</t>
  </si>
  <si>
    <t>BABA240119C00120000</t>
  </si>
  <si>
    <t>BABA240119C00125000</t>
  </si>
  <si>
    <t>BABA240119C00130000</t>
  </si>
  <si>
    <t>BABA240119C00135000</t>
  </si>
  <si>
    <t>2022-04-06 10:42AM EDT</t>
  </si>
  <si>
    <t>BABA240119C00140000</t>
  </si>
  <si>
    <t>BABA240119C00145000</t>
  </si>
  <si>
    <t>BABA240119C00150000</t>
  </si>
  <si>
    <t>BABA240119C00155000</t>
  </si>
  <si>
    <t>2022-04-06 9:36AM EDT</t>
  </si>
  <si>
    <t>BABA240119C00160000</t>
  </si>
  <si>
    <t>2022-04-05 11:47AM EDT</t>
  </si>
  <si>
    <t>BABA240119C00165000</t>
  </si>
  <si>
    <t>BABA240119C00170000</t>
  </si>
  <si>
    <t>2022-04-06 10:08AM EDT</t>
  </si>
  <si>
    <t>BABA240119C00175000</t>
  </si>
  <si>
    <t>2022-04-05 3:34PM EDT</t>
  </si>
  <si>
    <t>BABA240119C00180000</t>
  </si>
  <si>
    <t>BABA240119C00185000</t>
  </si>
  <si>
    <t>2022-04-06 10:28AM EDT</t>
  </si>
  <si>
    <t>BABA240119C00190000</t>
  </si>
  <si>
    <t>2022-04-04 3:11PM EDT</t>
  </si>
  <si>
    <t>BABA240119C00195000</t>
  </si>
  <si>
    <t>BABA240119C00200000</t>
  </si>
  <si>
    <t>BABA240119C00210000</t>
  </si>
  <si>
    <t>2022-04-05 10:01AM EDT</t>
  </si>
  <si>
    <t>BABA240119C00220000</t>
  </si>
  <si>
    <t>2022-04-05 9:58AM EDT</t>
  </si>
  <si>
    <t>BABA240119C00230000</t>
  </si>
  <si>
    <t>BABA240119C00235000</t>
  </si>
  <si>
    <t>2022-03-31 10:00AM EDT</t>
  </si>
  <si>
    <t>BABA240119C00240000</t>
  </si>
  <si>
    <t>2022-04-05 2:17PM EDT</t>
  </si>
  <si>
    <t>BABA240119C00245000</t>
  </si>
  <si>
    <t>2022-04-01 3:08PM EDT</t>
  </si>
  <si>
    <t>BABA240119C00250000</t>
  </si>
  <si>
    <t>2022-04-06 10:59AM EDT</t>
  </si>
  <si>
    <t>BABA240119C00255000</t>
  </si>
  <si>
    <t>BABA240119C00260000</t>
  </si>
  <si>
    <t>2022-04-05 11:36AM EDT</t>
  </si>
  <si>
    <t>BABA240119C00265000</t>
  </si>
  <si>
    <t>2022-04-01 11:18AM EDT</t>
  </si>
  <si>
    <t>BABA240119C00270000</t>
  </si>
  <si>
    <t>2022-04-01 11:25AM EDT</t>
  </si>
  <si>
    <t>BABA240119C00275000</t>
  </si>
  <si>
    <t>2022-04-05 12:08PM EDT</t>
  </si>
  <si>
    <t>BABA240119C00280000</t>
  </si>
  <si>
    <t>2022-03-31 10:24AM EDT</t>
  </si>
  <si>
    <t>BABA240119C00285000</t>
  </si>
  <si>
    <t>2022-04-04 11:59AM EDT</t>
  </si>
  <si>
    <t>BABA240119C00290000</t>
  </si>
  <si>
    <t>2022-04-01 11:30AM EDT</t>
  </si>
  <si>
    <t>BABA240119C00295000</t>
  </si>
  <si>
    <t>2022-04-05 2:23PM EDT</t>
  </si>
  <si>
    <t>BABA240119C00300000</t>
  </si>
  <si>
    <t>BABA240119C00305000</t>
  </si>
  <si>
    <t>2022-04-05 9:35AM EDT</t>
  </si>
  <si>
    <t>BABA240119C00310000</t>
  </si>
  <si>
    <t>T = 2y</t>
  </si>
  <si>
    <t>Apr 05, 2021</t>
  </si>
  <si>
    <t>14,962,100</t>
  </si>
  <si>
    <t>Apr 01, 2021</t>
  </si>
  <si>
    <t>23,497,500</t>
  </si>
  <si>
    <t>Mar 31, 2021</t>
  </si>
  <si>
    <t>16,825,400</t>
  </si>
  <si>
    <t>Mar 30, 2021</t>
  </si>
  <si>
    <t>14,828,700</t>
  </si>
  <si>
    <t>Mar 29, 2021</t>
  </si>
  <si>
    <t>18,029,100</t>
  </si>
  <si>
    <t>Mar 26, 2021</t>
  </si>
  <si>
    <t>22,030,800</t>
  </si>
  <si>
    <t>Mar 25, 2021</t>
  </si>
  <si>
    <t>24,819,800</t>
  </si>
  <si>
    <t>Mar 24, 2021</t>
  </si>
  <si>
    <t>15,949,900</t>
  </si>
  <si>
    <t>Mar 23, 2021</t>
  </si>
  <si>
    <t>12,295,600</t>
  </si>
  <si>
    <t>Mar 22, 2021</t>
  </si>
  <si>
    <t>12,063,200</t>
  </si>
  <si>
    <t>Mar 19, 2021</t>
  </si>
  <si>
    <t>15,959,700</t>
  </si>
  <si>
    <t>Mar 18, 2021</t>
  </si>
  <si>
    <t>14,822,300</t>
  </si>
  <si>
    <t>Mar 17, 2021</t>
  </si>
  <si>
    <t>16,949,500</t>
  </si>
  <si>
    <t>Mar 16, 2021</t>
  </si>
  <si>
    <t>19,336,600</t>
  </si>
  <si>
    <t>Mar 15, 2021</t>
  </si>
  <si>
    <t>14,499,700</t>
  </si>
  <si>
    <t>Mar 12, 2021</t>
  </si>
  <si>
    <t>17,778,400</t>
  </si>
  <si>
    <t>Mar 11, 2021</t>
  </si>
  <si>
    <t>15,162,500</t>
  </si>
  <si>
    <t>Mar 10, 2021</t>
  </si>
  <si>
    <t>10,491,200</t>
  </si>
  <si>
    <t>Mar 09, 2021</t>
  </si>
  <si>
    <t>15,291,300</t>
  </si>
  <si>
    <t>Mar 08, 2021</t>
  </si>
  <si>
    <t>17,138,400</t>
  </si>
  <si>
    <t>Mar 05, 2021</t>
  </si>
  <si>
    <t>15,988,400</t>
  </si>
  <si>
    <t>Mar 04, 2021</t>
  </si>
  <si>
    <t>22,964,800</t>
  </si>
  <si>
    <t>Mar 03, 2021</t>
  </si>
  <si>
    <t>13,571,700</t>
  </si>
  <si>
    <t>Mar 02, 2021</t>
  </si>
  <si>
    <t>14,644,200</t>
  </si>
  <si>
    <t>Mar 01, 2021</t>
  </si>
  <si>
    <t>14,043,300</t>
  </si>
  <si>
    <t>Feb 26, 2021</t>
  </si>
  <si>
    <t>17,470,700</t>
  </si>
  <si>
    <t>Feb 25, 2021</t>
  </si>
  <si>
    <t>17,967,300</t>
  </si>
  <si>
    <t>Feb 24, 2021</t>
  </si>
  <si>
    <t>12,831,700</t>
  </si>
  <si>
    <t>Feb 23, 2021</t>
  </si>
  <si>
    <t>15,980,300</t>
  </si>
  <si>
    <t>Feb 22, 2021</t>
  </si>
  <si>
    <t>14,403,500</t>
  </si>
  <si>
    <t>Feb 19, 2021</t>
  </si>
  <si>
    <t>14,718,400</t>
  </si>
  <si>
    <t>Feb 18, 2021</t>
  </si>
  <si>
    <t>15,382,300</t>
  </si>
  <si>
    <t>Feb 17, 2021</t>
  </si>
  <si>
    <t>13,262,400</t>
  </si>
  <si>
    <t>Feb 16, 2021</t>
  </si>
  <si>
    <t>16,708,700</t>
  </si>
  <si>
    <t>Feb 12, 2021</t>
  </si>
  <si>
    <t>9,355,100</t>
  </si>
  <si>
    <t>Feb 11, 2021</t>
  </si>
  <si>
    <t>15,295,800</t>
  </si>
  <si>
    <t>Feb 10, 2021</t>
  </si>
  <si>
    <t>13,090,800</t>
  </si>
  <si>
    <t>Feb 09, 2021</t>
  </si>
  <si>
    <t>12,432,800</t>
  </si>
  <si>
    <t>Feb 08, 2021</t>
  </si>
  <si>
    <t>10,721,100</t>
  </si>
  <si>
    <t>Feb 05, 2021</t>
  </si>
  <si>
    <t>11,018,700</t>
  </si>
  <si>
    <t>Feb 04, 2021</t>
  </si>
  <si>
    <t>16,763,000</t>
  </si>
  <si>
    <t>Feb 03, 2021</t>
  </si>
  <si>
    <t>29,179,700</t>
  </si>
  <si>
    <t>Feb 02, 2021</t>
  </si>
  <si>
    <t>30,534,300</t>
  </si>
  <si>
    <t>Feb 01, 2021</t>
  </si>
  <si>
    <t>15,289,300</t>
  </si>
  <si>
    <t>Jan 29, 2021</t>
  </si>
  <si>
    <t>14,693,000</t>
  </si>
  <si>
    <t>Jan 28, 2021</t>
  </si>
  <si>
    <t>10,244,900</t>
  </si>
  <si>
    <t>Jan 27, 2021</t>
  </si>
  <si>
    <t>16,050,400</t>
  </si>
  <si>
    <t>Jan 26, 2021</t>
  </si>
  <si>
    <t>14,681,200</t>
  </si>
  <si>
    <t>Jan 25, 2021</t>
  </si>
  <si>
    <t>19,478,600</t>
  </si>
  <si>
    <t>Jan 22, 2021</t>
  </si>
  <si>
    <t>13,518,200</t>
  </si>
  <si>
    <t>Jan 21, 2021</t>
  </si>
  <si>
    <t>20,709,900</t>
  </si>
  <si>
    <t>Jan 20, 2021</t>
  </si>
  <si>
    <t>44,640,800</t>
  </si>
  <si>
    <t>Jan 19, 2021</t>
  </si>
  <si>
    <t>23,681,900</t>
  </si>
  <si>
    <t>Jan 15, 2021</t>
  </si>
  <si>
    <t>21,561,600</t>
  </si>
  <si>
    <t>Jan 14, 2021</t>
  </si>
  <si>
    <t>31,381,600</t>
  </si>
  <si>
    <t>Jan 13, 2021</t>
  </si>
  <si>
    <t>38,805,100</t>
  </si>
  <si>
    <t>Jan 12, 2021</t>
  </si>
  <si>
    <t>18,969,900</t>
  </si>
  <si>
    <t>Jan 11, 2021</t>
  </si>
  <si>
    <t>23,036,900</t>
  </si>
  <si>
    <t>Jan 08, 2021</t>
  </si>
  <si>
    <t>34,884,900</t>
  </si>
  <si>
    <t>Jan 07, 2021</t>
  </si>
  <si>
    <t>49,361,800</t>
  </si>
  <si>
    <t>Jan 06, 2021</t>
  </si>
  <si>
    <t>37,146,100</t>
  </si>
  <si>
    <t>Jan 05, 2021</t>
  </si>
  <si>
    <t>35,823,800</t>
  </si>
  <si>
    <t>Jan 04, 2021</t>
  </si>
  <si>
    <t>24,897,900</t>
  </si>
  <si>
    <t>Dec 31, 2020</t>
  </si>
  <si>
    <t>23,451,800</t>
  </si>
  <si>
    <t>Dec 30, 2020</t>
  </si>
  <si>
    <t>44,812,300</t>
  </si>
  <si>
    <t>Dec 29, 2020</t>
  </si>
  <si>
    <t>69,715,900</t>
  </si>
  <si>
    <t>Dec 28, 2020</t>
  </si>
  <si>
    <t>73,512,100</t>
  </si>
  <si>
    <t>Dec 24, 2020</t>
  </si>
  <si>
    <t>141,830,000</t>
  </si>
  <si>
    <t>Dec 23, 2020</t>
  </si>
  <si>
    <t>10,729,200</t>
  </si>
  <si>
    <t>Dec 22, 2020</t>
  </si>
  <si>
    <t>11,468,400</t>
  </si>
  <si>
    <t>Dec 21, 2020</t>
  </si>
  <si>
    <t>10,901,800</t>
  </si>
  <si>
    <t>Dec 18, 2020</t>
  </si>
  <si>
    <t>15,981,800</t>
  </si>
  <si>
    <t>Dec 17, 2020</t>
  </si>
  <si>
    <t>14,306,600</t>
  </si>
  <si>
    <t>Dec 16, 2020</t>
  </si>
  <si>
    <t>15,804,800</t>
  </si>
  <si>
    <t>Dec 15, 2020</t>
  </si>
  <si>
    <t>16,595,600</t>
  </si>
  <si>
    <t>Dec 14, 2020</t>
  </si>
  <si>
    <t>18,369,900</t>
  </si>
  <si>
    <t>Dec 11, 2020</t>
  </si>
  <si>
    <t>7,771,300</t>
  </si>
  <si>
    <t>Dec 10, 2020</t>
  </si>
  <si>
    <t>10,290,300</t>
  </si>
  <si>
    <t>Dec 09, 2020</t>
  </si>
  <si>
    <t>9,060,700</t>
  </si>
  <si>
    <t>Dec 08, 2020</t>
  </si>
  <si>
    <t>9,447,700</t>
  </si>
  <si>
    <t>Dec 07, 2020</t>
  </si>
  <si>
    <t>11,388,700</t>
  </si>
  <si>
    <t>Dec 04, 2020</t>
  </si>
  <si>
    <t>15,527,600</t>
  </si>
  <si>
    <t>Dec 03, 2020</t>
  </si>
  <si>
    <t>15,520,500</t>
  </si>
  <si>
    <t>Dec 02, 2020</t>
  </si>
  <si>
    <t>13,919,700</t>
  </si>
  <si>
    <t>Dec 01, 2020</t>
  </si>
  <si>
    <t>14,573,100</t>
  </si>
  <si>
    <t>Nov 30, 2020</t>
  </si>
  <si>
    <t>30,476,100</t>
  </si>
  <si>
    <t>Nov 27, 2020</t>
  </si>
  <si>
    <t>9,583,200</t>
  </si>
  <si>
    <t>Nov 25, 2020</t>
  </si>
  <si>
    <t>15,229,300</t>
  </si>
  <si>
    <t>Nov 24, 2020</t>
  </si>
  <si>
    <t>20,660,500</t>
  </si>
  <si>
    <t>Nov 23, 2020</t>
  </si>
  <si>
    <t>25,317,100</t>
  </si>
  <si>
    <t>Nov 20, 2020</t>
  </si>
  <si>
    <t>34,178,400</t>
  </si>
  <si>
    <t>Nov 19, 2020</t>
  </si>
  <si>
    <t>20,752,800</t>
  </si>
  <si>
    <t>Nov 18, 2020</t>
  </si>
  <si>
    <t>28,307,100</t>
  </si>
  <si>
    <t>Nov 17, 2020</t>
  </si>
  <si>
    <t>19,739,500</t>
  </si>
  <si>
    <t>Nov 16, 2020</t>
  </si>
  <si>
    <t>20,864,200</t>
  </si>
  <si>
    <t>Nov 13, 2020</t>
  </si>
  <si>
    <t>33,942,800</t>
  </si>
  <si>
    <t>Nov 12, 2020</t>
  </si>
  <si>
    <t>27,119,100</t>
  </si>
  <si>
    <t>Nov 11, 2020</t>
  </si>
  <si>
    <t>41,699,000</t>
  </si>
  <si>
    <t>Nov 10, 2020</t>
  </si>
  <si>
    <t>61,064,000</t>
  </si>
  <si>
    <t>Nov 09, 2020</t>
  </si>
  <si>
    <t>22,559,900</t>
  </si>
  <si>
    <t>Nov 06, 2020</t>
  </si>
  <si>
    <t>25,259,600</t>
  </si>
  <si>
    <t>Nov 05, 2020</t>
  </si>
  <si>
    <t>50,065,200</t>
  </si>
  <si>
    <t>Nov 04, 2020</t>
  </si>
  <si>
    <t>28,791,200</t>
  </si>
  <si>
    <t>Nov 03, 2020</t>
  </si>
  <si>
    <t>58,132,500</t>
  </si>
  <si>
    <t>Nov 02, 2020</t>
  </si>
  <si>
    <t>11,857,600</t>
  </si>
  <si>
    <t>Oct 30, 2020</t>
  </si>
  <si>
    <t>14,918,500</t>
  </si>
  <si>
    <t>Oct 29, 2020</t>
  </si>
  <si>
    <t>11,174,500</t>
  </si>
  <si>
    <t>Oct 28, 2020</t>
  </si>
  <si>
    <t>13,644,500</t>
  </si>
  <si>
    <t>Oct 27, 2020</t>
  </si>
  <si>
    <t>13,175,900</t>
  </si>
  <si>
    <t>Oct 26, 2020</t>
  </si>
  <si>
    <t>9,350,100</t>
  </si>
  <si>
    <t>Oct 23, 2020</t>
  </si>
  <si>
    <t>6,231,400</t>
  </si>
  <si>
    <t>Oct 22, 2020</t>
  </si>
  <si>
    <t>8,008,400</t>
  </si>
  <si>
    <t>Oct 21, 2020</t>
  </si>
  <si>
    <t>11,139,700</t>
  </si>
  <si>
    <t>Oct 20, 2020</t>
  </si>
  <si>
    <t>8,806,100</t>
  </si>
  <si>
    <t>Oct 19, 2020</t>
  </si>
  <si>
    <t>14,107,300</t>
  </si>
  <si>
    <t>Oct 16, 2020</t>
  </si>
  <si>
    <t>12,338,000</t>
  </si>
  <si>
    <t>Oct 15, 2020</t>
  </si>
  <si>
    <t>9,709,900</t>
  </si>
  <si>
    <t>Oct 14, 2020</t>
  </si>
  <si>
    <t>15,157,800</t>
  </si>
  <si>
    <t>Oct 13, 2020</t>
  </si>
  <si>
    <t>10,898,500</t>
  </si>
  <si>
    <t>Oct 12, 2020</t>
  </si>
  <si>
    <t>14,780,100</t>
  </si>
  <si>
    <t>Oct 09, 2020</t>
  </si>
  <si>
    <t>11,442,200</t>
  </si>
  <si>
    <t>Oct 08, 2020</t>
  </si>
  <si>
    <t>15,105,800</t>
  </si>
  <si>
    <t>Oct 07, 2020</t>
  </si>
  <si>
    <t>16,669,300</t>
  </si>
  <si>
    <t>Oct 06, 2020</t>
  </si>
  <si>
    <t>15,860,400</t>
  </si>
  <si>
    <t>Oct 05, 2020</t>
  </si>
  <si>
    <t>17,876,400</t>
  </si>
  <si>
    <t>Oct 02, 2020</t>
  </si>
  <si>
    <t>11,482,800</t>
  </si>
  <si>
    <t>Oct 01, 2020</t>
  </si>
  <si>
    <t>16,304,000</t>
  </si>
  <si>
    <t>Sep 30, 2020</t>
  </si>
  <si>
    <t>24,777,700</t>
  </si>
  <si>
    <t>Sep 29, 2020</t>
  </si>
  <si>
    <t>7,673,300</t>
  </si>
  <si>
    <t>Sep 28, 2020</t>
  </si>
  <si>
    <t>8,761,700</t>
  </si>
  <si>
    <t>Sep 25, 2020</t>
  </si>
  <si>
    <t>11,466,600</t>
  </si>
  <si>
    <t>Sep 24, 2020</t>
  </si>
  <si>
    <t>9,562,100</t>
  </si>
  <si>
    <t>Sep 23, 2020</t>
  </si>
  <si>
    <t>7,353,200</t>
  </si>
  <si>
    <t>Sep 22, 2020</t>
  </si>
  <si>
    <t>9,673,300</t>
  </si>
  <si>
    <t>Sep 21, 2020</t>
  </si>
  <si>
    <t>9,076,400</t>
  </si>
  <si>
    <t>Sep 18, 2020</t>
  </si>
  <si>
    <t>11,753,500</t>
  </si>
  <si>
    <t>Sep 17, 2020</t>
  </si>
  <si>
    <t>8,016,900</t>
  </si>
  <si>
    <t>Sep 16, 2020</t>
  </si>
  <si>
    <t>9,583,500</t>
  </si>
  <si>
    <t>Sep 15, 2020</t>
  </si>
  <si>
    <t>8,291,400</t>
  </si>
  <si>
    <t>Sep 14, 2020</t>
  </si>
  <si>
    <t>7,883,300</t>
  </si>
  <si>
    <t>Sep 11, 2020</t>
  </si>
  <si>
    <t>9,412,800</t>
  </si>
  <si>
    <t>Sep 10, 2020</t>
  </si>
  <si>
    <t>10,676,800</t>
  </si>
  <si>
    <t>Sep 09, 2020</t>
  </si>
  <si>
    <t>9,465,700</t>
  </si>
  <si>
    <t>Sep 08, 2020</t>
  </si>
  <si>
    <t>12,734,000</t>
  </si>
  <si>
    <t>Sep 04, 2020</t>
  </si>
  <si>
    <t>15,885,800</t>
  </si>
  <si>
    <t>Sep 03, 2020</t>
  </si>
  <si>
    <t>16,766,200</t>
  </si>
  <si>
    <t>Sep 02, 2020</t>
  </si>
  <si>
    <t>12,638,600</t>
  </si>
  <si>
    <t>Sep 01, 2020</t>
  </si>
  <si>
    <t>13,797,100</t>
  </si>
  <si>
    <t>Aug 31, 2020</t>
  </si>
  <si>
    <t>13,253,800</t>
  </si>
  <si>
    <t>Aug 28, 2020</t>
  </si>
  <si>
    <t>9,681,500</t>
  </si>
  <si>
    <t>Aug 27, 2020</t>
  </si>
  <si>
    <t>14,805,800</t>
  </si>
  <si>
    <t>Aug 26, 2020</t>
  </si>
  <si>
    <t>19,530,300</t>
  </si>
  <si>
    <t>Aug 25, 2020</t>
  </si>
  <si>
    <t>27,535,500</t>
  </si>
  <si>
    <t>Aug 24, 2020</t>
  </si>
  <si>
    <t>22,475,800</t>
  </si>
  <si>
    <t>Aug 21, 2020</t>
  </si>
  <si>
    <t>25,648,200</t>
  </si>
  <si>
    <t>Aug 20, 2020</t>
  </si>
  <si>
    <t>21,460,800</t>
  </si>
  <si>
    <t>Aug 19, 2020</t>
  </si>
  <si>
    <t>14,096,500</t>
  </si>
  <si>
    <t>Aug 18, 2020</t>
  </si>
  <si>
    <t>13,267,800</t>
  </si>
  <si>
    <t>Aug 17, 2020</t>
  </si>
  <si>
    <t>9,760,000</t>
  </si>
  <si>
    <t>Aug 14, 2020</t>
  </si>
  <si>
    <t>7,876,400</t>
  </si>
  <si>
    <t>Aug 13, 2020</t>
  </si>
  <si>
    <t>8,794,500</t>
  </si>
  <si>
    <t>Aug 12, 2020</t>
  </si>
  <si>
    <t>11,112,300</t>
  </si>
  <si>
    <t>Aug 11, 2020</t>
  </si>
  <si>
    <t>10,681,800</t>
  </si>
  <si>
    <t>Aug 10, 2020</t>
  </si>
  <si>
    <t>13,621,700</t>
  </si>
  <si>
    <t>Aug 07, 2020</t>
  </si>
  <si>
    <t>22,529,600</t>
  </si>
  <si>
    <t>Aug 06, 2020</t>
  </si>
  <si>
    <t>10,359,500</t>
  </si>
  <si>
    <t>Aug 05, 2020</t>
  </si>
  <si>
    <t>10,673,800</t>
  </si>
  <si>
    <t>Aug 04, 2020</t>
  </si>
  <si>
    <t>10,994,500</t>
  </si>
  <si>
    <t>Aug 03, 2020</t>
  </si>
  <si>
    <t>11,530,300</t>
  </si>
  <si>
    <t>Jul 31, 2020</t>
  </si>
  <si>
    <t>12,304,100</t>
  </si>
  <si>
    <t>Jul 30, 2020</t>
  </si>
  <si>
    <t>7,032,900</t>
  </si>
  <si>
    <t>Jul 29, 2020</t>
  </si>
  <si>
    <t>11,493,600</t>
  </si>
  <si>
    <t>Jul 28, 2020</t>
  </si>
  <si>
    <t>9,878,700</t>
  </si>
  <si>
    <t>Jul 27, 2020</t>
  </si>
  <si>
    <t>18,966,900</t>
  </si>
  <si>
    <t>Jul 24, 2020</t>
  </si>
  <si>
    <t>17,221,500</t>
  </si>
  <si>
    <t>Jul 23, 2020</t>
  </si>
  <si>
    <t>25,712,000</t>
  </si>
  <si>
    <t>Jul 22, 2020</t>
  </si>
  <si>
    <t>19,682,200</t>
  </si>
  <si>
    <t>Jul 21, 2020</t>
  </si>
  <si>
    <t>17,120,700</t>
  </si>
  <si>
    <t>Jul 20, 2020</t>
  </si>
  <si>
    <t>19,015,000</t>
  </si>
  <si>
    <t>Jul 17, 2020</t>
  </si>
  <si>
    <t>18,742,400</t>
  </si>
  <si>
    <t>Jul 16, 2020</t>
  </si>
  <si>
    <t>18,032,100</t>
  </si>
  <si>
    <t>Jul 15, 2020</t>
  </si>
  <si>
    <t>12,614,700</t>
  </si>
  <si>
    <t>Jul 14, 2020</t>
  </si>
  <si>
    <t>19,782,600</t>
  </si>
  <si>
    <t>Jul 13, 2020</t>
  </si>
  <si>
    <t>21,568,700</t>
  </si>
  <si>
    <t>Jul 10, 2020</t>
  </si>
  <si>
    <t>20,335,000</t>
  </si>
  <si>
    <t>Jul 09, 2020</t>
  </si>
  <si>
    <t>36,803,900</t>
  </si>
  <si>
    <t>Jul 08, 2020</t>
  </si>
  <si>
    <t>39,922,700</t>
  </si>
  <si>
    <t>Jul 07, 2020</t>
  </si>
  <si>
    <t>16,491,600</t>
  </si>
  <si>
    <t>Jul 06, 2020</t>
  </si>
  <si>
    <t>33,702,900</t>
  </si>
  <si>
    <t>Jul 02, 2020</t>
  </si>
  <si>
    <t>18,128,700</t>
  </si>
  <si>
    <t>Jul 01, 2020</t>
  </si>
  <si>
    <t>11,788,100</t>
  </si>
  <si>
    <t>Jun 30, 2020</t>
  </si>
  <si>
    <t>12,933,800</t>
  </si>
  <si>
    <t>Jun 29, 2020</t>
  </si>
  <si>
    <t>12,333,000</t>
  </si>
  <si>
    <t>Jun 26, 2020</t>
  </si>
  <si>
    <t>19,340,600</t>
  </si>
  <si>
    <t>Jun 25, 2020</t>
  </si>
  <si>
    <t>14,953,100</t>
  </si>
  <si>
    <t>Jun 24, 2020</t>
  </si>
  <si>
    <t>12,159,500</t>
  </si>
  <si>
    <t>Jun 23, 2020</t>
  </si>
  <si>
    <t>18,263,400</t>
  </si>
  <si>
    <t>Jun 22, 2020</t>
  </si>
  <si>
    <t>13,303,600</t>
  </si>
  <si>
    <t>Jun 19, 2020</t>
  </si>
  <si>
    <t>19,545,200</t>
  </si>
  <si>
    <t>Jun 18, 2020</t>
  </si>
  <si>
    <t>10,358,800</t>
  </si>
  <si>
    <t>Jun 17, 2020</t>
  </si>
  <si>
    <t>12,486,700</t>
  </si>
  <si>
    <t>Jun 16, 2020</t>
  </si>
  <si>
    <t>17,212,400</t>
  </si>
  <si>
    <t>Jun 15, 2020</t>
  </si>
  <si>
    <t>17,419,900</t>
  </si>
  <si>
    <t>Jun 12, 2020</t>
  </si>
  <si>
    <t>12,716,500</t>
  </si>
  <si>
    <t>Jun 11, 2020</t>
  </si>
  <si>
    <t>15,560,300</t>
  </si>
  <si>
    <t>Jun 10, 2020</t>
  </si>
  <si>
    <t>13,372,400</t>
  </si>
  <si>
    <t>Jun 09, 2020</t>
  </si>
  <si>
    <t>14,140,100</t>
  </si>
  <si>
    <t>Jun 08, 2020</t>
  </si>
  <si>
    <t>12,731,200</t>
  </si>
  <si>
    <t>Jun 05, 2020</t>
  </si>
  <si>
    <t>11,983,200</t>
  </si>
  <si>
    <t>Jun 04, 2020</t>
  </si>
  <si>
    <t>14,962,400</t>
  </si>
  <si>
    <t>Jun 03, 2020</t>
  </si>
  <si>
    <t>19,999,500</t>
  </si>
  <si>
    <t>Jun 02, 2020</t>
  </si>
  <si>
    <t>22,485,800</t>
  </si>
  <si>
    <t>Jun 01, 2020</t>
  </si>
  <si>
    <t>16,169,700</t>
  </si>
  <si>
    <t>May 29, 2020</t>
  </si>
  <si>
    <t>43,179,500</t>
  </si>
  <si>
    <t>May 28, 2020</t>
  </si>
  <si>
    <t>18,763,200</t>
  </si>
  <si>
    <t>May 27, 2020</t>
  </si>
  <si>
    <t>23,605,400</t>
  </si>
  <si>
    <t>May 26, 2020</t>
  </si>
  <si>
    <t>28,683,200</t>
  </si>
  <si>
    <t>May 22, 2020</t>
  </si>
  <si>
    <t>51,979,300</t>
  </si>
  <si>
    <t>May 21, 2020</t>
  </si>
  <si>
    <t>29,850,700</t>
  </si>
  <si>
    <t>May 20, 2020</t>
  </si>
  <si>
    <t>38,324,100</t>
  </si>
  <si>
    <t>May 19, 2020</t>
  </si>
  <si>
    <t>21,438,100</t>
  </si>
  <si>
    <t>May 18, 2020</t>
  </si>
  <si>
    <t>23,556,600</t>
  </si>
  <si>
    <t>May 15, 2020</t>
  </si>
  <si>
    <t>17,209,500</t>
  </si>
  <si>
    <t>May 14, 2020</t>
  </si>
  <si>
    <t>20,025,900</t>
  </si>
  <si>
    <t>May 13, 2020</t>
  </si>
  <si>
    <t>22,429,700</t>
  </si>
  <si>
    <t>May 12, 2020</t>
  </si>
  <si>
    <t>17,826,800</t>
  </si>
  <si>
    <t>May 11, 2020</t>
  </si>
  <si>
    <t>17,920,700</t>
  </si>
  <si>
    <t>May 08, 2020</t>
  </si>
  <si>
    <t>23,819,700</t>
  </si>
  <si>
    <t>May 07, 2020</t>
  </si>
  <si>
    <t>16,164,600</t>
  </si>
  <si>
    <t>May 06, 2020</t>
  </si>
  <si>
    <t>18,598,900</t>
  </si>
  <si>
    <t>May 05, 2020</t>
  </si>
  <si>
    <t>22,957,200</t>
  </si>
  <si>
    <t>May 04, 2020</t>
  </si>
  <si>
    <t>25,709,400</t>
  </si>
  <si>
    <t>May 01, 2020</t>
  </si>
  <si>
    <t>22,276,200</t>
  </si>
  <si>
    <t>Apr 30, 2020</t>
  </si>
  <si>
    <t>20,107,400</t>
  </si>
  <si>
    <t>Apr 29, 2020</t>
  </si>
  <si>
    <t>19,117,800</t>
  </si>
  <si>
    <t>Apr 28, 2020</t>
  </si>
  <si>
    <t>17,203,800</t>
  </si>
  <si>
    <t>Apr 27, 2020</t>
  </si>
  <si>
    <t>17,286,800</t>
  </si>
  <si>
    <t>Apr 24, 2020</t>
  </si>
  <si>
    <t>14,673,900</t>
  </si>
  <si>
    <t>Apr 23, 2020</t>
  </si>
  <si>
    <t>20,424,000</t>
  </si>
  <si>
    <t>Apr 22, 2020</t>
  </si>
  <si>
    <t>13,471,100</t>
  </si>
  <si>
    <t>Apr 21, 2020</t>
  </si>
  <si>
    <t>14,107,600</t>
  </si>
  <si>
    <t>Apr 20, 2020</t>
  </si>
  <si>
    <t>19,295,400</t>
  </si>
  <si>
    <t>Apr 17, 2020</t>
  </si>
  <si>
    <t>13,558,500</t>
  </si>
  <si>
    <t>Apr 16, 2020</t>
  </si>
  <si>
    <t>16,353,800</t>
  </si>
  <si>
    <t>Apr 15, 2020</t>
  </si>
  <si>
    <t>10,768,100</t>
  </si>
  <si>
    <t>Apr 14, 2020</t>
  </si>
  <si>
    <t>16,757,100</t>
  </si>
  <si>
    <t>Apr 13, 2020</t>
  </si>
  <si>
    <t>16,117,900</t>
  </si>
  <si>
    <t>Apr 09, 2020</t>
  </si>
  <si>
    <t>17,821,300</t>
  </si>
  <si>
    <t>Apr 08, 2020</t>
  </si>
  <si>
    <t>13,608,000</t>
  </si>
  <si>
    <t>Apr 07, 2020</t>
  </si>
  <si>
    <t>14,934,500</t>
  </si>
  <si>
    <t>Apr 06, 2020</t>
  </si>
  <si>
    <t>13,248,700</t>
  </si>
  <si>
    <t>r EUR</t>
  </si>
  <si>
    <t>r US</t>
  </si>
  <si>
    <t>US</t>
  </si>
  <si>
    <t>EUR</t>
  </si>
  <si>
    <t>Historical</t>
  </si>
  <si>
    <t>Implied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</si>
</sst>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"/>
  </numFmts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232A31"/>
      <name val="Calibri"/>
      <family val="2"/>
      <scheme val="minor"/>
    </font>
    <font>
      <sz val="11"/>
      <color rgb="FF232A31"/>
      <name val="Calibri"/>
      <family val="2"/>
      <scheme val="minor"/>
    </font>
    <font>
      <sz val="11"/>
      <name val="Calibri"/>
      <family val="2"/>
      <scheme val="minor"/>
    </font>
    <font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7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0" fillId="0" borderId="0" xfId="0" applyBorder="1"/>
    <xf numFmtId="0" fontId="0" fillId="0" borderId="5" xfId="0" applyBorder="1"/>
    <xf numFmtId="0" fontId="2" fillId="0" borderId="6" xfId="0" applyFont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3" fillId="2" borderId="9" xfId="1" applyFont="1" applyFill="1" applyBorder="1" applyAlignment="1">
      <alignment horizontal="left" vertical="center" wrapText="1"/>
    </xf>
    <xf numFmtId="0" fontId="3" fillId="2" borderId="9" xfId="1" applyFont="1" applyFill="1" applyBorder="1" applyAlignment="1">
      <alignment horizontal="right" vertical="center" wrapText="1"/>
    </xf>
    <xf numFmtId="0" fontId="0" fillId="0" borderId="0" xfId="0" applyFont="1"/>
    <xf numFmtId="14" fontId="0" fillId="0" borderId="0" xfId="0" applyNumberFormat="1"/>
    <xf numFmtId="0" fontId="5" fillId="2" borderId="0" xfId="0" applyFont="1" applyFill="1" applyAlignment="1">
      <alignment horizontal="left" wrapText="1"/>
    </xf>
    <xf numFmtId="0" fontId="5" fillId="2" borderId="0" xfId="0" applyFont="1" applyFill="1" applyAlignment="1">
      <alignment horizontal="right" wrapText="1"/>
    </xf>
    <xf numFmtId="0" fontId="6" fillId="2" borderId="0" xfId="0" applyFont="1" applyFill="1" applyAlignment="1">
      <alignment horizontal="center" wrapText="1"/>
    </xf>
    <xf numFmtId="0" fontId="5" fillId="2" borderId="9" xfId="0" applyFont="1" applyFill="1" applyBorder="1" applyAlignment="1">
      <alignment horizontal="right" vertical="center" wrapText="1"/>
    </xf>
    <xf numFmtId="10" fontId="5" fillId="2" borderId="9" xfId="0" applyNumberFormat="1" applyFont="1" applyFill="1" applyBorder="1" applyAlignment="1">
      <alignment horizontal="right" vertical="center" wrapText="1"/>
    </xf>
    <xf numFmtId="165" fontId="5" fillId="2" borderId="9" xfId="0" applyNumberFormat="1" applyFont="1" applyFill="1" applyBorder="1" applyAlignment="1">
      <alignment horizontal="right" vertical="center" wrapText="1"/>
    </xf>
    <xf numFmtId="0" fontId="5" fillId="2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5" fillId="2" borderId="9" xfId="0" applyFont="1" applyFill="1" applyBorder="1" applyAlignment="1">
      <alignment horizontal="left" vertical="center"/>
    </xf>
    <xf numFmtId="0" fontId="5" fillId="2" borderId="9" xfId="0" applyFont="1" applyFill="1" applyBorder="1" applyAlignment="1">
      <alignment horizontal="right" vertical="center"/>
    </xf>
    <xf numFmtId="0" fontId="5" fillId="2" borderId="0" xfId="0" applyFont="1" applyFill="1" applyAlignment="1">
      <alignment horizontal="center" wrapText="1"/>
    </xf>
    <xf numFmtId="164" fontId="5" fillId="2" borderId="9" xfId="0" applyNumberFormat="1" applyFont="1" applyFill="1" applyBorder="1" applyAlignment="1">
      <alignment horizontal="right" vertical="center" wrapText="1"/>
    </xf>
    <xf numFmtId="0" fontId="7" fillId="0" borderId="0" xfId="0" applyFont="1" applyAlignment="1">
      <alignment wrapText="1"/>
    </xf>
    <xf numFmtId="0" fontId="3" fillId="2" borderId="0" xfId="1" applyFont="1" applyFill="1" applyBorder="1" applyAlignment="1">
      <alignment horizontal="right" vertical="center" wrapText="1"/>
    </xf>
    <xf numFmtId="0" fontId="8" fillId="2" borderId="0" xfId="1" applyFont="1" applyFill="1" applyBorder="1" applyAlignment="1">
      <alignment horizontal="right" vertical="center" wrapText="1"/>
    </xf>
    <xf numFmtId="0" fontId="4" fillId="0" borderId="0" xfId="0" applyFont="1"/>
    <xf numFmtId="165" fontId="5" fillId="2" borderId="0" xfId="0" applyNumberFormat="1" applyFont="1" applyFill="1" applyBorder="1" applyAlignment="1">
      <alignment horizontal="right" vertical="center" wrapText="1"/>
    </xf>
    <xf numFmtId="0" fontId="0" fillId="0" borderId="0" xfId="0" applyFill="1"/>
    <xf numFmtId="0" fontId="3" fillId="3" borderId="9" xfId="1" applyFont="1" applyFill="1" applyBorder="1" applyAlignment="1">
      <alignment horizontal="left" vertical="center" wrapText="1"/>
    </xf>
    <xf numFmtId="0" fontId="5" fillId="3" borderId="9" xfId="0" applyFont="1" applyFill="1" applyBorder="1" applyAlignment="1">
      <alignment horizontal="right" vertical="center" wrapText="1"/>
    </xf>
    <xf numFmtId="0" fontId="3" fillId="3" borderId="9" xfId="1" applyFont="1" applyFill="1" applyBorder="1" applyAlignment="1">
      <alignment horizontal="right" vertical="center" wrapText="1"/>
    </xf>
    <xf numFmtId="10" fontId="5" fillId="3" borderId="9" xfId="0" applyNumberFormat="1" applyFont="1" applyFill="1" applyBorder="1" applyAlignment="1">
      <alignment horizontal="right" vertical="center" wrapText="1"/>
    </xf>
    <xf numFmtId="164" fontId="5" fillId="3" borderId="9" xfId="0" applyNumberFormat="1" applyFont="1" applyFill="1" applyBorder="1" applyAlignment="1">
      <alignment horizontal="right" vertical="center" wrapText="1"/>
    </xf>
    <xf numFmtId="0" fontId="0" fillId="3" borderId="0" xfId="0" applyFont="1" applyFill="1"/>
    <xf numFmtId="0" fontId="0" fillId="0" borderId="10" xfId="0" applyBorder="1" applyAlignment="1">
      <alignment horizontal="center" vertical="center"/>
    </xf>
    <xf numFmtId="165" fontId="5" fillId="3" borderId="9" xfId="0" applyNumberFormat="1" applyFont="1" applyFill="1" applyBorder="1" applyAlignment="1">
      <alignment horizontal="right" vertical="center" wrapText="1"/>
    </xf>
    <xf numFmtId="0" fontId="0" fillId="3" borderId="0" xfId="0" applyFill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0" fillId="0" borderId="10" xfId="0" applyBorder="1" applyAlignment="1">
      <alignment horizontal="center" vertical="center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l-GR" sz="180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Γ</a:t>
            </a:r>
            <a:r>
              <a:rPr lang="it-IT" sz="180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plot for </a:t>
            </a:r>
            <a:r>
              <a:rPr lang="el-GR" sz="180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σ</a:t>
            </a:r>
            <a:r>
              <a:rPr lang="it-IT" sz="180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=0,2</a:t>
            </a:r>
          </a:p>
        </c:rich>
      </c:tx>
      <c:layout>
        <c:manualLayout>
          <c:xMode val="edge"/>
          <c:yMode val="edge"/>
          <c:x val="0.38812814814814817"/>
          <c:y val="3.8484848484848483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15"/>
      <c:rotY val="180"/>
      <c:rAngAx val="0"/>
    </c:view3D>
    <c:floor>
      <c:thickness val="0"/>
      <c:spPr>
        <a:noFill/>
        <a:ln w="635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6423220973782769E-2"/>
          <c:y val="0.12905358385525401"/>
          <c:w val="0.8684045902267834"/>
          <c:h val="0.7651589871725325"/>
        </c:manualLayout>
      </c:layout>
      <c:surface3DChart>
        <c:wireframe val="0"/>
        <c:ser>
          <c:idx val="0"/>
          <c:order val="0"/>
          <c:tx>
            <c:strRef>
              <c:f>Greeks!$B$47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3">
                <a:shade val="39000"/>
              </a:schemeClr>
            </a:solidFill>
            <a:ln/>
            <a:effectLst/>
            <a:sp3d/>
          </c:spPr>
          <c:cat>
            <c:numRef>
              <c:f>Greeks!$A$48:$A$64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Greeks!$B$48:$B$64</c:f>
              <c:numCache>
                <c:formatCode>General</c:formatCode>
                <c:ptCount val="17"/>
                <c:pt idx="0">
                  <c:v>1.0516556577990333E-15</c:v>
                </c:pt>
                <c:pt idx="1">
                  <c:v>1.1286957540817281E-11</c:v>
                </c:pt>
                <c:pt idx="2">
                  <c:v>1.4597010892531749E-8</c:v>
                </c:pt>
                <c:pt idx="3">
                  <c:v>3.3512354645083046E-6</c:v>
                </c:pt>
                <c:pt idx="4">
                  <c:v>1.8444991272199748E-4</c:v>
                </c:pt>
                <c:pt idx="5">
                  <c:v>3.0836372935947147E-3</c:v>
                </c:pt>
                <c:pt idx="6">
                  <c:v>1.8916378586336532E-2</c:v>
                </c:pt>
                <c:pt idx="7">
                  <c:v>4.9607400575778234E-2</c:v>
                </c:pt>
                <c:pt idx="8">
                  <c:v>6.3007389850102596E-2</c:v>
                </c:pt>
                <c:pt idx="9">
                  <c:v>4.2961708392642114E-2</c:v>
                </c:pt>
                <c:pt idx="10">
                  <c:v>1.7132125878144413E-2</c:v>
                </c:pt>
                <c:pt idx="11">
                  <c:v>4.293033327812704E-3</c:v>
                </c:pt>
                <c:pt idx="12">
                  <c:v>7.1823787351586266E-4</c:v>
                </c:pt>
                <c:pt idx="13">
                  <c:v>8.4468232865850983E-5</c:v>
                </c:pt>
                <c:pt idx="14">
                  <c:v>7.2972234478141031E-6</c:v>
                </c:pt>
                <c:pt idx="15">
                  <c:v>4.8093577566927407E-7</c:v>
                </c:pt>
                <c:pt idx="16">
                  <c:v>2.4984119686305787E-8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8C-4A9B-9295-C8ABB2BD5A05}"/>
            </c:ext>
          </c:extLst>
        </c:ser>
        <c:ser>
          <c:idx val="1"/>
          <c:order val="1"/>
          <c:tx>
            <c:strRef>
              <c:f>Greeks!$C$47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3">
                <a:shade val="48000"/>
              </a:schemeClr>
            </a:solidFill>
            <a:ln/>
            <a:effectLst/>
            <a:sp3d/>
          </c:spPr>
          <c:cat>
            <c:numRef>
              <c:f>Greeks!$A$48:$A$64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Greeks!$C$48:$C$64</c:f>
              <c:numCache>
                <c:formatCode>General</c:formatCode>
                <c:ptCount val="17"/>
                <c:pt idx="0">
                  <c:v>8.9897290546272933E-9</c:v>
                </c:pt>
                <c:pt idx="1">
                  <c:v>8.6832323834608043E-7</c:v>
                </c:pt>
                <c:pt idx="2">
                  <c:v>2.9265998523210969E-5</c:v>
                </c:pt>
                <c:pt idx="3">
                  <c:v>4.1746111765088794E-4</c:v>
                </c:pt>
                <c:pt idx="4">
                  <c:v>2.9270332354272271E-3</c:v>
                </c:pt>
                <c:pt idx="5">
                  <c:v>1.134964427745312E-2</c:v>
                </c:pt>
                <c:pt idx="6">
                  <c:v>2.6739234389615497E-2</c:v>
                </c:pt>
                <c:pt idx="7">
                  <c:v>4.1300684164172589E-2</c:v>
                </c:pt>
                <c:pt idx="8">
                  <c:v>4.4502858739261325E-2</c:v>
                </c:pt>
                <c:pt idx="9">
                  <c:v>3.5212130286942131E-2</c:v>
                </c:pt>
                <c:pt idx="10">
                  <c:v>2.1349081451222499E-2</c:v>
                </c:pt>
                <c:pt idx="11">
                  <c:v>1.0279303406877476E-2</c:v>
                </c:pt>
                <c:pt idx="12">
                  <c:v>4.0508179535475647E-3</c:v>
                </c:pt>
                <c:pt idx="13">
                  <c:v>1.3404252747399995E-3</c:v>
                </c:pt>
                <c:pt idx="14">
                  <c:v>3.806891985019321E-4</c:v>
                </c:pt>
                <c:pt idx="15">
                  <c:v>9.4556994587265133E-5</c:v>
                </c:pt>
                <c:pt idx="16">
                  <c:v>2.0876714879530848E-5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8C-4A9B-9295-C8ABB2BD5A05}"/>
            </c:ext>
          </c:extLst>
        </c:ser>
        <c:ser>
          <c:idx val="2"/>
          <c:order val="2"/>
          <c:tx>
            <c:strRef>
              <c:f>Greeks!$D$47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/>
            <a:effectLst/>
            <a:sp3d/>
          </c:spPr>
          <c:cat>
            <c:numRef>
              <c:f>Greeks!$A$48:$A$64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Greeks!$D$48:$D$64</c:f>
              <c:numCache>
                <c:formatCode>General</c:formatCode>
                <c:ptCount val="17"/>
                <c:pt idx="0">
                  <c:v>1.683337757156276E-6</c:v>
                </c:pt>
                <c:pt idx="1">
                  <c:v>3.3820751258091636E-5</c:v>
                </c:pt>
                <c:pt idx="2">
                  <c:v>3.3795857220289077E-4</c:v>
                </c:pt>
                <c:pt idx="3">
                  <c:v>1.9093551185000314E-3</c:v>
                </c:pt>
                <c:pt idx="4">
                  <c:v>6.736138931655423E-3</c:v>
                </c:pt>
                <c:pt idx="5">
                  <c:v>1.6048048164004219E-2</c:v>
                </c:pt>
                <c:pt idx="6">
                  <c:v>2.7482291431425852E-2</c:v>
                </c:pt>
                <c:pt idx="7">
                  <c:v>3.5581792279001205E-2</c:v>
                </c:pt>
                <c:pt idx="8">
                  <c:v>3.6295576501642057E-2</c:v>
                </c:pt>
                <c:pt idx="9">
                  <c:v>3.0178399358531966E-2</c:v>
                </c:pt>
                <c:pt idx="10">
                  <c:v>2.1039503593612036E-2</c:v>
                </c:pt>
                <c:pt idx="11">
                  <c:v>1.259400347775148E-2</c:v>
                </c:pt>
                <c:pt idx="12">
                  <c:v>6.6034037139998071E-3</c:v>
                </c:pt>
                <c:pt idx="13">
                  <c:v>3.0847927412867744E-3</c:v>
                </c:pt>
                <c:pt idx="14">
                  <c:v>1.3026922814580186E-3</c:v>
                </c:pt>
                <c:pt idx="15">
                  <c:v>5.0353481185787989E-4</c:v>
                </c:pt>
                <c:pt idx="16">
                  <c:v>1.800784918926651E-4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8C-4A9B-9295-C8ABB2BD5A05}"/>
            </c:ext>
          </c:extLst>
        </c:ser>
        <c:ser>
          <c:idx val="3"/>
          <c:order val="3"/>
          <c:tx>
            <c:strRef>
              <c:f>Greeks!$E$47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3">
                <a:shade val="67000"/>
              </a:schemeClr>
            </a:solidFill>
            <a:ln/>
            <a:effectLst/>
            <a:sp3d/>
          </c:spPr>
          <c:cat>
            <c:numRef>
              <c:f>Greeks!$A$48:$A$64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Greeks!$E$48:$E$64</c:f>
              <c:numCache>
                <c:formatCode>General</c:formatCode>
                <c:ptCount val="17"/>
                <c:pt idx="0">
                  <c:v>2.2064431982817099E-5</c:v>
                </c:pt>
                <c:pt idx="1">
                  <c:v>2.0218238688417132E-4</c:v>
                </c:pt>
                <c:pt idx="2">
                  <c:v>1.1000759814895993E-3</c:v>
                </c:pt>
                <c:pt idx="3">
                  <c:v>3.9113907532951553E-3</c:v>
                </c:pt>
                <c:pt idx="4">
                  <c:v>9.7884039294375228E-3</c:v>
                </c:pt>
                <c:pt idx="5">
                  <c:v>1.8278954822369093E-2</c:v>
                </c:pt>
                <c:pt idx="6">
                  <c:v>2.6687880405210144E-2</c:v>
                </c:pt>
                <c:pt idx="7">
                  <c:v>3.1635322258043573E-2</c:v>
                </c:pt>
                <c:pt idx="8">
                  <c:v>3.1397549176385639E-2</c:v>
                </c:pt>
                <c:pt idx="9">
                  <c:v>2.6761306237360671E-2</c:v>
                </c:pt>
                <c:pt idx="10">
                  <c:v>2.0006577096239701E-2</c:v>
                </c:pt>
                <c:pt idx="11">
                  <c:v>1.3352820984703353E-2</c:v>
                </c:pt>
                <c:pt idx="12">
                  <c:v>8.0758746095868552E-3</c:v>
                </c:pt>
                <c:pt idx="13">
                  <c:v>4.4825674910614196E-3</c:v>
                </c:pt>
                <c:pt idx="14">
                  <c:v>2.3082701661092642E-3</c:v>
                </c:pt>
                <c:pt idx="15">
                  <c:v>1.1130292486590083E-3</c:v>
                </c:pt>
                <c:pt idx="16">
                  <c:v>5.0660659975445036E-4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8C-4A9B-9295-C8ABB2BD5A05}"/>
            </c:ext>
          </c:extLst>
        </c:ser>
        <c:ser>
          <c:idx val="4"/>
          <c:order val="4"/>
          <c:tx>
            <c:strRef>
              <c:f>Greeks!$F$47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3">
                <a:shade val="76000"/>
              </a:schemeClr>
            </a:solidFill>
            <a:ln/>
            <a:effectLst/>
            <a:sp3d/>
          </c:spPr>
          <c:cat>
            <c:numRef>
              <c:f>Greeks!$A$48:$A$64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Greeks!$F$48:$F$64</c:f>
              <c:numCache>
                <c:formatCode>General</c:formatCode>
                <c:ptCount val="17"/>
                <c:pt idx="0">
                  <c:v>1.0070170546498086E-4</c:v>
                </c:pt>
                <c:pt idx="1">
                  <c:v>5.7611680391896742E-4</c:v>
                </c:pt>
                <c:pt idx="2">
                  <c:v>2.1766539744156989E-3</c:v>
                </c:pt>
                <c:pt idx="3">
                  <c:v>5.8617741810673704E-3</c:v>
                </c:pt>
                <c:pt idx="4">
                  <c:v>1.1937780047109169E-2</c:v>
                </c:pt>
                <c:pt idx="5">
                  <c:v>1.9261939996234254E-2</c:v>
                </c:pt>
                <c:pt idx="6">
                  <c:v>2.5556533759819561E-2</c:v>
                </c:pt>
                <c:pt idx="7">
                  <c:v>2.8732281352043247E-2</c:v>
                </c:pt>
                <c:pt idx="8">
                  <c:v>2.8051246304186254E-2</c:v>
                </c:pt>
                <c:pt idx="9">
                  <c:v>2.4267506445708336E-2</c:v>
                </c:pt>
                <c:pt idx="10">
                  <c:v>1.8918485039079759E-2</c:v>
                </c:pt>
                <c:pt idx="11">
                  <c:v>1.3478753756809105E-2</c:v>
                </c:pt>
                <c:pt idx="12">
                  <c:v>8.881243547387634E-3</c:v>
                </c:pt>
                <c:pt idx="13">
                  <c:v>5.4668672380470719E-3</c:v>
                </c:pt>
                <c:pt idx="14">
                  <c:v>3.1709157235184286E-3</c:v>
                </c:pt>
                <c:pt idx="15">
                  <c:v>1.7459186523562475E-3</c:v>
                </c:pt>
                <c:pt idx="16">
                  <c:v>9.1839058774420643E-4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8C-4A9B-9295-C8ABB2BD5A05}"/>
            </c:ext>
          </c:extLst>
        </c:ser>
        <c:ser>
          <c:idx val="5"/>
          <c:order val="5"/>
          <c:tx>
            <c:strRef>
              <c:f>Greeks!$G$47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/>
            <a:effectLst/>
            <a:sp3d/>
          </c:spPr>
          <c:cat>
            <c:numRef>
              <c:f>Greeks!$A$48:$A$64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Greeks!$G$48:$G$64</c:f>
              <c:numCache>
                <c:formatCode>General</c:formatCode>
                <c:ptCount val="17"/>
                <c:pt idx="0">
                  <c:v>2.7236380704730455E-4</c:v>
                </c:pt>
                <c:pt idx="1">
                  <c:v>1.1382523244176262E-3</c:v>
                </c:pt>
                <c:pt idx="2">
                  <c:v>3.3722289783455627E-3</c:v>
                </c:pt>
                <c:pt idx="3">
                  <c:v>7.5458967272333368E-3</c:v>
                </c:pt>
                <c:pt idx="4">
                  <c:v>1.3395159432299533E-2</c:v>
                </c:pt>
                <c:pt idx="5">
                  <c:v>1.9607203543702156E-2</c:v>
                </c:pt>
                <c:pt idx="6">
                  <c:v>2.440677414752461E-2</c:v>
                </c:pt>
                <c:pt idx="7">
                  <c:v>2.6488164394297603E-2</c:v>
                </c:pt>
                <c:pt idx="8">
                  <c:v>2.55783754134996E-2</c:v>
                </c:pt>
                <c:pt idx="9">
                  <c:v>2.2348767206295854E-2</c:v>
                </c:pt>
                <c:pt idx="10">
                  <c:v>1.7916173218194179E-2</c:v>
                </c:pt>
                <c:pt idx="11">
                  <c:v>1.333267834934383E-2</c:v>
                </c:pt>
                <c:pt idx="12">
                  <c:v>9.3013597568778472E-3</c:v>
                </c:pt>
                <c:pt idx="13">
                  <c:v>6.1342693499021796E-3</c:v>
                </c:pt>
                <c:pt idx="14">
                  <c:v>3.8518254155354287E-3</c:v>
                </c:pt>
                <c:pt idx="15">
                  <c:v>2.3169614647433378E-3</c:v>
                </c:pt>
                <c:pt idx="16">
                  <c:v>1.3421930911671856E-3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28C-4A9B-9295-C8ABB2BD5A05}"/>
            </c:ext>
          </c:extLst>
        </c:ser>
        <c:ser>
          <c:idx val="6"/>
          <c:order val="6"/>
          <c:tx>
            <c:strRef>
              <c:f>Greeks!$H$47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3">
                <a:shade val="95000"/>
              </a:schemeClr>
            </a:solidFill>
            <a:ln/>
            <a:effectLst/>
            <a:sp3d/>
          </c:spPr>
          <c:cat>
            <c:numRef>
              <c:f>Greeks!$A$48:$A$64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Greeks!$H$48:$H$64</c:f>
              <c:numCache>
                <c:formatCode>General</c:formatCode>
                <c:ptCount val="17"/>
                <c:pt idx="0">
                  <c:v>5.4760481596518001E-4</c:v>
                </c:pt>
                <c:pt idx="1">
                  <c:v>1.8286848240875091E-3</c:v>
                </c:pt>
                <c:pt idx="2">
                  <c:v>4.5539531232495038E-3</c:v>
                </c:pt>
                <c:pt idx="3">
                  <c:v>8.9273180622224217E-3</c:v>
                </c:pt>
                <c:pt idx="4">
                  <c:v>1.4366321033900608E-2</c:v>
                </c:pt>
                <c:pt idx="5">
                  <c:v>1.9615204928584505E-2</c:v>
                </c:pt>
                <c:pt idx="6">
                  <c:v>2.3329031963279283E-2</c:v>
                </c:pt>
                <c:pt idx="7">
                  <c:v>2.4688265009858646E-2</c:v>
                </c:pt>
                <c:pt idx="8">
                  <c:v>2.3654347961507349E-2</c:v>
                </c:pt>
                <c:pt idx="9">
                  <c:v>2.0814619144845083E-2</c:v>
                </c:pt>
                <c:pt idx="10">
                  <c:v>1.7022556226213847E-2</c:v>
                </c:pt>
                <c:pt idx="11">
                  <c:v>1.306782132810054E-2</c:v>
                </c:pt>
                <c:pt idx="12">
                  <c:v>9.496205086649636E-3</c:v>
                </c:pt>
                <c:pt idx="13">
                  <c:v>6.5790096216856199E-3</c:v>
                </c:pt>
                <c:pt idx="14">
                  <c:v>4.3719665660242645E-3</c:v>
                </c:pt>
                <c:pt idx="15">
                  <c:v>2.8013465758306819E-3</c:v>
                </c:pt>
                <c:pt idx="16">
                  <c:v>1.7385470025647564E-3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28C-4A9B-9295-C8ABB2BD5A05}"/>
            </c:ext>
          </c:extLst>
        </c:ser>
        <c:ser>
          <c:idx val="7"/>
          <c:order val="7"/>
          <c:tx>
            <c:strRef>
              <c:f>Greeks!$I$47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3">
                <a:tint val="96000"/>
              </a:schemeClr>
            </a:solidFill>
            <a:ln/>
            <a:effectLst/>
            <a:sp3d/>
          </c:spPr>
          <c:cat>
            <c:numRef>
              <c:f>Greeks!$A$48:$A$64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Greeks!$I$48:$I$64</c:f>
              <c:numCache>
                <c:formatCode>General</c:formatCode>
                <c:ptCount val="17"/>
                <c:pt idx="0">
                  <c:v>9.1609936771568209E-4</c:v>
                </c:pt>
                <c:pt idx="1">
                  <c:v>2.5855385907713364E-3</c:v>
                </c:pt>
                <c:pt idx="2">
                  <c:v>5.6523508060789462E-3</c:v>
                </c:pt>
                <c:pt idx="3">
                  <c:v>1.0033802504733588E-2</c:v>
                </c:pt>
                <c:pt idx="4">
                  <c:v>1.5001364182628533E-2</c:v>
                </c:pt>
                <c:pt idx="5">
                  <c:v>1.944073459830415E-2</c:v>
                </c:pt>
                <c:pt idx="6">
                  <c:v>2.2344641814505347E-2</c:v>
                </c:pt>
                <c:pt idx="7">
                  <c:v>2.3203661883923712E-2</c:v>
                </c:pt>
                <c:pt idx="8">
                  <c:v>2.2101737998123483E-2</c:v>
                </c:pt>
                <c:pt idx="9">
                  <c:v>1.9552017122180458E-2</c:v>
                </c:pt>
                <c:pt idx="10">
                  <c:v>1.6231040004613291E-2</c:v>
                </c:pt>
                <c:pt idx="11">
                  <c:v>1.2754236173725023E-2</c:v>
                </c:pt>
                <c:pt idx="12">
                  <c:v>9.5562993383245896E-3</c:v>
                </c:pt>
                <c:pt idx="13">
                  <c:v>6.8698255498420117E-3</c:v>
                </c:pt>
                <c:pt idx="14">
                  <c:v>4.7634480986671439E-3</c:v>
                </c:pt>
                <c:pt idx="15">
                  <c:v>3.2002933770762325E-3</c:v>
                </c:pt>
                <c:pt idx="16">
                  <c:v>2.0914714572423773E-3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28C-4A9B-9295-C8ABB2BD5A05}"/>
            </c:ext>
          </c:extLst>
        </c:ser>
        <c:ser>
          <c:idx val="8"/>
          <c:order val="8"/>
          <c:tx>
            <c:strRef>
              <c:f>Greeks!$J$47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tint val="86000"/>
              </a:schemeClr>
            </a:solidFill>
            <a:ln/>
            <a:effectLst/>
            <a:sp3d/>
          </c:spPr>
          <c:cat>
            <c:numRef>
              <c:f>Greeks!$A$48:$A$64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Greeks!$J$48:$J$64</c:f>
              <c:numCache>
                <c:formatCode>General</c:formatCode>
                <c:ptCount val="17"/>
                <c:pt idx="0">
                  <c:v>1.3571389458380502E-3</c:v>
                </c:pt>
                <c:pt idx="1">
                  <c:v>3.3605151026574491E-3</c:v>
                </c:pt>
                <c:pt idx="2">
                  <c:v>6.6387114573764547E-3</c:v>
                </c:pt>
                <c:pt idx="3">
                  <c:v>1.0909406223302241E-2</c:v>
                </c:pt>
                <c:pt idx="4">
                  <c:v>1.5403132263133373E-2</c:v>
                </c:pt>
                <c:pt idx="5">
                  <c:v>1.916736194416201E-2</c:v>
                </c:pt>
                <c:pt idx="6">
                  <c:v>2.1452524339852529E-2</c:v>
                </c:pt>
                <c:pt idx="7">
                  <c:v>2.1952066922098782E-2</c:v>
                </c:pt>
                <c:pt idx="8">
                  <c:v>2.0814289167512139E-2</c:v>
                </c:pt>
                <c:pt idx="9">
                  <c:v>1.8489346824041981E-2</c:v>
                </c:pt>
                <c:pt idx="10">
                  <c:v>1.5528543194402064E-2</c:v>
                </c:pt>
                <c:pt idx="11">
                  <c:v>1.2425602990436631E-2</c:v>
                </c:pt>
                <c:pt idx="12">
                  <c:v>9.5342861100476319E-3</c:v>
                </c:pt>
                <c:pt idx="13">
                  <c:v>7.0538139252298493E-3</c:v>
                </c:pt>
                <c:pt idx="14">
                  <c:v>5.0554177985015743E-3</c:v>
                </c:pt>
                <c:pt idx="15">
                  <c:v>3.5239585209983202E-3</c:v>
                </c:pt>
                <c:pt idx="16">
                  <c:v>2.3974428180687469E-3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28C-4A9B-9295-C8ABB2BD5A05}"/>
            </c:ext>
          </c:extLst>
        </c:ser>
        <c:ser>
          <c:idx val="9"/>
          <c:order val="9"/>
          <c:tx>
            <c:strRef>
              <c:f>Greeks!$K$47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3">
                <a:tint val="77000"/>
              </a:schemeClr>
            </a:solidFill>
            <a:ln/>
            <a:effectLst/>
            <a:sp3d/>
          </c:spPr>
          <c:cat>
            <c:numRef>
              <c:f>Greeks!$A$48:$A$64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Greeks!$K$48:$K$64</c:f>
              <c:numCache>
                <c:formatCode>General</c:formatCode>
                <c:ptCount val="17"/>
                <c:pt idx="0">
                  <c:v>1.8477969471792112E-3</c:v>
                </c:pt>
                <c:pt idx="1">
                  <c:v>4.1207309613217006E-3</c:v>
                </c:pt>
                <c:pt idx="2">
                  <c:v>7.5067523489369872E-3</c:v>
                </c:pt>
                <c:pt idx="3">
                  <c:v>1.1597225794774839E-2</c:v>
                </c:pt>
                <c:pt idx="4">
                  <c:v>1.5641421674019225E-2</c:v>
                </c:pt>
                <c:pt idx="5">
                  <c:v>1.8841983940109528E-2</c:v>
                </c:pt>
                <c:pt idx="6">
                  <c:v>2.0644622964645629E-2</c:v>
                </c:pt>
                <c:pt idx="7">
                  <c:v>2.087829727981377E-2</c:v>
                </c:pt>
                <c:pt idx="8">
                  <c:v>1.9723966545394447E-2</c:v>
                </c:pt>
                <c:pt idx="9">
                  <c:v>1.7578836087368842E-2</c:v>
                </c:pt>
                <c:pt idx="10">
                  <c:v>1.4901938093572724E-2</c:v>
                </c:pt>
                <c:pt idx="11">
                  <c:v>1.2098525266351955E-2</c:v>
                </c:pt>
                <c:pt idx="12">
                  <c:v>9.4617501566145283E-3</c:v>
                </c:pt>
                <c:pt idx="13">
                  <c:v>7.162937779782763E-3</c:v>
                </c:pt>
                <c:pt idx="14">
                  <c:v>5.2712072632879253E-3</c:v>
                </c:pt>
                <c:pt idx="15">
                  <c:v>3.7843224261389784E-3</c:v>
                </c:pt>
                <c:pt idx="16">
                  <c:v>2.6587031941631986E-3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28C-4A9B-9295-C8ABB2BD5A05}"/>
            </c:ext>
          </c:extLst>
        </c:ser>
        <c:ser>
          <c:idx val="10"/>
          <c:order val="10"/>
          <c:tx>
            <c:strRef>
              <c:f>Greeks!$L$47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3">
                <a:tint val="68000"/>
              </a:schemeClr>
            </a:solidFill>
            <a:ln/>
            <a:effectLst/>
            <a:sp3d/>
          </c:spPr>
          <c:cat>
            <c:numRef>
              <c:f>Greeks!$A$48:$A$64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Greeks!$L$48:$L$64</c:f>
              <c:numCache>
                <c:formatCode>General</c:formatCode>
                <c:ptCount val="17"/>
                <c:pt idx="0">
                  <c:v>6.5999568536451924E-3</c:v>
                </c:pt>
                <c:pt idx="1">
                  <c:v>9.1893387459059377E-3</c:v>
                </c:pt>
                <c:pt idx="2">
                  <c:v>1.1624159945686188E-2</c:v>
                </c:pt>
                <c:pt idx="3">
                  <c:v>1.3601749391133747E-2</c:v>
                </c:pt>
                <c:pt idx="4">
                  <c:v>1.4928999083209113E-2</c:v>
                </c:pt>
                <c:pt idx="5">
                  <c:v>1.5538821309956895E-2</c:v>
                </c:pt>
                <c:pt idx="6">
                  <c:v>1.5471684475151492E-2</c:v>
                </c:pt>
                <c:pt idx="7">
                  <c:v>1.4840061535306965E-2</c:v>
                </c:pt>
                <c:pt idx="8">
                  <c:v>1.3790926583135299E-2</c:v>
                </c:pt>
                <c:pt idx="9">
                  <c:v>1.2475292570391814E-2</c:v>
                </c:pt>
                <c:pt idx="10">
                  <c:v>1.1028059378052651E-2</c:v>
                </c:pt>
                <c:pt idx="11">
                  <c:v>9.5576676672171172E-3</c:v>
                </c:pt>
                <c:pt idx="12">
                  <c:v>8.1432630811320364E-3</c:v>
                </c:pt>
                <c:pt idx="13">
                  <c:v>6.8366861897907437E-3</c:v>
                </c:pt>
                <c:pt idx="14">
                  <c:v>5.6669702285113378E-3</c:v>
                </c:pt>
                <c:pt idx="15">
                  <c:v>4.6456697775222461E-3</c:v>
                </c:pt>
                <c:pt idx="16">
                  <c:v>3.7719785580502137E-3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28C-4A9B-9295-C8ABB2BD5A05}"/>
            </c:ext>
          </c:extLst>
        </c:ser>
        <c:ser>
          <c:idx val="11"/>
          <c:order val="11"/>
          <c:tx>
            <c:strRef>
              <c:f>Greeks!$M$47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/>
            <a:effectLst/>
            <a:sp3d/>
          </c:spPr>
          <c:cat>
            <c:numRef>
              <c:f>Greeks!$A$48:$A$64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Greeks!$M$48:$M$64</c:f>
              <c:numCache>
                <c:formatCode>General</c:formatCode>
                <c:ptCount val="17"/>
                <c:pt idx="0">
                  <c:v>9.1771016304238069E-3</c:v>
                </c:pt>
                <c:pt idx="1">
                  <c:v>1.0920849507992856E-2</c:v>
                </c:pt>
                <c:pt idx="2">
                  <c:v>1.22330166765713E-2</c:v>
                </c:pt>
                <c:pt idx="3">
                  <c:v>1.304799601147523E-2</c:v>
                </c:pt>
                <c:pt idx="4">
                  <c:v>1.3370603439876852E-2</c:v>
                </c:pt>
                <c:pt idx="5">
                  <c:v>1.3255131727717093E-2</c:v>
                </c:pt>
                <c:pt idx="6">
                  <c:v>1.2783505889003444E-2</c:v>
                </c:pt>
                <c:pt idx="7">
                  <c:v>1.2047161650680642E-2</c:v>
                </c:pt>
                <c:pt idx="8">
                  <c:v>1.1134276551152787E-2</c:v>
                </c:pt>
                <c:pt idx="9">
                  <c:v>1.0122157910866229E-2</c:v>
                </c:pt>
                <c:pt idx="10">
                  <c:v>9.0737477955800411E-3</c:v>
                </c:pt>
                <c:pt idx="11">
                  <c:v>8.0369990403848408E-3</c:v>
                </c:pt>
                <c:pt idx="12">
                  <c:v>7.0460051549628569E-3</c:v>
                </c:pt>
                <c:pt idx="13">
                  <c:v>6.1230240136718661E-3</c:v>
                </c:pt>
                <c:pt idx="14">
                  <c:v>5.2808038728821578E-3</c:v>
                </c:pt>
                <c:pt idx="15">
                  <c:v>4.5248469998567702E-3</c:v>
                </c:pt>
                <c:pt idx="16">
                  <c:v>3.8554152638824229E-3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28C-4A9B-9295-C8ABB2BD5A05}"/>
            </c:ext>
          </c:extLst>
        </c:ser>
        <c:ser>
          <c:idx val="12"/>
          <c:order val="12"/>
          <c:tx>
            <c:strRef>
              <c:f>Greeks!$N$47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3">
                <a:tint val="49000"/>
              </a:schemeClr>
            </a:solidFill>
            <a:ln/>
            <a:effectLst/>
            <a:sp3d/>
          </c:spPr>
          <c:cat>
            <c:numRef>
              <c:f>Greeks!$A$48:$A$64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Greeks!$N$48:$N$64</c:f>
              <c:numCache>
                <c:formatCode>General</c:formatCode>
                <c:ptCount val="17"/>
                <c:pt idx="0">
                  <c:v>1.0313315500073911E-2</c:v>
                </c:pt>
                <c:pt idx="1">
                  <c:v>1.1346268148064859E-2</c:v>
                </c:pt>
                <c:pt idx="2">
                  <c:v>1.1959970353331821E-2</c:v>
                </c:pt>
                <c:pt idx="3">
                  <c:v>1.2179483699411454E-2</c:v>
                </c:pt>
                <c:pt idx="4">
                  <c:v>1.205928909750143E-2</c:v>
                </c:pt>
                <c:pt idx="5">
                  <c:v>1.1667493720574828E-2</c:v>
                </c:pt>
                <c:pt idx="6">
                  <c:v>1.1074310697636874E-2</c:v>
                </c:pt>
                <c:pt idx="7">
                  <c:v>1.034474514620942E-2</c:v>
                </c:pt>
                <c:pt idx="8">
                  <c:v>9.5346953865131038E-3</c:v>
                </c:pt>
                <c:pt idx="9">
                  <c:v>8.6895009017126795E-3</c:v>
                </c:pt>
                <c:pt idx="10">
                  <c:v>7.8440625463605997E-3</c:v>
                </c:pt>
                <c:pt idx="11">
                  <c:v>7.0238536178371452E-3</c:v>
                </c:pt>
                <c:pt idx="12">
                  <c:v>6.2463417557349936E-3</c:v>
                </c:pt>
                <c:pt idx="13">
                  <c:v>5.5225119093422655E-3</c:v>
                </c:pt>
                <c:pt idx="14">
                  <c:v>4.858308981287961E-3</c:v>
                </c:pt>
                <c:pt idx="15">
                  <c:v>4.2559078918170063E-3</c:v>
                </c:pt>
                <c:pt idx="16">
                  <c:v>3.7147763845488606E-3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28C-4A9B-9295-C8ABB2BD5A05}"/>
            </c:ext>
          </c:extLst>
        </c:ser>
        <c:ser>
          <c:idx val="13"/>
          <c:order val="13"/>
          <c:tx>
            <c:strRef>
              <c:f>Greeks!$O$47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3">
                <a:tint val="40000"/>
              </a:schemeClr>
            </a:solidFill>
            <a:ln/>
            <a:effectLst/>
            <a:sp3d/>
          </c:spPr>
          <c:cat>
            <c:numRef>
              <c:f>Greeks!$A$48:$A$64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Greeks!$O$48:$O$64</c:f>
              <c:numCache>
                <c:formatCode>General</c:formatCode>
                <c:ptCount val="17"/>
                <c:pt idx="0">
                  <c:v>1.073708151996329E-2</c:v>
                </c:pt>
                <c:pt idx="1">
                  <c:v>1.126894618169702E-2</c:v>
                </c:pt>
                <c:pt idx="2">
                  <c:v>1.1453027766679769E-2</c:v>
                </c:pt>
                <c:pt idx="3">
                  <c:v>1.1343634002882847E-2</c:v>
                </c:pt>
                <c:pt idx="4">
                  <c:v>1.1002627628314172E-2</c:v>
                </c:pt>
                <c:pt idx="5">
                  <c:v>1.0490736571836448E-2</c:v>
                </c:pt>
                <c:pt idx="6">
                  <c:v>9.8625457284395694E-3</c:v>
                </c:pt>
                <c:pt idx="7">
                  <c:v>9.1641696406864273E-3</c:v>
                </c:pt>
                <c:pt idx="8">
                  <c:v>8.4326874401380626E-3</c:v>
                </c:pt>
                <c:pt idx="9">
                  <c:v>7.6966219777363509E-3</c:v>
                </c:pt>
                <c:pt idx="10">
                  <c:v>6.9769553505238452E-3</c:v>
                </c:pt>
                <c:pt idx="11">
                  <c:v>6.2883493733863101E-3</c:v>
                </c:pt>
                <c:pt idx="12">
                  <c:v>5.6403714114604637E-3</c:v>
                </c:pt>
                <c:pt idx="13">
                  <c:v>5.0386172534840901E-3</c:v>
                </c:pt>
                <c:pt idx="14">
                  <c:v>4.4856819490140861E-3</c:v>
                </c:pt>
                <c:pt idx="15">
                  <c:v>3.9819655859202495E-3</c:v>
                </c:pt>
                <c:pt idx="16">
                  <c:v>3.5263212434632854E-3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28C-4A9B-9295-C8ABB2BD5A05}"/>
            </c:ext>
          </c:extLst>
        </c:ser>
        <c:bandFmts>
          <c:bandFmt>
            <c:idx val="0"/>
            <c:spPr>
              <a:solidFill>
                <a:schemeClr val="accent3">
                  <a:shade val="45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3">
                  <a:shade val="61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>
                  <a:shade val="76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3">
                  <a:shade val="92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3">
                  <a:tint val="9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3">
                  <a:tint val="77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3">
                  <a:tint val="62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3">
                  <a:tint val="46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tint val="3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3">
                  <a:tint val="1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3">
                  <a:tint val="99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3">
                  <a:tint val="84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3">
                  <a:tint val="68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3">
                  <a:tint val="53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tint val="37000"/>
                </a:schemeClr>
              </a:solidFill>
              <a:ln/>
              <a:effectLst/>
              <a:sp3d/>
            </c:spPr>
          </c:bandFmt>
        </c:bandFmts>
        <c:axId val="595197512"/>
        <c:axId val="595196856"/>
        <c:axId val="422383456"/>
      </c:surface3DChart>
      <c:catAx>
        <c:axId val="595197512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 [$]</a:t>
                </a:r>
              </a:p>
            </c:rich>
          </c:tx>
          <c:layout>
            <c:manualLayout>
              <c:xMode val="edge"/>
              <c:yMode val="edge"/>
              <c:x val="0.45875320711315581"/>
              <c:y val="0.9394407640589811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595196856"/>
        <c:crosses val="autoZero"/>
        <c:auto val="1"/>
        <c:lblAlgn val="ctr"/>
        <c:lblOffset val="100"/>
        <c:noMultiLvlLbl val="0"/>
      </c:catAx>
      <c:valAx>
        <c:axId val="5951968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Γ</a:t>
                </a:r>
                <a:endParaRPr lang="it-IT" sz="1200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84564293402931379"/>
              <c:y val="0.3350273152181655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595197512"/>
        <c:crosses val="autoZero"/>
        <c:crossBetween val="midCat"/>
      </c:valAx>
      <c:serAx>
        <c:axId val="422383456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τ</a:t>
                </a:r>
                <a:r>
                  <a:rPr lang="it-IT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[years]</a:t>
                </a:r>
              </a:p>
            </c:rich>
          </c:tx>
          <c:layout>
            <c:manualLayout>
              <c:xMode val="edge"/>
              <c:yMode val="edge"/>
              <c:x val="0.868246815004866"/>
              <c:y val="0.65657839221036829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595196856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l-GR" sz="180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ν</a:t>
            </a:r>
            <a:r>
              <a:rPr lang="it-IT" sz="180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plot for </a:t>
            </a:r>
            <a:r>
              <a:rPr lang="el-GR" sz="180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σ</a:t>
            </a:r>
            <a:r>
              <a:rPr lang="it-IT" sz="180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=0,2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 w="635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5671296296296296E-2"/>
          <c:y val="0.11895025252525253"/>
          <c:w val="0.79224518518518516"/>
          <c:h val="0.79414368686868686"/>
        </c:manualLayout>
      </c:layout>
      <c:surface3DChart>
        <c:wireframe val="0"/>
        <c:ser>
          <c:idx val="0"/>
          <c:order val="0"/>
          <c:tx>
            <c:strRef>
              <c:f>Greeks!$B$71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cat>
            <c:numRef>
              <c:f>Greeks!$A$72:$A$88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Greeks!$B$72:$B$88</c:f>
              <c:numCache>
                <c:formatCode>General</c:formatCode>
                <c:ptCount val="17"/>
                <c:pt idx="0">
                  <c:v>7.5719207361530399E-14</c:v>
                </c:pt>
                <c:pt idx="1">
                  <c:v>9.5374791219906021E-10</c:v>
                </c:pt>
                <c:pt idx="2">
                  <c:v>1.4305070674681113E-6</c:v>
                </c:pt>
                <c:pt idx="3">
                  <c:v>3.770139897571843E-4</c:v>
                </c:pt>
                <c:pt idx="4">
                  <c:v>2.3609588828415677E-2</c:v>
                </c:pt>
                <c:pt idx="5">
                  <c:v>0.44558558892443634</c:v>
                </c:pt>
                <c:pt idx="6">
                  <c:v>3.0644533309865185</c:v>
                </c:pt>
                <c:pt idx="7">
                  <c:v>8.9541358039279721</c:v>
                </c:pt>
                <c:pt idx="8">
                  <c:v>12.60147797002052</c:v>
                </c:pt>
                <c:pt idx="9">
                  <c:v>9.4730567005775868</c:v>
                </c:pt>
                <c:pt idx="10">
                  <c:v>4.1459744625109485</c:v>
                </c:pt>
                <c:pt idx="11">
                  <c:v>1.1355073152064601</c:v>
                </c:pt>
                <c:pt idx="12">
                  <c:v>0.20685250757256843</c:v>
                </c:pt>
                <c:pt idx="13">
                  <c:v>2.6396322770578434E-2</c:v>
                </c:pt>
                <c:pt idx="14">
                  <c:v>2.4664615253611665E-3</c:v>
                </c:pt>
                <c:pt idx="15">
                  <c:v>1.7530109023145043E-4</c:v>
                </c:pt>
                <c:pt idx="16">
                  <c:v>9.7937749170318685E-6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36-4E92-AEC4-A4867AFFC303}"/>
            </c:ext>
          </c:extLst>
        </c:ser>
        <c:ser>
          <c:idx val="1"/>
          <c:order val="1"/>
          <c:tx>
            <c:strRef>
              <c:f>Greeks!$C$71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1">
                <a:shade val="48000"/>
              </a:schemeClr>
            </a:solidFill>
            <a:ln/>
            <a:effectLst/>
            <a:sp3d/>
          </c:spPr>
          <c:cat>
            <c:numRef>
              <c:f>Greeks!$A$72:$A$88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Greeks!$C$72:$C$88</c:f>
              <c:numCache>
                <c:formatCode>General</c:formatCode>
                <c:ptCount val="17"/>
                <c:pt idx="0">
                  <c:v>1.2945209838663301E-6</c:v>
                </c:pt>
                <c:pt idx="1">
                  <c:v>1.4674662728048757E-4</c:v>
                </c:pt>
                <c:pt idx="2">
                  <c:v>5.7361357105493501E-3</c:v>
                </c:pt>
                <c:pt idx="3">
                  <c:v>9.3928751471449773E-2</c:v>
                </c:pt>
                <c:pt idx="4">
                  <c:v>0.74932050826937013</c:v>
                </c:pt>
                <c:pt idx="5">
                  <c:v>3.2800471961839519</c:v>
                </c:pt>
                <c:pt idx="6">
                  <c:v>8.6635119422354219</c:v>
                </c:pt>
                <c:pt idx="7">
                  <c:v>14.909546983266303</c:v>
                </c:pt>
                <c:pt idx="8">
                  <c:v>17.80114349570453</c:v>
                </c:pt>
                <c:pt idx="9">
                  <c:v>15.528549456541477</c:v>
                </c:pt>
                <c:pt idx="10">
                  <c:v>10.332955422391688</c:v>
                </c:pt>
                <c:pt idx="11">
                  <c:v>5.4377515022381848</c:v>
                </c:pt>
                <c:pt idx="12">
                  <c:v>2.3332711412433973</c:v>
                </c:pt>
                <c:pt idx="13">
                  <c:v>0.83776579671249984</c:v>
                </c:pt>
                <c:pt idx="14">
                  <c:v>0.25734589818730602</c:v>
                </c:pt>
                <c:pt idx="15">
                  <c:v>6.8932049054116276E-2</c:v>
                </c:pt>
                <c:pt idx="16">
                  <c:v>1.6367344465552186E-2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36-4E92-AEC4-A4867AFFC303}"/>
            </c:ext>
          </c:extLst>
        </c:ser>
        <c:ser>
          <c:idx val="2"/>
          <c:order val="2"/>
          <c:tx>
            <c:strRef>
              <c:f>Greeks!$D$71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cat>
            <c:numRef>
              <c:f>Greeks!$A$72:$A$88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Greeks!$D$72:$D$88</c:f>
              <c:numCache>
                <c:formatCode>General</c:formatCode>
                <c:ptCount val="17"/>
                <c:pt idx="0">
                  <c:v>3.6360095554575553E-4</c:v>
                </c:pt>
                <c:pt idx="1">
                  <c:v>8.57356044392623E-3</c:v>
                </c:pt>
                <c:pt idx="2">
                  <c:v>9.9359820227649887E-2</c:v>
                </c:pt>
                <c:pt idx="3">
                  <c:v>0.64440735249376058</c:v>
                </c:pt>
                <c:pt idx="4">
                  <c:v>2.5866773497556816</c:v>
                </c:pt>
                <c:pt idx="5">
                  <c:v>6.9568288790958261</c:v>
                </c:pt>
                <c:pt idx="6">
                  <c:v>13.35639363567296</c:v>
                </c:pt>
                <c:pt idx="7">
                  <c:v>19.267540519079148</c:v>
                </c:pt>
                <c:pt idx="8">
                  <c:v>21.777345900985232</c:v>
                </c:pt>
                <c:pt idx="9">
                  <c:v>19.963011175668893</c:v>
                </c:pt>
                <c:pt idx="10">
                  <c:v>15.274679608962337</c:v>
                </c:pt>
                <c:pt idx="11">
                  <c:v>9.9933417595957987</c:v>
                </c:pt>
                <c:pt idx="12">
                  <c:v>5.7053408088958326</c:v>
                </c:pt>
                <c:pt idx="13">
                  <c:v>2.89199319495635</c:v>
                </c:pt>
                <c:pt idx="14">
                  <c:v>1.3209299733984308</c:v>
                </c:pt>
                <c:pt idx="15">
                  <c:v>0.55061531676659159</c:v>
                </c:pt>
                <c:pt idx="16">
                  <c:v>0.21177230646577413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36-4E92-AEC4-A4867AFFC303}"/>
            </c:ext>
          </c:extLst>
        </c:ser>
        <c:ser>
          <c:idx val="3"/>
          <c:order val="3"/>
          <c:tx>
            <c:strRef>
              <c:f>Greeks!$E$71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cat>
            <c:numRef>
              <c:f>Greeks!$A$72:$A$88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Greeks!$E$72:$E$88</c:f>
              <c:numCache>
                <c:formatCode>General</c:formatCode>
                <c:ptCount val="17"/>
                <c:pt idx="0">
                  <c:v>6.354556411051324E-3</c:v>
                </c:pt>
                <c:pt idx="1">
                  <c:v>6.8337646766849905E-2</c:v>
                </c:pt>
                <c:pt idx="2">
                  <c:v>0.43122978474392287</c:v>
                </c:pt>
                <c:pt idx="3">
                  <c:v>1.76012583898282</c:v>
                </c:pt>
                <c:pt idx="4">
                  <c:v>5.0116628118720126</c:v>
                </c:pt>
                <c:pt idx="5">
                  <c:v>10.565235887329337</c:v>
                </c:pt>
                <c:pt idx="6">
                  <c:v>17.293746502576173</c:v>
                </c:pt>
                <c:pt idx="7">
                  <c:v>22.840702670307461</c:v>
                </c:pt>
                <c:pt idx="8">
                  <c:v>25.118039341108513</c:v>
                </c:pt>
                <c:pt idx="9">
                  <c:v>23.603472101352111</c:v>
                </c:pt>
                <c:pt idx="10">
                  <c:v>19.366366629160034</c:v>
                </c:pt>
                <c:pt idx="11">
                  <c:v>14.127284601816148</c:v>
                </c:pt>
                <c:pt idx="12">
                  <c:v>9.3034075502440565</c:v>
                </c:pt>
                <c:pt idx="13">
                  <c:v>5.6032093638267746</c:v>
                </c:pt>
                <c:pt idx="14">
                  <c:v>3.1207812645797248</c:v>
                </c:pt>
                <c:pt idx="15">
                  <c:v>1.6227966445448345</c:v>
                </c:pt>
                <c:pt idx="16">
                  <c:v>0.79435914841497823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36-4E92-AEC4-A4867AFFC303}"/>
            </c:ext>
          </c:extLst>
        </c:ser>
        <c:ser>
          <c:idx val="4"/>
          <c:order val="4"/>
          <c:tx>
            <c:strRef>
              <c:f>Greeks!$F$71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cat>
            <c:numRef>
              <c:f>Greeks!$A$72:$A$88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Greeks!$F$72:$F$88</c:f>
              <c:numCache>
                <c:formatCode>General</c:formatCode>
                <c:ptCount val="17"/>
                <c:pt idx="0">
                  <c:v>3.6252613967393113E-2</c:v>
                </c:pt>
                <c:pt idx="1">
                  <c:v>0.24340934965576377</c:v>
                </c:pt>
                <c:pt idx="2">
                  <c:v>1.0665604474636925</c:v>
                </c:pt>
                <c:pt idx="3">
                  <c:v>3.2972479768503962</c:v>
                </c:pt>
                <c:pt idx="4">
                  <c:v>7.6401792301498688</c:v>
                </c:pt>
                <c:pt idx="5">
                  <c:v>13.91675164727925</c:v>
                </c:pt>
                <c:pt idx="6">
                  <c:v>20.700792345453848</c:v>
                </c:pt>
                <c:pt idx="7">
                  <c:v>25.930883920219031</c:v>
                </c:pt>
                <c:pt idx="8">
                  <c:v>28.051246304186257</c:v>
                </c:pt>
                <c:pt idx="9">
                  <c:v>26.754925856393442</c:v>
                </c:pt>
                <c:pt idx="10">
                  <c:v>22.89136689728651</c:v>
                </c:pt>
                <c:pt idx="11">
                  <c:v>17.82565184338004</c:v>
                </c:pt>
                <c:pt idx="12">
                  <c:v>12.788990708238194</c:v>
                </c:pt>
                <c:pt idx="13">
                  <c:v>8.5419800594485498</c:v>
                </c:pt>
                <c:pt idx="14">
                  <c:v>5.3588475727461455</c:v>
                </c:pt>
                <c:pt idx="15">
                  <c:v>3.1819367439192616</c:v>
                </c:pt>
                <c:pt idx="16">
                  <c:v>1.8000455519786447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36-4E92-AEC4-A4867AFFC303}"/>
            </c:ext>
          </c:extLst>
        </c:ser>
        <c:ser>
          <c:idx val="5"/>
          <c:order val="5"/>
          <c:tx>
            <c:strRef>
              <c:f>Greeks!$G$71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Greeks!$A$72:$A$88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Greeks!$G$72:$G$88</c:f>
              <c:numCache>
                <c:formatCode>General</c:formatCode>
                <c:ptCount val="17"/>
                <c:pt idx="0">
                  <c:v>0.11766116464443557</c:v>
                </c:pt>
                <c:pt idx="1">
                  <c:v>0.57709392847973651</c:v>
                </c:pt>
                <c:pt idx="2">
                  <c:v>1.9828706392671911</c:v>
                </c:pt>
                <c:pt idx="3">
                  <c:v>5.0934802908825025</c:v>
                </c:pt>
                <c:pt idx="4">
                  <c:v>10.287482444006043</c:v>
                </c:pt>
                <c:pt idx="5">
                  <c:v>16.99944547238977</c:v>
                </c:pt>
                <c:pt idx="6">
                  <c:v>23.723384471393924</c:v>
                </c:pt>
                <c:pt idx="7">
                  <c:v>28.686682039024305</c:v>
                </c:pt>
                <c:pt idx="8">
                  <c:v>30.69405049619952</c:v>
                </c:pt>
                <c:pt idx="9">
                  <c:v>29.567419013929417</c:v>
                </c:pt>
                <c:pt idx="10">
                  <c:v>26.014283512817954</c:v>
                </c:pt>
                <c:pt idx="11">
                  <c:v>21.158960540408664</c:v>
                </c:pt>
                <c:pt idx="12">
                  <c:v>16.07274965988492</c:v>
                </c:pt>
                <c:pt idx="13">
                  <c:v>11.501755031066587</c:v>
                </c:pt>
                <c:pt idx="14">
                  <c:v>7.8115019427058492</c:v>
                </c:pt>
                <c:pt idx="15">
                  <c:v>5.0671947233936798</c:v>
                </c:pt>
                <c:pt idx="16">
                  <c:v>3.1568381504252203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A36-4E92-AEC4-A4867AFFC303}"/>
            </c:ext>
          </c:extLst>
        </c:ser>
        <c:ser>
          <c:idx val="6"/>
          <c:order val="6"/>
          <c:tx>
            <c:strRef>
              <c:f>Greeks!$H$71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cat>
            <c:numRef>
              <c:f>Greeks!$A$72:$A$88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Greeks!$H$72:$H$88</c:f>
              <c:numCache>
                <c:formatCode>General</c:formatCode>
                <c:ptCount val="17"/>
                <c:pt idx="0">
                  <c:v>0.27599282724645069</c:v>
                </c:pt>
                <c:pt idx="1">
                  <c:v>1.0816670734477618</c:v>
                </c:pt>
                <c:pt idx="2">
                  <c:v>3.1240118425491601</c:v>
                </c:pt>
                <c:pt idx="3">
                  <c:v>7.0302629740001565</c:v>
                </c:pt>
                <c:pt idx="4">
                  <c:v>12.872223646374945</c:v>
                </c:pt>
                <c:pt idx="5">
                  <c:v>19.84077978526323</c:v>
                </c:pt>
                <c:pt idx="6">
                  <c:v>26.455122246358705</c:v>
                </c:pt>
                <c:pt idx="7">
                  <c:v>31.193622839956397</c:v>
                </c:pt>
                <c:pt idx="8">
                  <c:v>33.116087146110289</c:v>
                </c:pt>
                <c:pt idx="9">
                  <c:v>32.127364650068387</c:v>
                </c:pt>
                <c:pt idx="10">
                  <c:v>28.836210247206257</c:v>
                </c:pt>
                <c:pt idx="11">
                  <c:v>24.195071188978151</c:v>
                </c:pt>
                <c:pt idx="12">
                  <c:v>19.144349454685667</c:v>
                </c:pt>
                <c:pt idx="13">
                  <c:v>14.391583547437294</c:v>
                </c:pt>
                <c:pt idx="14">
                  <c:v>10.344072895213412</c:v>
                </c:pt>
                <c:pt idx="15">
                  <c:v>7.1476357882319848</c:v>
                </c:pt>
                <c:pt idx="16">
                  <c:v>4.7705729750376911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A36-4E92-AEC4-A4867AFFC303}"/>
            </c:ext>
          </c:extLst>
        </c:ser>
        <c:ser>
          <c:idx val="7"/>
          <c:order val="7"/>
          <c:tx>
            <c:strRef>
              <c:f>Greeks!$I$71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cat>
            <c:numRef>
              <c:f>Greeks!$A$72:$A$88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Greeks!$I$72:$I$88</c:f>
              <c:numCache>
                <c:formatCode>General</c:formatCode>
                <c:ptCount val="17"/>
                <c:pt idx="0">
                  <c:v>0.52767323580423287</c:v>
                </c:pt>
                <c:pt idx="1">
                  <c:v>1.747824087361423</c:v>
                </c:pt>
                <c:pt idx="2">
                  <c:v>4.4314430319658937</c:v>
                </c:pt>
                <c:pt idx="3">
                  <c:v>9.0304222542602286</c:v>
                </c:pt>
                <c:pt idx="4">
                  <c:v>15.361396923011618</c:v>
                </c:pt>
                <c:pt idx="5">
                  <c:v>22.473489195639598</c:v>
                </c:pt>
                <c:pt idx="6">
                  <c:v>28.958655791598932</c:v>
                </c:pt>
                <c:pt idx="7">
                  <c:v>33.506087760385839</c:v>
                </c:pt>
                <c:pt idx="8">
                  <c:v>35.362780796997576</c:v>
                </c:pt>
                <c:pt idx="9">
                  <c:v>34.489758203526321</c:v>
                </c:pt>
                <c:pt idx="10">
                  <c:v>31.423293448931329</c:v>
                </c:pt>
                <c:pt idx="11">
                  <c:v>26.987963743602148</c:v>
                </c:pt>
                <c:pt idx="12">
                  <c:v>22.017713675499852</c:v>
                </c:pt>
                <c:pt idx="13">
                  <c:v>17.174563874605031</c:v>
                </c:pt>
                <c:pt idx="14">
                  <c:v>12.880363658795954</c:v>
                </c:pt>
                <c:pt idx="15">
                  <c:v>9.3320554875542943</c:v>
                </c:pt>
                <c:pt idx="16">
                  <c:v>6.5588544899120951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A36-4E92-AEC4-A4867AFFC303}"/>
            </c:ext>
          </c:extLst>
        </c:ser>
        <c:ser>
          <c:idx val="8"/>
          <c:order val="8"/>
          <c:tx>
            <c:strRef>
              <c:f>Greeks!$J$71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Greeks!$A$72:$A$88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Greeks!$J$72:$J$88</c:f>
              <c:numCache>
                <c:formatCode>General</c:formatCode>
                <c:ptCount val="17"/>
                <c:pt idx="0">
                  <c:v>0.87942603690305643</c:v>
                </c:pt>
                <c:pt idx="1">
                  <c:v>2.5556717355709897</c:v>
                </c:pt>
                <c:pt idx="2">
                  <c:v>5.855343505406033</c:v>
                </c:pt>
                <c:pt idx="3">
                  <c:v>11.045773801093519</c:v>
                </c:pt>
                <c:pt idx="4">
                  <c:v>17.744408367129644</c:v>
                </c:pt>
                <c:pt idx="5">
                  <c:v>24.927154208382696</c:v>
                </c:pt>
                <c:pt idx="6">
                  <c:v>31.27778048750498</c:v>
                </c:pt>
                <c:pt idx="7">
                  <c:v>35.661132714949467</c:v>
                </c:pt>
                <c:pt idx="8">
                  <c:v>37.465720501521851</c:v>
                </c:pt>
                <c:pt idx="9">
                  <c:v>36.692108772311308</c:v>
                </c:pt>
                <c:pt idx="10">
                  <c:v>33.821167077407694</c:v>
                </c:pt>
                <c:pt idx="11">
                  <c:v>29.5791479187344</c:v>
                </c:pt>
                <c:pt idx="12">
                  <c:v>24.712869597243461</c:v>
                </c:pt>
                <c:pt idx="13">
                  <c:v>19.838851664708947</c:v>
                </c:pt>
                <c:pt idx="14">
                  <c:v>15.378580943041786</c:v>
                </c:pt>
                <c:pt idx="15">
                  <c:v>11.560345928134989</c:v>
                </c:pt>
                <c:pt idx="16">
                  <c:v>8.4581782621465393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A36-4E92-AEC4-A4867AFFC303}"/>
            </c:ext>
          </c:extLst>
        </c:ser>
        <c:ser>
          <c:idx val="9"/>
          <c:order val="9"/>
          <c:tx>
            <c:strRef>
              <c:f>Greeks!$K$71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cat>
            <c:numRef>
              <c:f>Greeks!$A$72:$A$88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Greeks!$K$72:$K$88</c:f>
              <c:numCache>
                <c:formatCode>General</c:formatCode>
                <c:ptCount val="17"/>
                <c:pt idx="0">
                  <c:v>1.3304138019690321</c:v>
                </c:pt>
                <c:pt idx="1">
                  <c:v>3.4820176623168373</c:v>
                </c:pt>
                <c:pt idx="2">
                  <c:v>7.3566173019582468</c:v>
                </c:pt>
                <c:pt idx="3">
                  <c:v>13.046879019121693</c:v>
                </c:pt>
                <c:pt idx="4">
                  <c:v>20.021019742744606</c:v>
                </c:pt>
                <c:pt idx="5">
                  <c:v>27.226666793458271</c:v>
                </c:pt>
                <c:pt idx="6">
                  <c:v>33.444289202725919</c:v>
                </c:pt>
                <c:pt idx="7">
                  <c:v>37.685326590063859</c:v>
                </c:pt>
                <c:pt idx="8">
                  <c:v>39.447933090788894</c:v>
                </c:pt>
                <c:pt idx="9">
                  <c:v>38.761333572648297</c:v>
                </c:pt>
                <c:pt idx="10">
                  <c:v>36.062690186445991</c:v>
                </c:pt>
                <c:pt idx="11">
                  <c:v>32.000599329500922</c:v>
                </c:pt>
                <c:pt idx="12">
                  <c:v>27.249840451049842</c:v>
                </c:pt>
                <c:pt idx="13">
                  <c:v>22.384180561821136</c:v>
                </c:pt>
                <c:pt idx="14">
                  <c:v>17.816680549913187</c:v>
                </c:pt>
                <c:pt idx="15">
                  <c:v>13.793855243276576</c:v>
                </c:pt>
                <c:pt idx="16">
                  <c:v>10.422116521119738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A36-4E92-AEC4-A4867AFFC303}"/>
            </c:ext>
          </c:extLst>
        </c:ser>
        <c:ser>
          <c:idx val="10"/>
          <c:order val="10"/>
          <c:tx>
            <c:strRef>
              <c:f>Greeks!$L$71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cat>
            <c:numRef>
              <c:f>Greeks!$A$72:$A$88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Greeks!$L$72:$L$88</c:f>
              <c:numCache>
                <c:formatCode>General</c:formatCode>
                <c:ptCount val="17"/>
                <c:pt idx="0">
                  <c:v>9.5039378692490786</c:v>
                </c:pt>
                <c:pt idx="1">
                  <c:v>15.529982480581037</c:v>
                </c:pt>
                <c:pt idx="2">
                  <c:v>22.783353493544929</c:v>
                </c:pt>
                <c:pt idx="3">
                  <c:v>30.603936130050933</c:v>
                </c:pt>
                <c:pt idx="4">
                  <c:v>38.218237653015336</c:v>
                </c:pt>
                <c:pt idx="5">
                  <c:v>44.907193585775431</c:v>
                </c:pt>
                <c:pt idx="6">
                  <c:v>50.128257699490845</c:v>
                </c:pt>
                <c:pt idx="7">
                  <c:v>53.572622142458144</c:v>
                </c:pt>
                <c:pt idx="8">
                  <c:v>55.163706332541196</c:v>
                </c:pt>
                <c:pt idx="9">
                  <c:v>55.016040235427909</c:v>
                </c:pt>
                <c:pt idx="10">
                  <c:v>53.375807389774835</c:v>
                </c:pt>
                <c:pt idx="11">
                  <c:v>50.560061959578547</c:v>
                </c:pt>
                <c:pt idx="12">
                  <c:v>46.905195347320536</c:v>
                </c:pt>
                <c:pt idx="13">
                  <c:v>42.729288686192149</c:v>
                </c:pt>
                <c:pt idx="14">
                  <c:v>38.308718744736652</c:v>
                </c:pt>
                <c:pt idx="15">
                  <c:v>33.866932678137182</c:v>
                </c:pt>
                <c:pt idx="16">
                  <c:v>29.572311895113678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A36-4E92-AEC4-A4867AFFC303}"/>
            </c:ext>
          </c:extLst>
        </c:ser>
        <c:ser>
          <c:idx val="11"/>
          <c:order val="11"/>
          <c:tx>
            <c:strRef>
              <c:f>Greeks!$M$71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Greeks!$A$72:$A$88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Greeks!$M$72:$M$88</c:f>
              <c:numCache>
                <c:formatCode>General</c:formatCode>
                <c:ptCount val="17"/>
                <c:pt idx="0">
                  <c:v>19.822539521715424</c:v>
                </c:pt>
                <c:pt idx="1">
                  <c:v>27.684353502761887</c:v>
                </c:pt>
                <c:pt idx="2">
                  <c:v>35.965069029119618</c:v>
                </c:pt>
                <c:pt idx="3">
                  <c:v>44.036986538728897</c:v>
                </c:pt>
                <c:pt idx="4">
                  <c:v>51.343117209127108</c:v>
                </c:pt>
                <c:pt idx="5">
                  <c:v>57.460996039653594</c:v>
                </c:pt>
                <c:pt idx="6">
                  <c:v>62.127838620556737</c:v>
                </c:pt>
                <c:pt idx="7">
                  <c:v>65.235380338435675</c:v>
                </c:pt>
                <c:pt idx="8">
                  <c:v>66.805659306916709</c:v>
                </c:pt>
                <c:pt idx="9">
                  <c:v>66.958074580380099</c:v>
                </c:pt>
                <c:pt idx="10">
                  <c:v>65.875408995911101</c:v>
                </c:pt>
                <c:pt idx="11">
                  <c:v>63.773587385453709</c:v>
                </c:pt>
                <c:pt idx="12">
                  <c:v>60.877484538879074</c:v>
                </c:pt>
                <c:pt idx="13">
                  <c:v>57.403350128173741</c:v>
                </c:pt>
                <c:pt idx="14">
                  <c:v>53.547351271025079</c:v>
                </c:pt>
                <c:pt idx="15">
                  <c:v>49.479201943433772</c:v>
                </c:pt>
                <c:pt idx="16">
                  <c:v>45.339683503257291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A36-4E92-AEC4-A4867AFFC303}"/>
            </c:ext>
          </c:extLst>
        </c:ser>
        <c:ser>
          <c:idx val="12"/>
          <c:order val="12"/>
          <c:tx>
            <c:strRef>
              <c:f>Greeks!$N$71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tint val="49000"/>
              </a:schemeClr>
            </a:solidFill>
            <a:ln/>
            <a:effectLst/>
            <a:sp3d/>
          </c:spPr>
          <c:cat>
            <c:numRef>
              <c:f>Greeks!$A$72:$A$88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Greeks!$N$72:$N$88</c:f>
              <c:numCache>
                <c:formatCode>General</c:formatCode>
                <c:ptCount val="17"/>
                <c:pt idx="0">
                  <c:v>29.702348640212861</c:v>
                </c:pt>
                <c:pt idx="1">
                  <c:v>38.350386340459224</c:v>
                </c:pt>
                <c:pt idx="2">
                  <c:v>46.883083785060734</c:v>
                </c:pt>
                <c:pt idx="3">
                  <c:v>54.807676647351542</c:v>
                </c:pt>
                <c:pt idx="4">
                  <c:v>61.743560179207321</c:v>
                </c:pt>
                <c:pt idx="5">
                  <c:v>67.4381137049225</c:v>
                </c:pt>
                <c:pt idx="6">
                  <c:v>71.761533320686937</c:v>
                </c:pt>
                <c:pt idx="7">
                  <c:v>74.689059955632018</c:v>
                </c:pt>
                <c:pt idx="8">
                  <c:v>76.277563092104828</c:v>
                </c:pt>
                <c:pt idx="9">
                  <c:v>76.641397953105823</c:v>
                </c:pt>
                <c:pt idx="10">
                  <c:v>75.930525448770609</c:v>
                </c:pt>
                <c:pt idx="11">
                  <c:v>74.312371276717002</c:v>
                </c:pt>
                <c:pt idx="12">
                  <c:v>71.957857026067117</c:v>
                </c:pt>
                <c:pt idx="13">
                  <c:v>69.031398866778318</c:v>
                </c:pt>
                <c:pt idx="14">
                  <c:v>65.684337427013233</c:v>
                </c:pt>
                <c:pt idx="15">
                  <c:v>62.051137062691957</c:v>
                </c:pt>
                <c:pt idx="16">
                  <c:v>58.247693709726136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A36-4E92-AEC4-A4867AFFC303}"/>
            </c:ext>
          </c:extLst>
        </c:ser>
        <c:ser>
          <c:idx val="13"/>
          <c:order val="13"/>
          <c:tx>
            <c:strRef>
              <c:f>Greeks!$O$71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cat>
            <c:numRef>
              <c:f>Greeks!$A$72:$A$88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Greeks!$O$72:$O$88</c:f>
              <c:numCache>
                <c:formatCode>General</c:formatCode>
                <c:ptCount val="17"/>
                <c:pt idx="0">
                  <c:v>38.653493471867854</c:v>
                </c:pt>
                <c:pt idx="1">
                  <c:v>47.611297617669919</c:v>
                </c:pt>
                <c:pt idx="2">
                  <c:v>56.119836056730875</c:v>
                </c:pt>
                <c:pt idx="3">
                  <c:v>63.807941266216027</c:v>
                </c:pt>
                <c:pt idx="4">
                  <c:v>70.416816821210716</c:v>
                </c:pt>
                <c:pt idx="5">
                  <c:v>75.795571731518351</c:v>
                </c:pt>
                <c:pt idx="6">
                  <c:v>79.886620400360513</c:v>
                </c:pt>
                <c:pt idx="7">
                  <c:v>82.706631007195014</c:v>
                </c:pt>
                <c:pt idx="8">
                  <c:v>84.326874401380636</c:v>
                </c:pt>
                <c:pt idx="9">
                  <c:v>84.855257304543272</c:v>
                </c:pt>
                <c:pt idx="10">
                  <c:v>84.421159741338542</c:v>
                </c:pt>
                <c:pt idx="11">
                  <c:v>83.163420463033972</c:v>
                </c:pt>
                <c:pt idx="12">
                  <c:v>81.221348325030689</c:v>
                </c:pt>
                <c:pt idx="13">
                  <c:v>78.728394585688918</c:v>
                </c:pt>
                <c:pt idx="14">
                  <c:v>75.808024938338079</c:v>
                </c:pt>
                <c:pt idx="15">
                  <c:v>72.571322803396555</c:v>
                </c:pt>
                <c:pt idx="16">
                  <c:v>69.115896371880396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A36-4E92-AEC4-A4867AFFC303}"/>
            </c:ext>
          </c:extLst>
        </c:ser>
        <c:bandFmts>
          <c:bandFmt>
            <c:idx val="0"/>
            <c:spPr>
              <a:solidFill>
                <a:schemeClr val="accent1">
                  <a:shade val="42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5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68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80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shade val="9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94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81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69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56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18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5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92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0"/>
                </a:schemeClr>
              </a:solidFill>
              <a:ln/>
              <a:effectLst/>
              <a:sp3d/>
            </c:spPr>
          </c:bandFmt>
        </c:bandFmts>
        <c:axId val="96337712"/>
        <c:axId val="968179296"/>
        <c:axId val="969829864"/>
      </c:surface3DChart>
      <c:catAx>
        <c:axId val="96337712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it-IT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 [$]</a:t>
                </a:r>
              </a:p>
            </c:rich>
          </c:tx>
          <c:layout>
            <c:manualLayout>
              <c:xMode val="edge"/>
              <c:yMode val="edge"/>
              <c:x val="0.37868814814814816"/>
              <c:y val="0.9110123737373736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968179296"/>
        <c:crosses val="autoZero"/>
        <c:auto val="1"/>
        <c:lblAlgn val="ctr"/>
        <c:lblOffset val="100"/>
        <c:noMultiLvlLbl val="0"/>
      </c:catAx>
      <c:valAx>
        <c:axId val="96817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l-GR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ν</a:t>
                </a:r>
                <a:endParaRPr lang="it-IT" sz="1200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96337712"/>
        <c:crosses val="autoZero"/>
        <c:crossBetween val="midCat"/>
      </c:valAx>
      <c:serAx>
        <c:axId val="969829864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l-GR" sz="1200" b="0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τ</a:t>
                </a:r>
                <a:r>
                  <a:rPr lang="it-IT" sz="1200" b="0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[years]</a:t>
                </a:r>
                <a:endParaRPr lang="it-IT" sz="1200" b="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968179296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l-GR" sz="180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ϴ</a:t>
            </a:r>
            <a:r>
              <a:rPr lang="it-IT" sz="180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plot for </a:t>
            </a:r>
            <a:r>
              <a:rPr lang="el-GR" sz="180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σ</a:t>
            </a:r>
            <a:r>
              <a:rPr lang="it-IT" sz="180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=0,2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180"/>
      <c:rAngAx val="0"/>
    </c:view3D>
    <c:floor>
      <c:thickness val="0"/>
      <c:spPr>
        <a:noFill/>
        <a:ln w="635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2925925925925928E-2"/>
          <c:y val="0.13373484848484848"/>
          <c:w val="0.86527425925925927"/>
          <c:h val="0.80031944444444447"/>
        </c:manualLayout>
      </c:layout>
      <c:surface3DChart>
        <c:wireframe val="0"/>
        <c:ser>
          <c:idx val="0"/>
          <c:order val="0"/>
          <c:tx>
            <c:strRef>
              <c:f>Greeks!$B$95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6">
                <a:shade val="39000"/>
              </a:schemeClr>
            </a:solidFill>
            <a:ln/>
            <a:effectLst/>
            <a:sp3d/>
          </c:spPr>
          <c:cat>
            <c:numRef>
              <c:f>Greeks!$A$96:$A$112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Greeks!$B$96:$B$112</c:f>
              <c:numCache>
                <c:formatCode>General</c:formatCode>
                <c:ptCount val="17"/>
                <c:pt idx="0">
                  <c:v>-7.6010761094708108E-14</c:v>
                </c:pt>
                <c:pt idx="1">
                  <c:v>-9.5807637849778073E-10</c:v>
                </c:pt>
                <c:pt idx="2">
                  <c:v>-1.4382763141881702E-6</c:v>
                </c:pt>
                <c:pt idx="3">
                  <c:v>-3.795153436595248E-4</c:v>
                </c:pt>
                <c:pt idx="4">
                  <c:v>-2.3806429023180083E-2</c:v>
                </c:pt>
                <c:pt idx="5">
                  <c:v>-0.45044316854020067</c:v>
                </c:pt>
                <c:pt idx="6">
                  <c:v>-3.1107198362775765</c:v>
                </c:pt>
                <c:pt idx="7">
                  <c:v>-9.1580985691009307</c:v>
                </c:pt>
                <c:pt idx="8">
                  <c:v>-13.094676955864362</c:v>
                </c:pt>
                <c:pt idx="9">
                  <c:v>-10.247346144859719</c:v>
                </c:pt>
                <c:pt idx="10">
                  <c:v>-5.0770850918414965</c:v>
                </c:pt>
                <c:pt idx="11">
                  <c:v>-2.120404901462253</c:v>
                </c:pt>
                <c:pt idx="12">
                  <c:v>-1.203782807025447</c:v>
                </c:pt>
                <c:pt idx="13">
                  <c:v>-1.0251750032769935</c:v>
                </c:pt>
                <c:pt idx="14">
                  <c:v>-1.0014490398395373</c:v>
                </c:pt>
                <c:pt idx="15">
                  <c:v>-0.99917467534510218</c:v>
                </c:pt>
                <c:pt idx="16">
                  <c:v>-0.9990102371060936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AF-4789-8499-C7FE36511C27}"/>
            </c:ext>
          </c:extLst>
        </c:ser>
        <c:ser>
          <c:idx val="1"/>
          <c:order val="1"/>
          <c:tx>
            <c:strRef>
              <c:f>Greeks!$C$95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6">
                <a:shade val="48000"/>
              </a:schemeClr>
            </a:solidFill>
            <a:ln/>
            <a:effectLst/>
            <a:sp3d/>
          </c:spPr>
          <c:cat>
            <c:numRef>
              <c:f>Greeks!$A$96:$A$112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Greeks!$C$96:$C$112</c:f>
              <c:numCache>
                <c:formatCode>General</c:formatCode>
                <c:ptCount val="17"/>
                <c:pt idx="0">
                  <c:v>-6.5216774177186137E-7</c:v>
                </c:pt>
                <c:pt idx="1">
                  <c:v>-7.4025594654806079E-5</c:v>
                </c:pt>
                <c:pt idx="2">
                  <c:v>-2.8983527435579304E-3</c:v>
                </c:pt>
                <c:pt idx="3">
                  <c:v>-4.7563462701187005E-2</c:v>
                </c:pt>
                <c:pt idx="4">
                  <c:v>-0.38056333097459333</c:v>
                </c:pt>
                <c:pt idx="5">
                  <c:v>-1.6728876411574809</c:v>
                </c:pt>
                <c:pt idx="6">
                  <c:v>-4.4465323616872592</c:v>
                </c:pt>
                <c:pt idx="7">
                  <c:v>-7.7298647717854028</c:v>
                </c:pt>
                <c:pt idx="8">
                  <c:v>-9.3906706918611</c:v>
                </c:pt>
                <c:pt idx="9">
                  <c:v>-8.4624350940387636</c:v>
                </c:pt>
                <c:pt idx="10">
                  <c:v>-6.0163575646890362</c:v>
                </c:pt>
                <c:pt idx="11">
                  <c:v>-3.655248414122735</c:v>
                </c:pt>
                <c:pt idx="12">
                  <c:v>-2.1427842748222052</c:v>
                </c:pt>
                <c:pt idx="13">
                  <c:v>-1.4101889670878096</c:v>
                </c:pt>
                <c:pt idx="14">
                  <c:v>-1.1248769522380362</c:v>
                </c:pt>
                <c:pt idx="15">
                  <c:v>-1.0320391690967272</c:v>
                </c:pt>
                <c:pt idx="16">
                  <c:v>-1.0060936666418689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AF-4789-8499-C7FE36511C27}"/>
            </c:ext>
          </c:extLst>
        </c:ser>
        <c:ser>
          <c:idx val="2"/>
          <c:order val="2"/>
          <c:tx>
            <c:strRef>
              <c:f>Greeks!$D$95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6">
                <a:shade val="58000"/>
              </a:schemeClr>
            </a:solidFill>
            <a:ln/>
            <a:effectLst/>
            <a:sp3d/>
          </c:spPr>
          <c:cat>
            <c:numRef>
              <c:f>Greeks!$A$96:$A$112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Greeks!$D$96:$D$112</c:f>
              <c:numCache>
                <c:formatCode>General</c:formatCode>
                <c:ptCount val="17"/>
                <c:pt idx="0">
                  <c:v>-1.2255849783705767E-4</c:v>
                </c:pt>
                <c:pt idx="1">
                  <c:v>-2.8952351776097666E-3</c:v>
                </c:pt>
                <c:pt idx="2">
                  <c:v>-3.3631277102680164E-2</c:v>
                </c:pt>
                <c:pt idx="3">
                  <c:v>-0.21877299456996252</c:v>
                </c:pt>
                <c:pt idx="4">
                  <c:v>-0.88165736399349448</c:v>
                </c:pt>
                <c:pt idx="5">
                  <c:v>-2.3841445746413892</c:v>
                </c:pt>
                <c:pt idx="6">
                  <c:v>-4.6129327753105409</c:v>
                </c:pt>
                <c:pt idx="7">
                  <c:v>-6.7316632172013984</c:v>
                </c:pt>
                <c:pt idx="8">
                  <c:v>-7.7467261525529985</c:v>
                </c:pt>
                <c:pt idx="9">
                  <c:v>-7.3143822545279491</c:v>
                </c:pt>
                <c:pt idx="10">
                  <c:v>-5.8894568517543142</c:v>
                </c:pt>
                <c:pt idx="11">
                  <c:v>-4.2225044116496644</c:v>
                </c:pt>
                <c:pt idx="12">
                  <c:v>-2.8481190770658702</c:v>
                </c:pt>
                <c:pt idx="13">
                  <c:v>-1.9388334651870145</c:v>
                </c:pt>
                <c:pt idx="14">
                  <c:v>-1.4283908322854479</c:v>
                </c:pt>
                <c:pt idx="15">
                  <c:v>-1.1772108461100759</c:v>
                </c:pt>
                <c:pt idx="16">
                  <c:v>-1.0664321469380136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AF-4789-8499-C7FE36511C27}"/>
            </c:ext>
          </c:extLst>
        </c:ser>
        <c:ser>
          <c:idx val="3"/>
          <c:order val="3"/>
          <c:tx>
            <c:strRef>
              <c:f>Greeks!$E$95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6">
                <a:shade val="67000"/>
              </a:schemeClr>
            </a:solidFill>
            <a:ln/>
            <a:effectLst/>
            <a:sp3d/>
          </c:spPr>
          <c:cat>
            <c:numRef>
              <c:f>Greeks!$A$96:$A$112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Greeks!$E$96:$E$112</c:f>
              <c:numCache>
                <c:formatCode>General</c:formatCode>
                <c:ptCount val="17"/>
                <c:pt idx="0">
                  <c:v>-1.6120464147555819E-3</c:v>
                </c:pt>
                <c:pt idx="1">
                  <c:v>-1.7377053574853585E-2</c:v>
                </c:pt>
                <c:pt idx="2">
                  <c:v>-0.10997521374944369</c:v>
                </c:pt>
                <c:pt idx="3">
                  <c:v>-0.45054605116011914</c:v>
                </c:pt>
                <c:pt idx="4">
                  <c:v>-1.2890398543869555</c:v>
                </c:pt>
                <c:pt idx="5">
                  <c:v>-2.7349455814898369</c:v>
                </c:pt>
                <c:pt idx="6">
                  <c:v>-4.5163008294554041</c:v>
                </c:pt>
                <c:pt idx="7">
                  <c:v>-6.0398621370452883</c:v>
                </c:pt>
                <c:pt idx="8">
                  <c:v>-6.7649506231012921</c:v>
                </c:pt>
                <c:pt idx="9">
                  <c:v>-6.5366866891780706</c:v>
                </c:pt>
                <c:pt idx="10">
                  <c:v>-5.603351421330677</c:v>
                </c:pt>
                <c:pt idx="11">
                  <c:v>-4.3868243151952431</c:v>
                </c:pt>
                <c:pt idx="12">
                  <c:v>-3.2428705495129391</c:v>
                </c:pt>
                <c:pt idx="13">
                  <c:v>-2.3553824743454683</c:v>
                </c:pt>
                <c:pt idx="14">
                  <c:v>-1.7557367762866103</c:v>
                </c:pt>
                <c:pt idx="15">
                  <c:v>-1.3921272055382248</c:v>
                </c:pt>
                <c:pt idx="16">
                  <c:v>-1.190325820119684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AF-4789-8499-C7FE36511C27}"/>
            </c:ext>
          </c:extLst>
        </c:ser>
        <c:ser>
          <c:idx val="4"/>
          <c:order val="4"/>
          <c:tx>
            <c:strRef>
              <c:f>Greeks!$F$95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/>
            <a:effectLst/>
            <a:sp3d/>
          </c:spPr>
          <c:cat>
            <c:numRef>
              <c:f>Greeks!$A$96:$A$112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Greeks!$F$96:$F$112</c:f>
              <c:numCache>
                <c:formatCode>General</c:formatCode>
                <c:ptCount val="17"/>
                <c:pt idx="0">
                  <c:v>-7.3822963919489481E-3</c:v>
                </c:pt>
                <c:pt idx="1">
                  <c:v>-4.9706706360553618E-2</c:v>
                </c:pt>
                <c:pt idx="2">
                  <c:v>-0.21855826137194606</c:v>
                </c:pt>
                <c:pt idx="3">
                  <c:v>-0.6785996959283418</c:v>
                </c:pt>
                <c:pt idx="4">
                  <c:v>-1.5811182895522478</c:v>
                </c:pt>
                <c:pt idx="5">
                  <c:v>-2.9008614414784248</c:v>
                </c:pt>
                <c:pt idx="6">
                  <c:v>-4.3566607810537521</c:v>
                </c:pt>
                <c:pt idx="7">
                  <c:v>-5.5297499170138629</c:v>
                </c:pt>
                <c:pt idx="8">
                  <c:v>-6.0937240318105896</c:v>
                </c:pt>
                <c:pt idx="9">
                  <c:v>-5.9694688661480697</c:v>
                </c:pt>
                <c:pt idx="10">
                  <c:v>-5.3130452823452643</c:v>
                </c:pt>
                <c:pt idx="11">
                  <c:v>-4.3906746851454663</c:v>
                </c:pt>
                <c:pt idx="12">
                  <c:v>-3.4483862845644371</c:v>
                </c:pt>
                <c:pt idx="13">
                  <c:v>-2.6422399828692669</c:v>
                </c:pt>
                <c:pt idx="14">
                  <c:v>-2.03256184846426</c:v>
                </c:pt>
                <c:pt idx="15">
                  <c:v>-1.6130344614685526</c:v>
                </c:pt>
                <c:pt idx="16">
                  <c:v>-1.3455265847202833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6AF-4789-8499-C7FE36511C27}"/>
            </c:ext>
          </c:extLst>
        </c:ser>
        <c:ser>
          <c:idx val="5"/>
          <c:order val="5"/>
          <c:tx>
            <c:strRef>
              <c:f>Greeks!$G$95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>
                <a:shade val="86000"/>
              </a:schemeClr>
            </a:solidFill>
            <a:ln/>
            <a:effectLst/>
            <a:sp3d/>
          </c:spPr>
          <c:cat>
            <c:numRef>
              <c:f>Greeks!$A$96:$A$112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Greeks!$G$96:$G$112</c:f>
              <c:numCache>
                <c:formatCode>General</c:formatCode>
                <c:ptCount val="17"/>
                <c:pt idx="0">
                  <c:v>-2.0032473352245964E-2</c:v>
                </c:pt>
                <c:pt idx="1">
                  <c:v>-9.8573445641386703E-2</c:v>
                </c:pt>
                <c:pt idx="2">
                  <c:v>-0.34003554821793547</c:v>
                </c:pt>
                <c:pt idx="3">
                  <c:v>-0.87773913326975805</c:v>
                </c:pt>
                <c:pt idx="4">
                  <c:v>-1.7837190840052652</c:v>
                </c:pt>
                <c:pt idx="5">
                  <c:v>-2.9707583409544625</c:v>
                </c:pt>
                <c:pt idx="6">
                  <c:v>-4.1886080467823206</c:v>
                </c:pt>
                <c:pt idx="7">
                  <c:v>-5.1347413667888864</c:v>
                </c:pt>
                <c:pt idx="8">
                  <c:v>-5.5973293636636168</c:v>
                </c:pt>
                <c:pt idx="9">
                  <c:v>-5.5330676186549903</c:v>
                </c:pt>
                <c:pt idx="10">
                  <c:v>-5.0492792420675681</c:v>
                </c:pt>
                <c:pt idx="11">
                  <c:v>-4.3277209587638472</c:v>
                </c:pt>
                <c:pt idx="12">
                  <c:v>-3.5460436869198673</c:v>
                </c:pt>
                <c:pt idx="13">
                  <c:v>-2.8309496858580201</c:v>
                </c:pt>
                <c:pt idx="14">
                  <c:v>-2.247247874476404</c:v>
                </c:pt>
                <c:pt idx="15">
                  <c:v>-1.8099035448917213</c:v>
                </c:pt>
                <c:pt idx="16">
                  <c:v>-1.5038014799888173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6AF-4789-8499-C7FE36511C27}"/>
            </c:ext>
          </c:extLst>
        </c:ser>
        <c:ser>
          <c:idx val="6"/>
          <c:order val="6"/>
          <c:tx>
            <c:strRef>
              <c:f>Greeks!$H$95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6">
                <a:shade val="95000"/>
              </a:schemeClr>
            </a:solidFill>
            <a:ln/>
            <a:effectLst/>
            <a:sp3d/>
          </c:spPr>
          <c:cat>
            <c:numRef>
              <c:f>Greeks!$A$96:$A$112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Greeks!$H$96:$H$112</c:f>
              <c:numCache>
                <c:formatCode>General</c:formatCode>
                <c:ptCount val="17"/>
                <c:pt idx="0">
                  <c:v>-4.0406065515891584E-2</c:v>
                </c:pt>
                <c:pt idx="1">
                  <c:v>-0.15893788971464368</c:v>
                </c:pt>
                <c:pt idx="2">
                  <c:v>-0.46105974622851981</c:v>
                </c:pt>
                <c:pt idx="3">
                  <c:v>-1.0431643769325487</c:v>
                </c:pt>
                <c:pt idx="4">
                  <c:v>-1.9228078610881789</c:v>
                </c:pt>
                <c:pt idx="5">
                  <c:v>-2.9888258321013366</c:v>
                </c:pt>
                <c:pt idx="6">
                  <c:v>-4.0285092134666716</c:v>
                </c:pt>
                <c:pt idx="7">
                  <c:v>-4.8174757710844407</c:v>
                </c:pt>
                <c:pt idx="8">
                  <c:v>-5.2108141079548362</c:v>
                </c:pt>
                <c:pt idx="9">
                  <c:v>-5.1840552369114281</c:v>
                </c:pt>
                <c:pt idx="10">
                  <c:v>-4.8157326385500134</c:v>
                </c:pt>
                <c:pt idx="11">
                  <c:v>-4.2371832209563971</c:v>
                </c:pt>
                <c:pt idx="12">
                  <c:v>-3.581581887146366</c:v>
                </c:pt>
                <c:pt idx="13">
                  <c:v>-2.9514204560701218</c:v>
                </c:pt>
                <c:pt idx="14">
                  <c:v>-2.4076987373616454</c:v>
                </c:pt>
                <c:pt idx="15">
                  <c:v>-1.9744754246605911</c:v>
                </c:pt>
                <c:pt idx="16">
                  <c:v>-1.6502275327719942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6AF-4789-8499-C7FE36511C27}"/>
            </c:ext>
          </c:extLst>
        </c:ser>
        <c:ser>
          <c:idx val="7"/>
          <c:order val="7"/>
          <c:tx>
            <c:strRef>
              <c:f>Greeks!$I$95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6">
                <a:tint val="96000"/>
              </a:schemeClr>
            </a:solidFill>
            <a:ln/>
            <a:effectLst/>
            <a:sp3d/>
          </c:spPr>
          <c:cat>
            <c:numRef>
              <c:f>Greeks!$A$96:$A$112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Greeks!$I$96:$I$112</c:f>
              <c:numCache>
                <c:formatCode>General</c:formatCode>
                <c:ptCount val="17"/>
                <c:pt idx="0">
                  <c:v>-6.7808191954544517E-2</c:v>
                </c:pt>
                <c:pt idx="1">
                  <c:v>-0.22550760485640103</c:v>
                </c:pt>
                <c:pt idx="2">
                  <c:v>-0.57451031596985147</c:v>
                </c:pt>
                <c:pt idx="3">
                  <c:v>-1.1775852389200596</c:v>
                </c:pt>
                <c:pt idx="4">
                  <c:v>-2.0175482659103769</c:v>
                </c:pt>
                <c:pt idx="5">
                  <c:v>-2.978066514680576</c:v>
                </c:pt>
                <c:pt idx="6">
                  <c:v>-3.8808721056250692</c:v>
                </c:pt>
                <c:pt idx="7">
                  <c:v>-4.5554602729850719</c:v>
                </c:pt>
                <c:pt idx="8">
                  <c:v>-4.8986703743347455</c:v>
                </c:pt>
                <c:pt idx="9">
                  <c:v>-4.896703310758947</c:v>
                </c:pt>
                <c:pt idx="10">
                  <c:v>-4.6096885573617934</c:v>
                </c:pt>
                <c:pt idx="11">
                  <c:v>-4.1366741115505103</c:v>
                </c:pt>
                <c:pt idx="12">
                  <c:v>-3.5806527563858634</c:v>
                </c:pt>
                <c:pt idx="13">
                  <c:v>-3.025216786751137</c:v>
                </c:pt>
                <c:pt idx="14">
                  <c:v>-2.5251731609638335</c:v>
                </c:pt>
                <c:pt idx="15">
                  <c:v>-2.1077036537333607</c:v>
                </c:pt>
                <c:pt idx="16">
                  <c:v>-1.7789900844037503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6AF-4789-8499-C7FE36511C27}"/>
            </c:ext>
          </c:extLst>
        </c:ser>
        <c:ser>
          <c:idx val="8"/>
          <c:order val="8"/>
          <c:tx>
            <c:strRef>
              <c:f>Greeks!$J$95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6">
                <a:tint val="86000"/>
              </a:schemeClr>
            </a:solidFill>
            <a:ln/>
            <a:effectLst/>
            <a:sp3d/>
          </c:spPr>
          <c:cat>
            <c:numRef>
              <c:f>Greeks!$A$96:$A$112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Greeks!$J$96:$J$112</c:f>
              <c:numCache>
                <c:formatCode>General</c:formatCode>
                <c:ptCount val="17"/>
                <c:pt idx="0">
                  <c:v>-0.10076101954498543</c:v>
                </c:pt>
                <c:pt idx="1">
                  <c:v>-0.29410036236108139</c:v>
                </c:pt>
                <c:pt idx="2">
                  <c:v>-0.67732466889585341</c:v>
                </c:pt>
                <c:pt idx="3">
                  <c:v>-1.2857297128434393</c:v>
                </c:pt>
                <c:pt idx="4">
                  <c:v>-2.0811799747457029</c:v>
                </c:pt>
                <c:pt idx="5">
                  <c:v>-2.9510460809802979</c:v>
                </c:pt>
                <c:pt idx="6">
                  <c:v>-3.7462031069995496</c:v>
                </c:pt>
                <c:pt idx="7">
                  <c:v>-4.3343136323550571</c:v>
                </c:pt>
                <c:pt idx="8">
                  <c:v>-4.6396311066685483</c:v>
                </c:pt>
                <c:pt idx="9">
                  <c:v>-4.6547310280285252</c:v>
                </c:pt>
                <c:pt idx="10">
                  <c:v>-4.42726352008623</c:v>
                </c:pt>
                <c:pt idx="11">
                  <c:v>-4.0344543938715578</c:v>
                </c:pt>
                <c:pt idx="12">
                  <c:v>-3.5580381256162892</c:v>
                </c:pt>
                <c:pt idx="13">
                  <c:v>-3.0669919421480571</c:v>
                </c:pt>
                <c:pt idx="14">
                  <c:v>-2.6097044437216996</c:v>
                </c:pt>
                <c:pt idx="15">
                  <c:v>-2.21359973364024</c:v>
                </c:pt>
                <c:pt idx="16">
                  <c:v>-1.8890358974379682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AF-4789-8499-C7FE36511C27}"/>
            </c:ext>
          </c:extLst>
        </c:ser>
        <c:ser>
          <c:idx val="9"/>
          <c:order val="9"/>
          <c:tx>
            <c:strRef>
              <c:f>Greeks!$K$95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/>
            <a:effectLst/>
            <a:sp3d/>
          </c:spPr>
          <c:cat>
            <c:numRef>
              <c:f>Greeks!$A$96:$A$112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Greeks!$K$96:$K$112</c:f>
              <c:numCache>
                <c:formatCode>General</c:formatCode>
                <c:ptCount val="17"/>
                <c:pt idx="0">
                  <c:v>-0.13760097145391417</c:v>
                </c:pt>
                <c:pt idx="1">
                  <c:v>-0.36182997641875553</c:v>
                </c:pt>
                <c:pt idx="2">
                  <c:v>-0.76870309122964575</c:v>
                </c:pt>
                <c:pt idx="3">
                  <c:v>-1.3723294458451327</c:v>
                </c:pt>
                <c:pt idx="4">
                  <c:v>-2.1227536936129181</c:v>
                </c:pt>
                <c:pt idx="5">
                  <c:v>-2.9149147413399148</c:v>
                </c:pt>
                <c:pt idx="6">
                  <c:v>-3.6236590248930369</c:v>
                </c:pt>
                <c:pt idx="7">
                  <c:v>-4.1443800816070882</c:v>
                </c:pt>
                <c:pt idx="8">
                  <c:v>-4.4200778145480362</c:v>
                </c:pt>
                <c:pt idx="9">
                  <c:v>-4.4472859830090457</c:v>
                </c:pt>
                <c:pt idx="10">
                  <c:v>-4.2647974639673336</c:v>
                </c:pt>
                <c:pt idx="11">
                  <c:v>-3.9344485153602449</c:v>
                </c:pt>
                <c:pt idx="12">
                  <c:v>-3.5225170124662251</c:v>
                </c:pt>
                <c:pt idx="13">
                  <c:v>-3.0866178820284627</c:v>
                </c:pt>
                <c:pt idx="14">
                  <c:v>-2.6692412521270028</c:v>
                </c:pt>
                <c:pt idx="15">
                  <c:v>-2.2967098908445056</c:v>
                </c:pt>
                <c:pt idx="16">
                  <c:v>-1.9814702357676792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6AF-4789-8499-C7FE36511C27}"/>
            </c:ext>
          </c:extLst>
        </c:ser>
        <c:ser>
          <c:idx val="10"/>
          <c:order val="10"/>
          <c:tx>
            <c:strRef>
              <c:f>Greeks!$L$95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6">
                <a:tint val="68000"/>
              </a:schemeClr>
            </a:solidFill>
            <a:ln/>
            <a:effectLst/>
            <a:sp3d/>
          </c:spPr>
          <c:cat>
            <c:numRef>
              <c:f>Greeks!$A$96:$A$112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Greeks!$L$96:$L$112</c:f>
              <c:numCache>
                <c:formatCode>General</c:formatCode>
                <c:ptCount val="17"/>
                <c:pt idx="0">
                  <c:v>-0.50487343419046049</c:v>
                </c:pt>
                <c:pt idx="1">
                  <c:v>-0.83089533972245266</c:v>
                </c:pt>
                <c:pt idx="2">
                  <c:v>-1.2288280781032317</c:v>
                </c:pt>
                <c:pt idx="3">
                  <c:v>-1.6657947474499215</c:v>
                </c:pt>
                <c:pt idx="4">
                  <c:v>-2.1020438933344709</c:v>
                </c:pt>
                <c:pt idx="5">
                  <c:v>-2.4995896850909696</c:v>
                </c:pt>
                <c:pt idx="6">
                  <c:v>-2.8287067427962778</c:v>
                </c:pt>
                <c:pt idx="7">
                  <c:v>-3.0711981252103762</c:v>
                </c:pt>
                <c:pt idx="8">
                  <c:v>-3.2206567843562808</c:v>
                </c:pt>
                <c:pt idx="9">
                  <c:v>-3.2806364102898713</c:v>
                </c:pt>
                <c:pt idx="10">
                  <c:v>-3.261792103740583</c:v>
                </c:pt>
                <c:pt idx="11">
                  <c:v>-3.1788613398903767</c:v>
                </c:pt>
                <c:pt idx="12">
                  <c:v>-3.0480426310709894</c:v>
                </c:pt>
                <c:pt idx="13">
                  <c:v>-2.885031827407516</c:v>
                </c:pt>
                <c:pt idx="14">
                  <c:v>-2.7037571441039283</c:v>
                </c:pt>
                <c:pt idx="15">
                  <c:v>-2.5157244578946338</c:v>
                </c:pt>
                <c:pt idx="16">
                  <c:v>-2.3298282001989383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6AF-4789-8499-C7FE36511C27}"/>
            </c:ext>
          </c:extLst>
        </c:ser>
        <c:ser>
          <c:idx val="11"/>
          <c:order val="11"/>
          <c:tx>
            <c:strRef>
              <c:f>Greeks!$M$95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tint val="58000"/>
              </a:schemeClr>
            </a:solidFill>
            <a:ln/>
            <a:effectLst/>
            <a:sp3d/>
          </c:spPr>
          <c:cat>
            <c:numRef>
              <c:f>Greeks!$A$96:$A$112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Greeks!$M$96:$M$112</c:f>
              <c:numCache>
                <c:formatCode>General</c:formatCode>
                <c:ptCount val="17"/>
                <c:pt idx="0">
                  <c:v>-0.71823551587097556</c:v>
                </c:pt>
                <c:pt idx="1">
                  <c:v>-1.0118325385721587</c:v>
                </c:pt>
                <c:pt idx="2">
                  <c:v>-1.3270905927474668</c:v>
                </c:pt>
                <c:pt idx="3">
                  <c:v>-1.6421461549550194</c:v>
                </c:pt>
                <c:pt idx="4">
                  <c:v>-1.937029066470157</c:v>
                </c:pt>
                <c:pt idx="5">
                  <c:v>-2.1960091181107821</c:v>
                </c:pt>
                <c:pt idx="6">
                  <c:v>-2.4086335119519844</c:v>
                </c:pt>
                <c:pt idx="7">
                  <c:v>-2.5697082491994965</c:v>
                </c:pt>
                <c:pt idx="8">
                  <c:v>-2.6785916148822886</c:v>
                </c:pt>
                <c:pt idx="9">
                  <c:v>-2.7381483840361835</c:v>
                </c:pt>
                <c:pt idx="10">
                  <c:v>-2.7536309795173581</c:v>
                </c:pt>
                <c:pt idx="11">
                  <c:v>-2.7316580533040917</c:v>
                </c:pt>
                <c:pt idx="12">
                  <c:v>-2.6793781545001574</c:v>
                </c:pt>
                <c:pt idx="13">
                  <c:v>-2.6038458442816586</c:v>
                </c:pt>
                <c:pt idx="14">
                  <c:v>-2.5115997348664667</c:v>
                </c:pt>
                <c:pt idx="15">
                  <c:v>-2.4084120912359803</c:v>
                </c:pt>
                <c:pt idx="16">
                  <c:v>-2.2991724277172452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6AF-4789-8499-C7FE36511C27}"/>
            </c:ext>
          </c:extLst>
        </c:ser>
        <c:ser>
          <c:idx val="12"/>
          <c:order val="12"/>
          <c:tx>
            <c:strRef>
              <c:f>Greeks!$N$95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6">
                <a:tint val="49000"/>
              </a:schemeClr>
            </a:solidFill>
            <a:ln/>
            <a:effectLst/>
            <a:sp3d/>
          </c:spPr>
          <c:cat>
            <c:numRef>
              <c:f>Greeks!$A$96:$A$112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Greeks!$N$96:$N$112</c:f>
              <c:numCache>
                <c:formatCode>General</c:formatCode>
                <c:ptCount val="17"/>
                <c:pt idx="0">
                  <c:v>-0.82350159605647766</c:v>
                </c:pt>
                <c:pt idx="1">
                  <c:v>-1.0736761061365223</c:v>
                </c:pt>
                <c:pt idx="2">
                  <c:v>-1.3264519660887186</c:v>
                </c:pt>
                <c:pt idx="3">
                  <c:v>-1.5684360973535147</c:v>
                </c:pt>
                <c:pt idx="4">
                  <c:v>-1.7888923915920518</c:v>
                </c:pt>
                <c:pt idx="5">
                  <c:v>-1.9802656786724686</c:v>
                </c:pt>
                <c:pt idx="6">
                  <c:v>-2.1381475393542368</c:v>
                </c:pt>
                <c:pt idx="7">
                  <c:v>-2.2608931215641359</c:v>
                </c:pt>
                <c:pt idx="8">
                  <c:v>-2.3490676314387358</c:v>
                </c:pt>
                <c:pt idx="9">
                  <c:v>-2.4048521549857802</c:v>
                </c:pt>
                <c:pt idx="10">
                  <c:v>-2.4314903567491921</c:v>
                </c:pt>
                <c:pt idx="11">
                  <c:v>-2.4328188803790538</c:v>
                </c:pt>
                <c:pt idx="12">
                  <c:v>-2.412896913814671</c:v>
                </c:pt>
                <c:pt idx="13">
                  <c:v>-2.3757331666467798</c:v>
                </c:pt>
                <c:pt idx="14">
                  <c:v>-2.3250990933122937</c:v>
                </c:pt>
                <c:pt idx="15">
                  <c:v>-2.2644131784331818</c:v>
                </c:pt>
                <c:pt idx="16">
                  <c:v>-2.1966804739906904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6AF-4789-8499-C7FE36511C27}"/>
            </c:ext>
          </c:extLst>
        </c:ser>
        <c:ser>
          <c:idx val="13"/>
          <c:order val="13"/>
          <c:tx>
            <c:strRef>
              <c:f>Greeks!$O$95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6">
                <a:tint val="40000"/>
              </a:schemeClr>
            </a:solidFill>
            <a:ln/>
            <a:effectLst/>
            <a:sp3d/>
          </c:spPr>
          <c:cat>
            <c:numRef>
              <c:f>Greeks!$A$96:$A$112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Greeks!$O$96:$O$112</c:f>
              <c:numCache>
                <c:formatCode>General</c:formatCode>
                <c:ptCount val="17"/>
                <c:pt idx="0">
                  <c:v>-0.87286617052590232</c:v>
                </c:pt>
                <c:pt idx="1">
                  <c:v>-1.0865140526166011</c:v>
                </c:pt>
                <c:pt idx="2">
                  <c:v>-1.295122823426228</c:v>
                </c:pt>
                <c:pt idx="3">
                  <c:v>-1.4902810165017013</c:v>
                </c:pt>
                <c:pt idx="4">
                  <c:v>-1.665812016068891</c:v>
                </c:pt>
                <c:pt idx="5">
                  <c:v>-1.8177553654206444</c:v>
                </c:pt>
                <c:pt idx="6">
                  <c:v>-1.9441194313891628</c:v>
                </c:pt>
                <c:pt idx="7">
                  <c:v>-2.0445236331417487</c:v>
                </c:pt>
                <c:pt idx="8">
                  <c:v>-2.1198126421010919</c:v>
                </c:pt>
                <c:pt idx="9">
                  <c:v>-2.1716932465298098</c:v>
                </c:pt>
                <c:pt idx="10">
                  <c:v>-2.2024204397098712</c:v>
                </c:pt>
                <c:pt idx="11">
                  <c:v>-2.2145427852973048</c:v>
                </c:pt>
                <c:pt idx="12">
                  <c:v>-2.2107068879361922</c:v>
                </c:pt>
                <c:pt idx="13">
                  <c:v>-2.1935151829262223</c:v>
                </c:pt>
                <c:pt idx="14">
                  <c:v>-2.1654287536019421</c:v>
                </c:pt>
                <c:pt idx="15">
                  <c:v>-2.1287063151543002</c:v>
                </c:pt>
                <c:pt idx="16">
                  <c:v>-2.0853710293053753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6AF-4789-8499-C7FE36511C27}"/>
            </c:ext>
          </c:extLst>
        </c:ser>
        <c:bandFmts>
          <c:bandFmt>
            <c:idx val="0"/>
            <c:spPr>
              <a:solidFill>
                <a:schemeClr val="accent6">
                  <a:shade val="45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6">
                  <a:shade val="61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6">
                  <a:shade val="76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6">
                  <a:shade val="92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6">
                  <a:tint val="9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>
                  <a:tint val="77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6">
                  <a:tint val="62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6">
                  <a:tint val="46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6">
                  <a:tint val="3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6">
                  <a:tint val="1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6">
                  <a:tint val="99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tint val="84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6">
                  <a:tint val="68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6">
                  <a:tint val="53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6">
                  <a:tint val="37000"/>
                </a:schemeClr>
              </a:solidFill>
              <a:ln/>
              <a:effectLst/>
              <a:sp3d/>
            </c:spPr>
          </c:bandFmt>
        </c:bandFmts>
        <c:axId val="963767208"/>
        <c:axId val="963772128"/>
        <c:axId val="961873856"/>
      </c:surface3DChart>
      <c:catAx>
        <c:axId val="963767208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it-IT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 [$]</a:t>
                </a:r>
              </a:p>
            </c:rich>
          </c:tx>
          <c:layout>
            <c:manualLayout>
              <c:xMode val="edge"/>
              <c:yMode val="edge"/>
              <c:x val="0.39120092592592592"/>
              <c:y val="0.1243219696969696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963772128"/>
        <c:crosses val="autoZero"/>
        <c:auto val="1"/>
        <c:lblAlgn val="ctr"/>
        <c:lblOffset val="100"/>
        <c:noMultiLvlLbl val="0"/>
      </c:catAx>
      <c:valAx>
        <c:axId val="9637721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l-GR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ϴ</a:t>
                </a:r>
                <a:endParaRPr lang="it-IT" sz="1200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84481314814814812"/>
              <c:y val="0.498230050505050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963767208"/>
        <c:crosses val="autoZero"/>
        <c:crossBetween val="midCat"/>
      </c:valAx>
      <c:serAx>
        <c:axId val="961873856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l-GR" sz="1200" b="0" i="0" baseline="0">
                    <a:effectLst/>
                  </a:rPr>
                  <a:t>τ</a:t>
                </a:r>
                <a:r>
                  <a:rPr lang="it-IT" sz="1200" b="0" i="0" baseline="0">
                    <a:effectLst/>
                  </a:rPr>
                  <a:t> [years]</a:t>
                </a:r>
                <a:endParaRPr lang="it-IT" sz="1200">
                  <a:effectLst/>
                </a:endParaRPr>
              </a:p>
            </c:rich>
          </c:tx>
          <c:layout>
            <c:manualLayout>
              <c:xMode val="edge"/>
              <c:yMode val="edge"/>
              <c:x val="0.86341981481481478"/>
              <c:y val="0.2600123737373737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963772128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l-GR" sz="180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ρ</a:t>
            </a:r>
            <a:r>
              <a:rPr lang="it-IT" sz="180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plot for </a:t>
            </a:r>
            <a:r>
              <a:rPr lang="el-GR" sz="180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σ</a:t>
            </a:r>
            <a:r>
              <a:rPr lang="it-IT" sz="180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=0,2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20"/>
      <c:rAngAx val="0"/>
    </c:view3D>
    <c:floor>
      <c:thickness val="0"/>
      <c:spPr>
        <a:noFill/>
        <a:ln w="635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1183888888888889E-2"/>
          <c:y val="0.13052777777777777"/>
          <c:w val="0.80087648148148149"/>
          <c:h val="0.78386515151515157"/>
        </c:manualLayout>
      </c:layout>
      <c:surface3DChart>
        <c:wireframe val="0"/>
        <c:ser>
          <c:idx val="0"/>
          <c:order val="0"/>
          <c:tx>
            <c:strRef>
              <c:f>Greeks!$B$119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2">
                <a:shade val="39000"/>
              </a:schemeClr>
            </a:solidFill>
            <a:ln/>
            <a:effectLst/>
            <a:sp3d/>
          </c:spPr>
          <c:cat>
            <c:numRef>
              <c:f>Greeks!$A$120:$A$136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Greeks!$B$120:$B$136</c:f>
              <c:numCache>
                <c:formatCode>General</c:formatCode>
                <c:ptCount val="17"/>
                <c:pt idx="0">
                  <c:v>2.9155373317769574E-15</c:v>
                </c:pt>
                <c:pt idx="1">
                  <c:v>4.3284662987202277E-11</c:v>
                </c:pt>
                <c:pt idx="2">
                  <c:v>7.7692467200589755E-8</c:v>
                </c:pt>
                <c:pt idx="3">
                  <c:v>2.5013539023405381E-5</c:v>
                </c:pt>
                <c:pt idx="4">
                  <c:v>1.9684019476440403E-3</c:v>
                </c:pt>
                <c:pt idx="5">
                  <c:v>4.8575796157643812E-2</c:v>
                </c:pt>
                <c:pt idx="6">
                  <c:v>0.46266505291057575</c:v>
                </c:pt>
                <c:pt idx="7">
                  <c:v>2.0396276517295933</c:v>
                </c:pt>
                <c:pt idx="8">
                  <c:v>4.9319898584384116</c:v>
                </c:pt>
                <c:pt idx="9">
                  <c:v>7.7428944428213189</c:v>
                </c:pt>
                <c:pt idx="10">
                  <c:v>9.3111062933054924</c:v>
                </c:pt>
                <c:pt idx="11">
                  <c:v>9.8489758625579285</c:v>
                </c:pt>
                <c:pt idx="12">
                  <c:v>9.9693029945287854</c:v>
                </c:pt>
                <c:pt idx="13">
                  <c:v>9.9877868050641503</c:v>
                </c:pt>
                <c:pt idx="14">
                  <c:v>9.989825783141761</c:v>
                </c:pt>
                <c:pt idx="15">
                  <c:v>9.9899937425487071</c:v>
                </c:pt>
                <c:pt idx="16">
                  <c:v>9.9900044333117659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8D-4009-B1C0-0FAC9F306C03}"/>
            </c:ext>
          </c:extLst>
        </c:ser>
        <c:ser>
          <c:idx val="1"/>
          <c:order val="1"/>
          <c:tx>
            <c:strRef>
              <c:f>Greeks!$C$119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>
                <a:shade val="48000"/>
              </a:schemeClr>
            </a:solidFill>
            <a:ln/>
            <a:effectLst/>
            <a:sp3d/>
          </c:spPr>
          <c:cat>
            <c:numRef>
              <c:f>Greeks!$A$120:$A$136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Greeks!$C$120:$C$136</c:f>
              <c:numCache>
                <c:formatCode>General</c:formatCode>
                <c:ptCount val="17"/>
                <c:pt idx="0">
                  <c:v>9.8144996773923596E-8</c:v>
                </c:pt>
                <c:pt idx="1">
                  <c:v>1.3045620291245922E-5</c:v>
                </c:pt>
                <c:pt idx="2">
                  <c:v>6.0569776566511083E-4</c:v>
                </c:pt>
                <c:pt idx="3">
                  <c:v>1.1981739309242229E-2</c:v>
                </c:pt>
                <c:pt idx="4">
                  <c:v>0.11806153679816479</c:v>
                </c:pt>
                <c:pt idx="5">
                  <c:v>0.65728086131009644</c:v>
                </c:pt>
                <c:pt idx="6">
                  <c:v>2.2955278113909654</c:v>
                </c:pt>
                <c:pt idx="7">
                  <c:v>5.5018256030450017</c:v>
                </c:pt>
                <c:pt idx="8">
                  <c:v>9.8019788801767227</c:v>
                </c:pt>
                <c:pt idx="9">
                  <c:v>13.963207315360485</c:v>
                </c:pt>
                <c:pt idx="10">
                  <c:v>16.997597069863819</c:v>
                </c:pt>
                <c:pt idx="11">
                  <c:v>18.727453260072849</c:v>
                </c:pt>
                <c:pt idx="12">
                  <c:v>19.522974084010123</c:v>
                </c:pt>
                <c:pt idx="13">
                  <c:v>19.826121374631196</c:v>
                </c:pt>
                <c:pt idx="14">
                  <c:v>19.924080062887658</c:v>
                </c:pt>
                <c:pt idx="15">
                  <c:v>19.95146289139338</c:v>
                </c:pt>
                <c:pt idx="16">
                  <c:v>19.958199888181856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8D-4009-B1C0-0FAC9F306C03}"/>
            </c:ext>
          </c:extLst>
        </c:ser>
        <c:ser>
          <c:idx val="2"/>
          <c:order val="2"/>
          <c:tx>
            <c:strRef>
              <c:f>Greeks!$D$119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Greeks!$A$120:$A$136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Greeks!$D$120:$D$136</c:f>
              <c:numCache>
                <c:formatCode>General</c:formatCode>
                <c:ptCount val="17"/>
                <c:pt idx="0">
                  <c:v>4.0745379654174123E-5</c:v>
                </c:pt>
                <c:pt idx="1">
                  <c:v>1.1214508890306986E-3</c:v>
                </c:pt>
                <c:pt idx="2">
                  <c:v>1.5340110803905882E-2</c:v>
                </c:pt>
                <c:pt idx="3">
                  <c:v>0.11911631216126904</c:v>
                </c:pt>
                <c:pt idx="4">
                  <c:v>0.58294742224800944</c:v>
                </c:pt>
                <c:pt idx="5">
                  <c:v>1.9560484482833893</c:v>
                </c:pt>
                <c:pt idx="6">
                  <c:v>4.8240469025865851</c:v>
                </c:pt>
                <c:pt idx="7">
                  <c:v>9.2744913252504038</c:v>
                </c:pt>
                <c:pt idx="8">
                  <c:v>14.628325566737619</c:v>
                </c:pt>
                <c:pt idx="9">
                  <c:v>19.801355879149483</c:v>
                </c:pt>
                <c:pt idx="10">
                  <c:v>23.936909463006028</c:v>
                </c:pt>
                <c:pt idx="11">
                  <c:v>26.741714753531923</c:v>
                </c:pt>
                <c:pt idx="12">
                  <c:v>28.39016422301777</c:v>
                </c:pt>
                <c:pt idx="13">
                  <c:v>29.245072006046918</c:v>
                </c:pt>
                <c:pt idx="14">
                  <c:v>29.642425234579132</c:v>
                </c:pt>
                <c:pt idx="15">
                  <c:v>29.81017221563636</c:v>
                </c:pt>
                <c:pt idx="16">
                  <c:v>29.875241343482667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8D-4009-B1C0-0FAC9F306C03}"/>
            </c:ext>
          </c:extLst>
        </c:ser>
        <c:ser>
          <c:idx val="3"/>
          <c:order val="3"/>
          <c:tx>
            <c:strRef>
              <c:f>Greeks!$E$119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2">
                <a:shade val="67000"/>
              </a:schemeClr>
            </a:solidFill>
            <a:ln/>
            <a:effectLst/>
            <a:sp3d/>
          </c:spPr>
          <c:cat>
            <c:numRef>
              <c:f>Greeks!$A$120:$A$136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Greeks!$E$120:$E$136</c:f>
              <c:numCache>
                <c:formatCode>General</c:formatCode>
                <c:ptCount val="17"/>
                <c:pt idx="0">
                  <c:v>9.3629247971002423E-4</c:v>
                </c:pt>
                <c:pt idx="1">
                  <c:v>1.1705675325644333E-2</c:v>
                </c:pt>
                <c:pt idx="2">
                  <c:v>8.6710702538517648E-2</c:v>
                </c:pt>
                <c:pt idx="3">
                  <c:v>0.42058365657656555</c:v>
                </c:pt>
                <c:pt idx="4">
                  <c:v>1.4449660567580991</c:v>
                </c:pt>
                <c:pt idx="5">
                  <c:v>3.7454643863001102</c:v>
                </c:pt>
                <c:pt idx="6">
                  <c:v>7.7145681524544081</c:v>
                </c:pt>
                <c:pt idx="7">
                  <c:v>13.18745877873687</c:v>
                </c:pt>
                <c:pt idx="8">
                  <c:v>19.417631512966548</c:v>
                </c:pt>
                <c:pt idx="9">
                  <c:v>25.432746553601696</c:v>
                </c:pt>
                <c:pt idx="10">
                  <c:v>30.47039056162674</c:v>
                </c:pt>
                <c:pt idx="11">
                  <c:v>34.200126589648207</c:v>
                </c:pt>
                <c:pt idx="12">
                  <c:v>36.680746478076991</c:v>
                </c:pt>
                <c:pt idx="13">
                  <c:v>38.183205335550987</c:v>
                </c:pt>
                <c:pt idx="14">
                  <c:v>39.021658405667154</c:v>
                </c:pt>
                <c:pt idx="15">
                  <c:v>39.457121776080648</c:v>
                </c:pt>
                <c:pt idx="16">
                  <c:v>39.669441320637574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8D-4009-B1C0-0FAC9F306C03}"/>
            </c:ext>
          </c:extLst>
        </c:ser>
        <c:ser>
          <c:idx val="4"/>
          <c:order val="4"/>
          <c:tx>
            <c:strRef>
              <c:f>Greeks!$F$119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Greeks!$A$120:$A$136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Greeks!$F$120:$F$136</c:f>
              <c:numCache>
                <c:formatCode>General</c:formatCode>
                <c:ptCount val="17"/>
                <c:pt idx="0">
                  <c:v>6.5886799235162358E-3</c:v>
                </c:pt>
                <c:pt idx="1">
                  <c:v>5.1241821470043636E-2</c:v>
                </c:pt>
                <c:pt idx="2">
                  <c:v>0.26230859396038009</c:v>
                </c:pt>
                <c:pt idx="3">
                  <c:v>0.95750502791312742</c:v>
                </c:pt>
                <c:pt idx="4">
                  <c:v>2.6541221761137002</c:v>
                </c:pt>
                <c:pt idx="5">
                  <c:v>5.8755556011287497</c:v>
                </c:pt>
                <c:pt idx="6">
                  <c:v>10.82511559814913</c:v>
                </c:pt>
                <c:pt idx="7">
                  <c:v>17.178656648502809</c:v>
                </c:pt>
                <c:pt idx="8">
                  <c:v>24.173738548666901</c:v>
                </c:pt>
                <c:pt idx="9">
                  <c:v>30.924184743469112</c:v>
                </c:pt>
                <c:pt idx="10">
                  <c:v>36.738595144398111</c:v>
                </c:pt>
                <c:pt idx="11">
                  <c:v>41.277215823472964</c:v>
                </c:pt>
                <c:pt idx="12">
                  <c:v>44.52940714583994</c:v>
                </c:pt>
                <c:pt idx="13">
                  <c:v>46.692198548977835</c:v>
                </c:pt>
                <c:pt idx="14">
                  <c:v>48.039616695751533</c:v>
                </c:pt>
                <c:pt idx="15">
                  <c:v>48.832355634235022</c:v>
                </c:pt>
                <c:pt idx="16">
                  <c:v>49.275873716227721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8D-4009-B1C0-0FAC9F306C03}"/>
            </c:ext>
          </c:extLst>
        </c:ser>
        <c:ser>
          <c:idx val="5"/>
          <c:order val="5"/>
          <c:tx>
            <c:strRef>
              <c:f>Greeks!$G$119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Greeks!$A$120:$A$136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Greeks!$G$120:$G$136</c:f>
              <c:numCache>
                <c:formatCode>General</c:formatCode>
                <c:ptCount val="17"/>
                <c:pt idx="0">
                  <c:v>2.5336754690401989E-2</c:v>
                </c:pt>
                <c:pt idx="1">
                  <c:v>0.14346745368583744</c:v>
                </c:pt>
                <c:pt idx="2">
                  <c:v>0.57342650040421816</c:v>
                </c:pt>
                <c:pt idx="3">
                  <c:v>1.7295450873604499</c:v>
                </c:pt>
                <c:pt idx="4">
                  <c:v>4.1483206002554978</c:v>
                </c:pt>
                <c:pt idx="5">
                  <c:v>8.2510457333700931</c:v>
                </c:pt>
                <c:pt idx="6">
                  <c:v>14.082638092999998</c:v>
                </c:pt>
                <c:pt idx="7">
                  <c:v>21.217661617090137</c:v>
                </c:pt>
                <c:pt idx="8">
                  <c:v>28.899256857821801</c:v>
                </c:pt>
                <c:pt idx="9">
                  <c:v>36.309866980005239</c:v>
                </c:pt>
                <c:pt idx="10">
                  <c:v>42.813919395874585</c:v>
                </c:pt>
                <c:pt idx="11">
                  <c:v>48.073652121744175</c:v>
                </c:pt>
                <c:pt idx="12">
                  <c:v>52.035124616342841</c:v>
                </c:pt>
                <c:pt idx="13">
                  <c:v>54.839430840815325</c:v>
                </c:pt>
                <c:pt idx="14">
                  <c:v>56.719853041525752</c:v>
                </c:pt>
                <c:pt idx="15">
                  <c:v>57.922265459566475</c:v>
                </c:pt>
                <c:pt idx="16">
                  <c:v>58.659707295076835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8D-4009-B1C0-0FAC9F306C03}"/>
            </c:ext>
          </c:extLst>
        </c:ser>
        <c:ser>
          <c:idx val="6"/>
          <c:order val="6"/>
          <c:tx>
            <c:strRef>
              <c:f>Greeks!$H$119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2">
                <a:shade val="95000"/>
              </a:schemeClr>
            </a:solidFill>
            <a:ln/>
            <a:effectLst/>
            <a:sp3d/>
          </c:spPr>
          <c:cat>
            <c:numRef>
              <c:f>Greeks!$A$120:$A$136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Greeks!$H$120:$H$136</c:f>
              <c:numCache>
                <c:formatCode>General</c:formatCode>
                <c:ptCount val="17"/>
                <c:pt idx="0">
                  <c:v>6.8496313647904108E-2</c:v>
                </c:pt>
                <c:pt idx="1">
                  <c:v>0.30898154554743779</c:v>
                </c:pt>
                <c:pt idx="2">
                  <c:v>1.0340638105047844</c:v>
                </c:pt>
                <c:pt idx="3">
                  <c:v>2.7188766452768531</c:v>
                </c:pt>
                <c:pt idx="4">
                  <c:v>5.8743138124230629</c:v>
                </c:pt>
                <c:pt idx="5">
                  <c:v>10.810010394461257</c:v>
                </c:pt>
                <c:pt idx="6">
                  <c:v>17.444422479079943</c:v>
                </c:pt>
                <c:pt idx="7">
                  <c:v>25.287075576346904</c:v>
                </c:pt>
                <c:pt idx="8">
                  <c:v>33.596116095735589</c:v>
                </c:pt>
                <c:pt idx="9">
                  <c:v>41.610220083116076</c:v>
                </c:pt>
                <c:pt idx="10">
                  <c:v>48.739182226438395</c:v>
                </c:pt>
                <c:pt idx="11">
                  <c:v>54.652113577166304</c:v>
                </c:pt>
                <c:pt idx="12">
                  <c:v>59.267237553388959</c:v>
                </c:pt>
                <c:pt idx="13">
                  <c:v>62.68359645053561</c:v>
                </c:pt>
                <c:pt idx="14">
                  <c:v>65.098182663181063</c:v>
                </c:pt>
                <c:pt idx="15">
                  <c:v>66.73692184392155</c:v>
                </c:pt>
                <c:pt idx="16">
                  <c:v>67.810197543662682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8D-4009-B1C0-0FAC9F306C03}"/>
            </c:ext>
          </c:extLst>
        </c:ser>
        <c:ser>
          <c:idx val="7"/>
          <c:order val="7"/>
          <c:tx>
            <c:strRef>
              <c:f>Greeks!$I$119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tint val="96000"/>
              </a:schemeClr>
            </a:solidFill>
            <a:ln/>
            <a:effectLst/>
            <a:sp3d/>
          </c:spPr>
          <c:cat>
            <c:numRef>
              <c:f>Greeks!$A$120:$A$136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Greeks!$I$120:$I$136</c:f>
              <c:numCache>
                <c:formatCode>General</c:formatCode>
                <c:ptCount val="17"/>
                <c:pt idx="0">
                  <c:v>0.1479229983212314</c:v>
                </c:pt>
                <c:pt idx="1">
                  <c:v>0.56236751489784886</c:v>
                </c:pt>
                <c:pt idx="2">
                  <c:v>1.6463949579291828</c:v>
                </c:pt>
                <c:pt idx="3">
                  <c:v>3.902596571002467</c:v>
                </c:pt>
                <c:pt idx="4">
                  <c:v>7.7898920427139711</c:v>
                </c:pt>
                <c:pt idx="5">
                  <c:v>13.510429218050067</c:v>
                </c:pt>
                <c:pt idx="6">
                  <c:v>20.883210534016246</c:v>
                </c:pt>
                <c:pt idx="7">
                  <c:v>29.375944234947266</c:v>
                </c:pt>
                <c:pt idx="8">
                  <c:v>38.265821976803807</c:v>
                </c:pt>
                <c:pt idx="9">
                  <c:v>46.838682825452466</c:v>
                </c:pt>
                <c:pt idx="10">
                  <c:v>54.542150099630135</c:v>
                </c:pt>
                <c:pt idx="11">
                  <c:v>61.054291488019338</c:v>
                </c:pt>
                <c:pt idx="12">
                  <c:v>66.275083755870497</c:v>
                </c:pt>
                <c:pt idx="13">
                  <c:v>70.271704194040638</c:v>
                </c:pt>
                <c:pt idx="14">
                  <c:v>73.210216289147127</c:v>
                </c:pt>
                <c:pt idx="15">
                  <c:v>75.2957374231259</c:v>
                </c:pt>
                <c:pt idx="16">
                  <c:v>76.730661853179058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78D-4009-B1C0-0FAC9F306C03}"/>
            </c:ext>
          </c:extLst>
        </c:ser>
        <c:ser>
          <c:idx val="8"/>
          <c:order val="8"/>
          <c:tx>
            <c:strRef>
              <c:f>Greeks!$J$119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Greeks!$A$120:$A$136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Greeks!$J$120:$J$136</c:f>
              <c:numCache>
                <c:formatCode>General</c:formatCode>
                <c:ptCount val="17"/>
                <c:pt idx="0">
                  <c:v>0.27423139001812402</c:v>
                </c:pt>
                <c:pt idx="1">
                  <c:v>0.91231525678742309</c:v>
                </c:pt>
                <c:pt idx="2">
                  <c:v>2.405785146566469</c:v>
                </c:pt>
                <c:pt idx="3">
                  <c:v>5.2579361449743294</c:v>
                </c:pt>
                <c:pt idx="4">
                  <c:v>9.8621140558168054</c:v>
                </c:pt>
                <c:pt idx="5">
                  <c:v>16.322605204399807</c:v>
                </c:pt>
                <c:pt idx="6">
                  <c:v>24.380474754909535</c:v>
                </c:pt>
                <c:pt idx="7">
                  <c:v>33.476899762460484</c:v>
                </c:pt>
                <c:pt idx="8">
                  <c:v>42.909594584950781</c:v>
                </c:pt>
                <c:pt idx="9">
                  <c:v>52.004704799454153</c:v>
                </c:pt>
                <c:pt idx="10">
                  <c:v>60.242046033683735</c:v>
                </c:pt>
                <c:pt idx="11">
                  <c:v>67.309416261096175</c:v>
                </c:pt>
                <c:pt idx="12">
                  <c:v>73.094735333031409</c:v>
                </c:pt>
                <c:pt idx="13">
                  <c:v>77.640758146235598</c:v>
                </c:pt>
                <c:pt idx="14">
                  <c:v>81.087590504535044</c:v>
                </c:pt>
                <c:pt idx="15">
                  <c:v>83.62051674627169</c:v>
                </c:pt>
                <c:pt idx="16">
                  <c:v>85.431448147951741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8D-4009-B1C0-0FAC9F306C03}"/>
            </c:ext>
          </c:extLst>
        </c:ser>
        <c:ser>
          <c:idx val="9"/>
          <c:order val="9"/>
          <c:tx>
            <c:strRef>
              <c:f>Greeks!$K$119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Greeks!$A$120:$A$136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Greeks!$K$120:$K$136</c:f>
              <c:numCache>
                <c:formatCode>General</c:formatCode>
                <c:ptCount val="17"/>
                <c:pt idx="0">
                  <c:v>0.45595912570109309</c:v>
                </c:pt>
                <c:pt idx="1">
                  <c:v>1.3628210187071796</c:v>
                </c:pt>
                <c:pt idx="2">
                  <c:v>3.3041361033821035</c:v>
                </c:pt>
                <c:pt idx="3">
                  <c:v>6.7641543932963435</c:v>
                </c:pt>
                <c:pt idx="4">
                  <c:v>12.065171933845738</c:v>
                </c:pt>
                <c:pt idx="5">
                  <c:v>19.224806199408722</c:v>
                </c:pt>
                <c:pt idx="6">
                  <c:v>27.923010462044491</c:v>
                </c:pt>
                <c:pt idx="7">
                  <c:v>37.584742260070186</c:v>
                </c:pt>
                <c:pt idx="8">
                  <c:v>47.528450546914641</c:v>
                </c:pt>
                <c:pt idx="9">
                  <c:v>57.1152625744216</c:v>
                </c:pt>
                <c:pt idx="10">
                  <c:v>65.852844532273394</c:v>
                </c:pt>
                <c:pt idx="11">
                  <c:v>73.43885824101524</c:v>
                </c:pt>
                <c:pt idx="12">
                  <c:v>79.753296736124057</c:v>
                </c:pt>
                <c:pt idx="13">
                  <c:v>84.819982584634872</c:v>
                </c:pt>
                <c:pt idx="14">
                  <c:v>88.757319713568378</c:v>
                </c:pt>
                <c:pt idx="15">
                  <c:v>91.732436651684779</c:v>
                </c:pt>
                <c:pt idx="16">
                  <c:v>93.925858365570519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78D-4009-B1C0-0FAC9F306C03}"/>
            </c:ext>
          </c:extLst>
        </c:ser>
        <c:ser>
          <c:idx val="10"/>
          <c:order val="10"/>
          <c:tx>
            <c:strRef>
              <c:f>Greeks!$L$119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tint val="68000"/>
              </a:schemeClr>
            </a:solidFill>
            <a:ln/>
            <a:effectLst/>
            <a:sp3d/>
          </c:spPr>
          <c:cat>
            <c:numRef>
              <c:f>Greeks!$A$120:$A$136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Greeks!$L$120:$L$136</c:f>
              <c:numCache>
                <c:formatCode>General</c:formatCode>
                <c:ptCount val="17"/>
                <c:pt idx="0">
                  <c:v>5.9353081456012937</c:v>
                </c:pt>
                <c:pt idx="1">
                  <c:v>10.87924313868019</c:v>
                </c:pt>
                <c:pt idx="2">
                  <c:v>17.932080685197075</c:v>
                </c:pt>
                <c:pt idx="3">
                  <c:v>27.119588189475021</c:v>
                </c:pt>
                <c:pt idx="4">
                  <c:v>38.22640213674083</c:v>
                </c:pt>
                <c:pt idx="5">
                  <c:v>50.84600116043957</c:v>
                </c:pt>
                <c:pt idx="6">
                  <c:v>64.458771564347103</c:v>
                </c:pt>
                <c:pt idx="7">
                  <c:v>78.513403617493836</c:v>
                </c:pt>
                <c:pt idx="8">
                  <c:v>92.494293545844172</c:v>
                </c:pt>
                <c:pt idx="9">
                  <c:v>105.96687970369521</c:v>
                </c:pt>
                <c:pt idx="10">
                  <c:v>118.60034685036835</c:v>
                </c:pt>
                <c:pt idx="11">
                  <c:v>130.1716483822899</c:v>
                </c:pt>
                <c:pt idx="12">
                  <c:v>140.55657274099252</c:v>
                </c:pt>
                <c:pt idx="13">
                  <c:v>149.71347861958171</c:v>
                </c:pt>
                <c:pt idx="14">
                  <c:v>157.6642413734192</c:v>
                </c:pt>
                <c:pt idx="15">
                  <c:v>164.47556479755494</c:v>
                </c:pt>
                <c:pt idx="16">
                  <c:v>170.24252108865093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8D-4009-B1C0-0FAC9F306C03}"/>
            </c:ext>
          </c:extLst>
        </c:ser>
        <c:ser>
          <c:idx val="11"/>
          <c:order val="11"/>
          <c:tx>
            <c:strRef>
              <c:f>Greeks!$M$119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Greeks!$A$120:$A$136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Greeks!$M$120:$M$136</c:f>
              <c:numCache>
                <c:formatCode>General</c:formatCode>
                <c:ptCount val="17"/>
                <c:pt idx="0">
                  <c:v>17.245259544138367</c:v>
                </c:pt>
                <c:pt idx="1">
                  <c:v>26.706226544028677</c:v>
                </c:pt>
                <c:pt idx="2">
                  <c:v>38.476487533043759</c:v>
                </c:pt>
                <c:pt idx="3">
                  <c:v>52.273981099216769</c:v>
                </c:pt>
                <c:pt idx="4">
                  <c:v>67.677547849775834</c:v>
                </c:pt>
                <c:pt idx="5">
                  <c:v>84.192775036698535</c:v>
                </c:pt>
                <c:pt idx="6">
                  <c:v>101.31166738002779</c:v>
                </c:pt>
                <c:pt idx="7">
                  <c:v>118.55867137549207</c:v>
                </c:pt>
                <c:pt idx="8">
                  <c:v>135.52089139551933</c:v>
                </c:pt>
                <c:pt idx="9">
                  <c:v>151.86376940705389</c:v>
                </c:pt>
                <c:pt idx="10">
                  <c:v>167.33520389609637</c:v>
                </c:pt>
                <c:pt idx="11">
                  <c:v>181.76154213669028</c:v>
                </c:pt>
                <c:pt idx="12">
                  <c:v>195.03860096125629</c:v>
                </c:pt>
                <c:pt idx="13">
                  <c:v>207.12025200276011</c:v>
                </c:pt>
                <c:pt idx="14">
                  <c:v>218.00640774968917</c:v>
                </c:pt>
                <c:pt idx="15">
                  <c:v>227.73160793645627</c:v>
                </c:pt>
                <c:pt idx="16">
                  <c:v>236.35489328260059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78D-4009-B1C0-0FAC9F306C03}"/>
            </c:ext>
          </c:extLst>
        </c:ser>
        <c:ser>
          <c:idx val="12"/>
          <c:order val="12"/>
          <c:tx>
            <c:strRef>
              <c:f>Greeks!$N$119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2">
                <a:tint val="49000"/>
              </a:schemeClr>
            </a:solidFill>
            <a:ln/>
            <a:effectLst/>
            <a:sp3d/>
          </c:spPr>
          <c:cat>
            <c:numRef>
              <c:f>Greeks!$A$120:$A$136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Greeks!$N$120:$N$136</c:f>
              <c:numCache>
                <c:formatCode>General</c:formatCode>
                <c:ptCount val="17"/>
                <c:pt idx="0">
                  <c:v>32.377152020462432</c:v>
                </c:pt>
                <c:pt idx="1">
                  <c:v>45.966579050016691</c:v>
                </c:pt>
                <c:pt idx="2">
                  <c:v>61.749948584880109</c:v>
                </c:pt>
                <c:pt idx="3">
                  <c:v>79.297672467890507</c:v>
                </c:pt>
                <c:pt idx="4">
                  <c:v>98.121354844747401</c:v>
                </c:pt>
                <c:pt idx="5">
                  <c:v>117.72513441976243</c:v>
                </c:pt>
                <c:pt idx="6">
                  <c:v>137.64368253482539</c:v>
                </c:pt>
                <c:pt idx="7">
                  <c:v>157.46664906933412</c:v>
                </c:pt>
                <c:pt idx="8">
                  <c:v>176.85142165444597</c:v>
                </c:pt>
                <c:pt idx="9">
                  <c:v>195.52688246325391</c:v>
                </c:pt>
                <c:pt idx="10">
                  <c:v>213.29088821197067</c:v>
                </c:pt>
                <c:pt idx="11">
                  <c:v>230.00383938445142</c:v>
                </c:pt>
                <c:pt idx="12">
                  <c:v>245.58019526519709</c:v>
                </c:pt>
                <c:pt idx="13">
                  <c:v>259.97927799092867</c:v>
                </c:pt>
                <c:pt idx="14">
                  <c:v>273.19626305478522</c:v>
                </c:pt>
                <c:pt idx="15">
                  <c:v>285.25390074635311</c:v>
                </c:pt>
                <c:pt idx="16">
                  <c:v>296.19525249901477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8D-4009-B1C0-0FAC9F306C03}"/>
            </c:ext>
          </c:extLst>
        </c:ser>
        <c:ser>
          <c:idx val="13"/>
          <c:order val="13"/>
          <c:tx>
            <c:strRef>
              <c:f>Greeks!$O$119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/>
            <a:effectLst/>
            <a:sp3d/>
          </c:spPr>
          <c:cat>
            <c:numRef>
              <c:f>Greeks!$A$120:$A$136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Greeks!$O$120:$O$136</c:f>
              <c:numCache>
                <c:formatCode>General</c:formatCode>
                <c:ptCount val="17"/>
                <c:pt idx="0">
                  <c:v>49.898150544272639</c:v>
                </c:pt>
                <c:pt idx="1">
                  <c:v>67.144050131601432</c:v>
                </c:pt>
                <c:pt idx="2">
                  <c:v>86.363051145805372</c:v>
                </c:pt>
                <c:pt idx="3">
                  <c:v>107.06109558869031</c:v>
                </c:pt>
                <c:pt idx="4">
                  <c:v>128.73783982233832</c:v>
                </c:pt>
                <c:pt idx="5">
                  <c:v>150.92196539513881</c:v>
                </c:pt>
                <c:pt idx="6">
                  <c:v>173.19351169097621</c:v>
                </c:pt>
                <c:pt idx="7">
                  <c:v>195.1955064989242</c:v>
                </c:pt>
                <c:pt idx="8">
                  <c:v>216.63757703673949</c:v>
                </c:pt>
                <c:pt idx="9">
                  <c:v>237.29405021947213</c:v>
                </c:pt>
                <c:pt idx="10">
                  <c:v>256.9986224415502</c:v>
                </c:pt>
                <c:pt idx="11">
                  <c:v>275.63718801831254</c:v>
                </c:pt>
                <c:pt idx="12">
                  <c:v>293.13996071778939</c:v>
                </c:pt>
                <c:pt idx="13">
                  <c:v>309.47364560622191</c:v>
                </c:pt>
                <c:pt idx="14">
                  <c:v>324.63412741759055</c:v>
                </c:pt>
                <c:pt idx="15">
                  <c:v>338.63992954318462</c:v>
                </c:pt>
                <c:pt idx="16">
                  <c:v>351.52655093388364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78D-4009-B1C0-0FAC9F306C03}"/>
            </c:ext>
          </c:extLst>
        </c:ser>
        <c:bandFmts>
          <c:bandFmt>
            <c:idx val="0"/>
            <c:spPr>
              <a:solidFill>
                <a:schemeClr val="accent2">
                  <a:shade val="44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shade val="58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shade val="7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>
                  <a:shade val="8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>
                  <a:tint val="86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tint val="72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tint val="58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tint val="44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tint val="3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tint val="16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tint val="2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tint val="88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tint val="74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tint val="60000"/>
                </a:schemeClr>
              </a:solidFill>
              <a:ln/>
              <a:effectLst/>
              <a:sp3d/>
            </c:spPr>
          </c:bandFmt>
        </c:bandFmts>
        <c:axId val="969058608"/>
        <c:axId val="969060904"/>
        <c:axId val="593951008"/>
      </c:surface3DChart>
      <c:catAx>
        <c:axId val="969058608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 [$]</a:t>
                </a:r>
              </a:p>
            </c:rich>
          </c:tx>
          <c:layout>
            <c:manualLayout>
              <c:xMode val="edge"/>
              <c:yMode val="edge"/>
              <c:x val="0.34881092592592589"/>
              <c:y val="0.8937631313131313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969060904"/>
        <c:crosses val="autoZero"/>
        <c:auto val="1"/>
        <c:lblAlgn val="ctr"/>
        <c:lblOffset val="100"/>
        <c:noMultiLvlLbl val="0"/>
      </c:catAx>
      <c:valAx>
        <c:axId val="969060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l-GR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ρ</a:t>
                </a:r>
                <a:endParaRPr lang="it-IT" sz="1200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969058608"/>
        <c:crosses val="autoZero"/>
        <c:crossBetween val="midCat"/>
      </c:valAx>
      <c:serAx>
        <c:axId val="593951008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l-GR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τ</a:t>
                </a:r>
                <a:r>
                  <a:rPr lang="it-IT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[years]</a:t>
                </a:r>
              </a:p>
            </c:rich>
          </c:tx>
          <c:layout>
            <c:manualLayout>
              <c:xMode val="edge"/>
              <c:yMode val="edge"/>
              <c:x val="0.85865277777777782"/>
              <c:y val="0.79175606060606074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969060904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∆ plot</a:t>
            </a:r>
            <a:r>
              <a:rPr lang="it-IT" sz="1800" b="0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for </a:t>
            </a:r>
            <a:r>
              <a:rPr lang="el-GR" sz="1800" b="0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σ</a:t>
            </a:r>
            <a:r>
              <a:rPr lang="it-IT" sz="1800" b="0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=0,2</a:t>
            </a:r>
            <a:endParaRPr lang="it-IT" sz="1800" b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0"/>
      <c:rAngAx val="0"/>
    </c:view3D>
    <c:floor>
      <c:thickness val="0"/>
      <c:spPr>
        <a:noFill/>
        <a:ln w="635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7031188140588555E-2"/>
          <c:y val="0.12385370067735244"/>
          <c:w val="0.80496923667407161"/>
          <c:h val="0.71257377550028456"/>
        </c:manualLayout>
      </c:layout>
      <c:surface3DChart>
        <c:wireframe val="0"/>
        <c:ser>
          <c:idx val="0"/>
          <c:order val="0"/>
          <c:tx>
            <c:strRef>
              <c:f>Greeks!$B$23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4">
                <a:shade val="39000"/>
              </a:schemeClr>
            </a:solidFill>
            <a:ln/>
            <a:effectLst/>
            <a:sp3d/>
          </c:spPr>
          <c:cat>
            <c:numRef>
              <c:f>Greeks!$A$24:$A$40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Greeks!$B$24:$B$40</c:f>
              <c:numCache>
                <c:formatCode>General</c:formatCode>
                <c:ptCount val="17"/>
                <c:pt idx="0">
                  <c:v>4.8964030371398776E-16</c:v>
                </c:pt>
                <c:pt idx="1">
                  <c:v>6.7189909908190016E-12</c:v>
                </c:pt>
                <c:pt idx="2">
                  <c:v>1.1217502453550677E-8</c:v>
                </c:pt>
                <c:pt idx="3">
                  <c:v>3.3782456328086734E-6</c:v>
                </c:pt>
                <c:pt idx="4">
                  <c:v>2.4998248472572982E-4</c:v>
                </c:pt>
                <c:pt idx="5">
                  <c:v>5.830908137902522E-3</c:v>
                </c:pt>
                <c:pt idx="6">
                  <c:v>5.2781549996934879E-2</c:v>
                </c:pt>
                <c:pt idx="7">
                  <c:v>0.22255758462414449</c:v>
                </c:pt>
                <c:pt idx="8">
                  <c:v>0.51891639999929629</c:v>
                </c:pt>
                <c:pt idx="9">
                  <c:v>0.79357096026156482</c:v>
                </c:pt>
                <c:pt idx="10">
                  <c:v>0.93995791805464912</c:v>
                </c:pt>
                <c:pt idx="11">
                  <c:v>0.98800422406854482</c:v>
                </c:pt>
                <c:pt idx="12">
                  <c:v>0.99830623193923973</c:v>
                </c:pt>
                <c:pt idx="13">
                  <c:v>0.99982531626414572</c:v>
                </c:pt>
                <c:pt idx="14">
                  <c:v>0.99998640314018139</c:v>
                </c:pt>
                <c:pt idx="15">
                  <c:v>0.99999917643923686</c:v>
                </c:pt>
                <c:pt idx="16">
                  <c:v>0.99999996008829672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AE-45A8-83DC-6A71FC920105}"/>
            </c:ext>
          </c:extLst>
        </c:ser>
        <c:ser>
          <c:idx val="1"/>
          <c:order val="1"/>
          <c:tx>
            <c:strRef>
              <c:f>Greeks!$C$23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4">
                <a:shade val="48000"/>
              </a:schemeClr>
            </a:solidFill>
            <a:ln/>
            <a:effectLst/>
            <a:sp3d/>
          </c:spPr>
          <c:cat>
            <c:numRef>
              <c:f>Greeks!$A$24:$A$40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Greeks!$C$24:$C$40</c:f>
              <c:numCache>
                <c:formatCode>General</c:formatCode>
                <c:ptCount val="17"/>
                <c:pt idx="0">
                  <c:v>8.3013130785334355E-9</c:v>
                </c:pt>
                <c:pt idx="1">
                  <c:v>1.0210267589266487E-6</c:v>
                </c:pt>
                <c:pt idx="2">
                  <c:v>4.4152463014191854E-5</c:v>
                </c:pt>
                <c:pt idx="3">
                  <c:v>8.1830678243053191E-4</c:v>
                </c:pt>
                <c:pt idx="4">
                  <c:v>7.5966424381891376E-3</c:v>
                </c:pt>
                <c:pt idx="5">
                  <c:v>4.006477982445996E-2</c:v>
                </c:pt>
                <c:pt idx="6">
                  <c:v>0.13330906924780192</c:v>
                </c:pt>
                <c:pt idx="7">
                  <c:v>0.3062898934344146</c:v>
                </c:pt>
                <c:pt idx="8">
                  <c:v>0.5267418038869226</c:v>
                </c:pt>
                <c:pt idx="9">
                  <c:v>0.72992052908241489</c:v>
                </c:pt>
                <c:pt idx="10">
                  <c:v>0.87132614165736733</c:v>
                </c:pt>
                <c:pt idx="11">
                  <c:v>0.94841416414843493</c:v>
                </c:pt>
                <c:pt idx="12">
                  <c:v>0.9823760534317052</c:v>
                </c:pt>
                <c:pt idx="13">
                  <c:v>0.99479497737862488</c:v>
                </c:pt>
                <c:pt idx="14">
                  <c:v>0.99865188998007925</c:v>
                </c:pt>
                <c:pt idx="15">
                  <c:v>0.99968959215435294</c:v>
                </c:pt>
                <c:pt idx="16">
                  <c:v>0.99993565599706147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AE-45A8-83DC-6A71FC920105}"/>
            </c:ext>
          </c:extLst>
        </c:ser>
        <c:ser>
          <c:idx val="2"/>
          <c:order val="2"/>
          <c:tx>
            <c:strRef>
              <c:f>Greeks!$D$23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4">
                <a:shade val="58000"/>
              </a:schemeClr>
            </a:solidFill>
            <a:ln/>
            <a:effectLst/>
            <a:sp3d/>
          </c:spPr>
          <c:cat>
            <c:numRef>
              <c:f>Greeks!$A$24:$A$40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Greeks!$D$24:$D$40</c:f>
              <c:numCache>
                <c:formatCode>General</c:formatCode>
                <c:ptCount val="17"/>
                <c:pt idx="0">
                  <c:v>2.3135653326617214E-6</c:v>
                </c:pt>
                <c:pt idx="1">
                  <c:v>5.8978518150786922E-5</c:v>
                </c:pt>
                <c:pt idx="2">
                  <c:v>7.522257491842688E-4</c:v>
                </c:pt>
                <c:pt idx="3">
                  <c:v>5.4794346275411467E-3</c:v>
                </c:pt>
                <c:pt idx="4">
                  <c:v>2.5300139283739118E-2</c:v>
                </c:pt>
                <c:pt idx="5">
                  <c:v>8.0542811303141545E-2</c:v>
                </c:pt>
                <c:pt idx="6">
                  <c:v>0.18952524812777738</c:v>
                </c:pt>
                <c:pt idx="7">
                  <c:v>0.34971752968021519</c:v>
                </c:pt>
                <c:pt idx="8">
                  <c:v>0.53273961671267711</c:v>
                </c:pt>
                <c:pt idx="9">
                  <c:v>0.70109401201543453</c:v>
                </c:pt>
                <c:pt idx="10">
                  <c:v>0.82950660741686155</c:v>
                </c:pt>
                <c:pt idx="11">
                  <c:v>0.91276887593354383</c:v>
                </c:pt>
                <c:pt idx="12">
                  <c:v>0.95963958476134859</c:v>
                </c:pt>
                <c:pt idx="13">
                  <c:v>0.98296199066116863</c:v>
                </c:pt>
                <c:pt idx="14">
                  <c:v>0.99337921785148087</c:v>
                </c:pt>
                <c:pt idx="15">
                  <c:v>0.99761170131759624</c:v>
                </c:pt>
                <c:pt idx="16">
                  <c:v>0.99919396953371908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AE-45A8-83DC-6A71FC920105}"/>
            </c:ext>
          </c:extLst>
        </c:ser>
        <c:ser>
          <c:idx val="3"/>
          <c:order val="3"/>
          <c:tx>
            <c:strRef>
              <c:f>Greeks!$E$23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>
                <a:shade val="67000"/>
              </a:schemeClr>
            </a:solidFill>
            <a:ln/>
            <a:effectLst/>
            <a:sp3d/>
          </c:spPr>
          <c:cat>
            <c:numRef>
              <c:f>Greeks!$A$24:$A$40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Greeks!$E$24:$E$40</c:f>
              <c:numCache>
                <c:formatCode>General</c:formatCode>
                <c:ptCount val="17"/>
                <c:pt idx="0">
                  <c:v>4.0139975424484934E-5</c:v>
                </c:pt>
                <c:pt idx="1">
                  <c:v>4.6519881412379274E-4</c:v>
                </c:pt>
                <c:pt idx="2">
                  <c:v>3.2160999955850619E-3</c:v>
                </c:pt>
                <c:pt idx="3">
                  <c:v>1.4648825269289092E-2</c:v>
                </c:pt>
                <c:pt idx="4">
                  <c:v>4.7535275559280651E-2</c:v>
                </c:pt>
                <c:pt idx="5">
                  <c:v>0.11703172121234477</c:v>
                </c:pt>
                <c:pt idx="6">
                  <c:v>0.2302330146985728</c:v>
                </c:pt>
                <c:pt idx="7">
                  <c:v>0.3780368656656477</c:v>
                </c:pt>
                <c:pt idx="8">
                  <c:v>0.53779029390666466</c:v>
                </c:pt>
                <c:pt idx="9">
                  <c:v>0.68459548536557635</c:v>
                </c:pt>
                <c:pt idx="10">
                  <c:v>0.80188165059672933</c:v>
                </c:pt>
                <c:pt idx="11">
                  <c:v>0.88488828305391432</c:v>
                </c:pt>
                <c:pt idx="12">
                  <c:v>0.93776106845399343</c:v>
                </c:pt>
                <c:pt idx="13">
                  <c:v>0.96848451708238714</c:v>
                </c:pt>
                <c:pt idx="14">
                  <c:v>0.98496017489321974</c:v>
                </c:pt>
                <c:pt idx="15">
                  <c:v>0.99319515409537595</c:v>
                </c:pt>
                <c:pt idx="16">
                  <c:v>0.99706463005532564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AE-45A8-83DC-6A71FC920105}"/>
            </c:ext>
          </c:extLst>
        </c:ser>
        <c:ser>
          <c:idx val="4"/>
          <c:order val="4"/>
          <c:tx>
            <c:strRef>
              <c:f>Greeks!$F$23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4">
                <a:shade val="76000"/>
              </a:schemeClr>
            </a:solidFill>
            <a:ln/>
            <a:effectLst/>
            <a:sp3d/>
          </c:spPr>
          <c:cat>
            <c:numRef>
              <c:f>Greeks!$A$24:$A$40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Greeks!$F$24:$F$40</c:f>
              <c:numCache>
                <c:formatCode>General</c:formatCode>
                <c:ptCount val="17"/>
                <c:pt idx="0">
                  <c:v>2.2743341786876357E-4</c:v>
                </c:pt>
                <c:pt idx="1">
                  <c:v>1.6409066155964737E-3</c:v>
                </c:pt>
                <c:pt idx="2">
                  <c:v>7.8458863408448435E-3</c:v>
                </c:pt>
                <c:pt idx="3">
                  <c:v>2.6918022682862655E-2</c:v>
                </c:pt>
                <c:pt idx="4">
                  <c:v>7.0537829580775729E-2</c:v>
                </c:pt>
                <c:pt idx="5">
                  <c:v>0.14844720364554423</c:v>
                </c:pt>
                <c:pt idx="6">
                  <c:v>0.26142924756390218</c:v>
                </c:pt>
                <c:pt idx="7">
                  <c:v>0.39873130138189328</c:v>
                </c:pt>
                <c:pt idx="8">
                  <c:v>0.54223501331161406</c:v>
                </c:pt>
                <c:pt idx="9">
                  <c:v>0.67402849627857031</c:v>
                </c:pt>
                <c:pt idx="10">
                  <c:v>0.78230772963384732</c:v>
                </c:pt>
                <c:pt idx="11">
                  <c:v>0.8630953437034381</c:v>
                </c:pt>
                <c:pt idx="12">
                  <c:v>0.91853340172068842</c:v>
                </c:pt>
                <c:pt idx="13">
                  <c:v>0.95390232385199913</c:v>
                </c:pt>
                <c:pt idx="14">
                  <c:v>0.97507573833647321</c:v>
                </c:pt>
                <c:pt idx="15">
                  <c:v>0.987063941065492</c:v>
                </c:pt>
                <c:pt idx="16">
                  <c:v>0.9935275944696309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AE-45A8-83DC-6A71FC920105}"/>
            </c:ext>
          </c:extLst>
        </c:ser>
        <c:ser>
          <c:idx val="5"/>
          <c:order val="5"/>
          <c:tx>
            <c:strRef>
              <c:f>Greeks!$G$23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4">
                <a:shade val="86000"/>
              </a:schemeClr>
            </a:solidFill>
            <a:ln/>
            <a:effectLst/>
            <a:sp3d/>
          </c:spPr>
          <c:cat>
            <c:numRef>
              <c:f>Greeks!$A$24:$A$40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Greeks!$G$24:$G$40</c:f>
              <c:numCache>
                <c:formatCode>General</c:formatCode>
                <c:ptCount val="17"/>
                <c:pt idx="0">
                  <c:v>7.3339315349598864E-4</c:v>
                </c:pt>
                <c:pt idx="1">
                  <c:v>3.8551173459697038E-3</c:v>
                </c:pt>
                <c:pt idx="2">
                  <c:v>1.4402778602930122E-2</c:v>
                </c:pt>
                <c:pt idx="3">
                  <c:v>4.0860172111759581E-2</c:v>
                </c:pt>
                <c:pt idx="4">
                  <c:v>9.2718991154622676E-2</c:v>
                </c:pt>
                <c:pt idx="5">
                  <c:v>0.17544466250951118</c:v>
                </c:pt>
                <c:pt idx="6">
                  <c:v>0.28640779285454132</c:v>
                </c:pt>
                <c:pt idx="7">
                  <c:v>0.41491980008730484</c:v>
                </c:pt>
                <c:pt idx="8">
                  <c:v>0.54624882106468031</c:v>
                </c:pt>
                <c:pt idx="9">
                  <c:v>0.66681258720741177</c:v>
                </c:pt>
                <c:pt idx="10">
                  <c:v>0.76773686176629652</c:v>
                </c:pt>
                <c:pt idx="11">
                  <c:v>0.84574392541104015</c:v>
                </c:pt>
                <c:pt idx="12">
                  <c:v>0.90200659044195874</c:v>
                </c:pt>
                <c:pt idx="13">
                  <c:v>0.9402142801511969</c:v>
                </c:pt>
                <c:pt idx="14">
                  <c:v>0.96483221684018183</c:v>
                </c:pt>
                <c:pt idx="15">
                  <c:v>0.97998098357938546</c:v>
                </c:pt>
                <c:pt idx="16">
                  <c:v>0.98893439681623385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FAE-45A8-83DC-6A71FC920105}"/>
            </c:ext>
          </c:extLst>
        </c:ser>
        <c:ser>
          <c:idx val="6"/>
          <c:order val="6"/>
          <c:tx>
            <c:strRef>
              <c:f>Greeks!$H$23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4">
                <a:shade val="95000"/>
              </a:schemeClr>
            </a:solidFill>
            <a:ln/>
            <a:effectLst/>
            <a:sp3d/>
          </c:spPr>
          <c:cat>
            <c:numRef>
              <c:f>Greeks!$A$24:$A$40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Greeks!$H$24:$H$40</c:f>
              <c:numCache>
                <c:formatCode>General</c:formatCode>
                <c:ptCount val="17"/>
                <c:pt idx="0">
                  <c:v>1.7097704105366416E-3</c:v>
                </c:pt>
                <c:pt idx="1">
                  <c:v>7.1642370961297339E-3</c:v>
                </c:pt>
                <c:pt idx="2">
                  <c:v>2.242591118396205E-2</c:v>
                </c:pt>
                <c:pt idx="3">
                  <c:v>5.5498237073536447E-2</c:v>
                </c:pt>
                <c:pt idx="4">
                  <c:v>0.11351617326502479</c:v>
                </c:pt>
                <c:pt idx="5">
                  <c:v>0.19884963648426759</c:v>
                </c:pt>
                <c:pt idx="6">
                  <c:v>0.30707780777053401</c:v>
                </c:pt>
                <c:pt idx="7">
                  <c:v>0.42816924322332084</c:v>
                </c:pt>
                <c:pt idx="8">
                  <c:v>0.54993574324296035</c:v>
                </c:pt>
                <c:pt idx="9">
                  <c:v>0.66168859212232867</c:v>
                </c:pt>
                <c:pt idx="10">
                  <c:v>0.7564993813863905</c:v>
                </c:pt>
                <c:pt idx="11">
                  <c:v>0.83165762889347106</c:v>
                </c:pt>
                <c:pt idx="12">
                  <c:v>0.88783196322373703</c:v>
                </c:pt>
                <c:pt idx="13">
                  <c:v>0.92772250848626392</c:v>
                </c:pt>
                <c:pt idx="14">
                  <c:v>0.95481273623086027</c:v>
                </c:pt>
                <c:pt idx="15">
                  <c:v>0.97250574341060869</c:v>
                </c:pt>
                <c:pt idx="16">
                  <c:v>0.98367272820713014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FAE-45A8-83DC-6A71FC920105}"/>
            </c:ext>
          </c:extLst>
        </c:ser>
        <c:ser>
          <c:idx val="7"/>
          <c:order val="7"/>
          <c:tx>
            <c:strRef>
              <c:f>Greeks!$I$23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4">
                <a:tint val="96000"/>
              </a:schemeClr>
            </a:solidFill>
            <a:ln/>
            <a:effectLst/>
            <a:sp3d/>
          </c:spPr>
          <c:cat>
            <c:numRef>
              <c:f>Greeks!$A$24:$A$40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Greeks!$I$24:$I$40</c:f>
              <c:numCache>
                <c:formatCode>General</c:formatCode>
                <c:ptCount val="17"/>
                <c:pt idx="0">
                  <c:v>3.2499291224938613E-3</c:v>
                </c:pt>
                <c:pt idx="1">
                  <c:v>1.1483425231958777E-2</c:v>
                </c:pt>
                <c:pt idx="2">
                  <c:v>3.1463320553836806E-2</c:v>
                </c:pt>
                <c:pt idx="3">
                  <c:v>7.0237080583764377E-2</c:v>
                </c:pt>
                <c:pt idx="4">
                  <c:v>0.1328013323700564</c:v>
                </c:pt>
                <c:pt idx="5">
                  <c:v>0.21936358982447046</c:v>
                </c:pt>
                <c:pt idx="6">
                  <c:v>0.32461969070784658</c:v>
                </c:pt>
                <c:pt idx="7">
                  <c:v>0.4393670542417723</c:v>
                </c:pt>
                <c:pt idx="8">
                  <c:v>0.55336358492889404</c:v>
                </c:pt>
                <c:pt idx="9">
                  <c:v>0.65796272969308234</c:v>
                </c:pt>
                <c:pt idx="10">
                  <c:v>0.74760249342748353</c:v>
                </c:pt>
                <c:pt idx="11">
                  <c:v>0.82002413987768774</c:v>
                </c:pt>
                <c:pt idx="12">
                  <c:v>0.87562125149536263</c:v>
                </c:pt>
                <c:pt idx="13">
                  <c:v>0.91644879859772543</c:v>
                </c:pt>
                <c:pt idx="14">
                  <c:v>0.9452921469955603</c:v>
                </c:pt>
                <c:pt idx="15">
                  <c:v>0.9649914282191755</c:v>
                </c:pt>
                <c:pt idx="16">
                  <c:v>0.97805296953813903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FAE-45A8-83DC-6A71FC920105}"/>
            </c:ext>
          </c:extLst>
        </c:ser>
        <c:ser>
          <c:idx val="8"/>
          <c:order val="8"/>
          <c:tx>
            <c:strRef>
              <c:f>Greeks!$J$23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4">
                <a:tint val="86000"/>
              </a:schemeClr>
            </a:solidFill>
            <a:ln/>
            <a:effectLst/>
            <a:sp3d/>
          </c:spPr>
          <c:cat>
            <c:numRef>
              <c:f>Greeks!$A$24:$A$40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Greeks!$J$24:$J$40</c:f>
              <c:numCache>
                <c:formatCode>General</c:formatCode>
                <c:ptCount val="17"/>
                <c:pt idx="0">
                  <c:v>5.386378691307119E-3</c:v>
                </c:pt>
                <c:pt idx="1">
                  <c:v>1.6663450654240793E-2</c:v>
                </c:pt>
                <c:pt idx="2">
                  <c:v>4.1145992558525323E-2</c:v>
                </c:pt>
                <c:pt idx="3">
                  <c:v>8.4734011793984806E-2</c:v>
                </c:pt>
                <c:pt idx="4">
                  <c:v>0.15062248475458553</c:v>
                </c:pt>
                <c:pt idx="5">
                  <c:v>0.23753708342668742</c:v>
                </c:pt>
                <c:pt idx="6">
                  <c:v>0.33980470618375225</c:v>
                </c:pt>
                <c:pt idx="7">
                  <c:v>0.4490598842795181</c:v>
                </c:pt>
                <c:pt idx="8">
                  <c:v>0.55657946195545982</c:v>
                </c:pt>
                <c:pt idx="9">
                  <c:v>0.65521889020886748</c:v>
                </c:pt>
                <c:pt idx="10">
                  <c:v>0.74041691025313783</c:v>
                </c:pt>
                <c:pt idx="11">
                  <c:v>0.81027566906216286</c:v>
                </c:pt>
                <c:pt idx="12">
                  <c:v>0.86503450040480123</c:v>
                </c:pt>
                <c:pt idx="13">
                  <c:v>0.90631047116941144</c:v>
                </c:pt>
                <c:pt idx="14">
                  <c:v>0.93638087415065951</c:v>
                </c:pt>
                <c:pt idx="15">
                  <c:v>0.95764540824748623</c:v>
                </c:pt>
                <c:pt idx="16">
                  <c:v>0.97229624527713165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FAE-45A8-83DC-6A71FC920105}"/>
            </c:ext>
          </c:extLst>
        </c:ser>
        <c:ser>
          <c:idx val="9"/>
          <c:order val="9"/>
          <c:tx>
            <c:strRef>
              <c:f>Greeks!$K$23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tint val="77000"/>
              </a:schemeClr>
            </a:solidFill>
            <a:ln/>
            <a:effectLst/>
            <a:sp3d/>
          </c:spPr>
          <c:cat>
            <c:numRef>
              <c:f>Greeks!$A$24:$A$40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Greeks!$K$24:$K$40</c:f>
              <c:numCache>
                <c:formatCode>General</c:formatCode>
                <c:ptCount val="17"/>
                <c:pt idx="0">
                  <c:v>8.1055453543928818E-3</c:v>
                </c:pt>
                <c:pt idx="1">
                  <c:v>2.2539605701555526E-2</c:v>
                </c:pt>
                <c:pt idx="2">
                  <c:v>5.1195105289887979E-2</c:v>
                </c:pt>
                <c:pt idx="3">
                  <c:v>9.88015767617475E-2</c:v>
                </c:pt>
                <c:pt idx="4">
                  <c:v>0.16709271590694216</c:v>
                </c:pt>
                <c:pt idx="5">
                  <c:v>0.2537950995737065</c:v>
                </c:pt>
                <c:pt idx="6">
                  <c:v>0.35316016226972924</c:v>
                </c:pt>
                <c:pt idx="7">
                  <c:v>0.45760612784927152</c:v>
                </c:pt>
                <c:pt idx="8">
                  <c:v>0.5596176923702425</c:v>
                </c:pt>
                <c:pt idx="9">
                  <c:v>0.65319132580079731</c:v>
                </c:pt>
                <c:pt idx="10">
                  <c:v>0.73452316868917078</c:v>
                </c:pt>
                <c:pt idx="11">
                  <c:v>0.80200640740621953</c:v>
                </c:pt>
                <c:pt idx="12">
                  <c:v>0.85579311074329834</c:v>
                </c:pt>
                <c:pt idx="13">
                  <c:v>0.89719292559733332</c:v>
                </c:pt>
                <c:pt idx="14">
                  <c:v>0.92810491023994279</c:v>
                </c:pt>
                <c:pt idx="15">
                  <c:v>0.95058198959185258</c:v>
                </c:pt>
                <c:pt idx="16">
                  <c:v>0.96655118639654458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FAE-45A8-83DC-6A71FC920105}"/>
            </c:ext>
          </c:extLst>
        </c:ser>
        <c:ser>
          <c:idx val="10"/>
          <c:order val="10"/>
          <c:tx>
            <c:strRef>
              <c:f>Greeks!$L$23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4">
                <a:tint val="68000"/>
              </a:schemeClr>
            </a:solidFill>
            <a:ln/>
            <a:effectLst/>
            <a:sp3d/>
          </c:spPr>
          <c:cat>
            <c:numRef>
              <c:f>Greeks!$A$24:$A$40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Greeks!$L$24:$L$40</c:f>
              <c:numCache>
                <c:formatCode>General</c:formatCode>
                <c:ptCount val="17"/>
                <c:pt idx="0">
                  <c:v>5.5478177979400571E-2</c:v>
                </c:pt>
                <c:pt idx="1">
                  <c:v>9.4943144684704661E-2</c:v>
                </c:pt>
                <c:pt idx="2">
                  <c:v>0.14711107776501314</c:v>
                </c:pt>
                <c:pt idx="3">
                  <c:v>0.2104162779758797</c:v>
                </c:pt>
                <c:pt idx="4">
                  <c:v>0.2820374343620774</c:v>
                </c:pt>
                <c:pt idx="5">
                  <c:v>0.35850447187481504</c:v>
                </c:pt>
                <c:pt idx="6">
                  <c:v>0.43629337610345331</c:v>
                </c:pt>
                <c:pt idx="7">
                  <c:v>0.51227864232904818</c:v>
                </c:pt>
                <c:pt idx="8">
                  <c:v>0.58399798571368178</c:v>
                </c:pt>
                <c:pt idx="9">
                  <c:v>0.64974470477957968</c:v>
                </c:pt>
                <c:pt idx="10">
                  <c:v>0.7085330993545631</c:v>
                </c:pt>
                <c:pt idx="11">
                  <c:v>0.75998835998968672</c:v>
                </c:pt>
                <c:pt idx="12">
                  <c:v>0.80420462073819754</c:v>
                </c:pt>
                <c:pt idx="13">
                  <c:v>0.84160197553171501</c:v>
                </c:pt>
                <c:pt idx="14">
                  <c:v>0.87280055331254425</c:v>
                </c:pt>
                <c:pt idx="15">
                  <c:v>0.89851971842195577</c:v>
                </c:pt>
                <c:pt idx="16">
                  <c:v>0.91950370400292614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FAE-45A8-83DC-6A71FC920105}"/>
            </c:ext>
          </c:extLst>
        </c:ser>
        <c:ser>
          <c:idx val="11"/>
          <c:order val="11"/>
          <c:tx>
            <c:strRef>
              <c:f>Greeks!$M$23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4">
                <a:tint val="58000"/>
              </a:schemeClr>
            </a:solidFill>
            <a:ln/>
            <a:effectLst/>
            <a:sp3d/>
          </c:spPr>
          <c:cat>
            <c:numRef>
              <c:f>Greeks!$A$24:$A$40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Greeks!$M$24:$M$40</c:f>
              <c:numCache>
                <c:formatCode>General</c:formatCode>
                <c:ptCount val="17"/>
                <c:pt idx="0">
                  <c:v>0.11221757852337162</c:v>
                </c:pt>
                <c:pt idx="1">
                  <c:v>0.16261786177644788</c:v>
                </c:pt>
                <c:pt idx="2">
                  <c:v>0.22070207540533249</c:v>
                </c:pt>
                <c:pt idx="3">
                  <c:v>0.2841154119321706</c:v>
                </c:pt>
                <c:pt idx="4">
                  <c:v>0.35035866509647884</c:v>
                </c:pt>
                <c:pt idx="5">
                  <c:v>0.4170898070097771</c:v>
                </c:pt>
                <c:pt idx="6">
                  <c:v>0.48231590099564642</c:v>
                </c:pt>
                <c:pt idx="7">
                  <c:v>0.54448388447384266</c:v>
                </c:pt>
                <c:pt idx="8">
                  <c:v>0.60249391401788088</c:v>
                </c:pt>
                <c:pt idx="9">
                  <c:v>0.6556620776426314</c:v>
                </c:pt>
                <c:pt idx="10">
                  <c:v>0.70365585138940701</c:v>
                </c:pt>
                <c:pt idx="11">
                  <c:v>0.74641976679143052</c:v>
                </c:pt>
                <c:pt idx="12">
                  <c:v>0.78410275921225236</c:v>
                </c:pt>
                <c:pt idx="13">
                  <c:v>0.81699370064357868</c:v>
                </c:pt>
                <c:pt idx="14">
                  <c:v>0.84546800175065795</c:v>
                </c:pt>
                <c:pt idx="15">
                  <c:v>0.86994580030636615</c:v>
                </c:pt>
                <c:pt idx="16">
                  <c:v>0.89086087651205015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FAE-45A8-83DC-6A71FC920105}"/>
            </c:ext>
          </c:extLst>
        </c:ser>
        <c:ser>
          <c:idx val="12"/>
          <c:order val="12"/>
          <c:tx>
            <c:strRef>
              <c:f>Greeks!$N$23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4">
                <a:tint val="49000"/>
              </a:schemeClr>
            </a:solidFill>
            <a:ln/>
            <a:effectLst/>
            <a:sp3d/>
          </c:spPr>
          <c:cat>
            <c:numRef>
              <c:f>Greeks!$A$24:$A$40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Greeks!$N$24:$N$40</c:f>
              <c:numCache>
                <c:formatCode>General</c:formatCode>
                <c:ptCount val="17"/>
                <c:pt idx="0">
                  <c:v>0.16426871972840876</c:v>
                </c:pt>
                <c:pt idx="1">
                  <c:v>0.21859198446496683</c:v>
                </c:pt>
                <c:pt idx="2">
                  <c:v>0.27702998118727484</c:v>
                </c:pt>
                <c:pt idx="3">
                  <c:v>0.33753309294546507</c:v>
                </c:pt>
                <c:pt idx="4">
                  <c:v>0.39825791110296044</c:v>
                </c:pt>
                <c:pt idx="5">
                  <c:v>0.45767322745215844</c:v>
                </c:pt>
                <c:pt idx="6">
                  <c:v>0.51459751428423428</c:v>
                </c:pt>
                <c:pt idx="7">
                  <c:v>0.56818955220522305</c:v>
                </c:pt>
                <c:pt idx="8">
                  <c:v>0.61791142218895267</c:v>
                </c:pt>
                <c:pt idx="9">
                  <c:v>0.66347851713393957</c:v>
                </c:pt>
                <c:pt idx="10">
                  <c:v>0.70480655105134737</c:v>
                </c:pt>
                <c:pt idx="11">
                  <c:v>0.74196163694002015</c:v>
                </c:pt>
                <c:pt idx="12">
                  <c:v>0.77511660853638908</c:v>
                </c:pt>
                <c:pt idx="13">
                  <c:v>0.8045148033278835</c:v>
                </c:pt>
                <c:pt idx="14">
                  <c:v>0.83044131386615572</c:v>
                </c:pt>
                <c:pt idx="15">
                  <c:v>0.85320104521339801</c:v>
                </c:pt>
                <c:pt idx="16">
                  <c:v>0.87310261037867953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FAE-45A8-83DC-6A71FC920105}"/>
            </c:ext>
          </c:extLst>
        </c:ser>
        <c:ser>
          <c:idx val="13"/>
          <c:order val="13"/>
          <c:tx>
            <c:strRef>
              <c:f>Greeks!$O$23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4">
                <a:tint val="40000"/>
              </a:schemeClr>
            </a:solidFill>
            <a:ln/>
            <a:effectLst/>
            <a:sp3d/>
          </c:spPr>
          <c:cat>
            <c:numRef>
              <c:f>Greeks!$A$24:$A$40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Greeks!$O$24:$O$40</c:f>
              <c:numCache>
                <c:formatCode>General</c:formatCode>
                <c:ptCount val="17"/>
                <c:pt idx="0">
                  <c:v>0.20988203686100165</c:v>
                </c:pt>
                <c:pt idx="1">
                  <c:v>0.26505120645503799</c:v>
                </c:pt>
                <c:pt idx="2">
                  <c:v>0.32199074177395015</c:v>
                </c:pt>
                <c:pt idx="3">
                  <c:v>0.37909196897565967</c:v>
                </c:pt>
                <c:pt idx="4">
                  <c:v>0.4350411483736476</c:v>
                </c:pt>
                <c:pt idx="5">
                  <c:v>0.48883379634600066</c:v>
                </c:pt>
                <c:pt idx="6">
                  <c:v>0.53975516312316763</c:v>
                </c:pt>
                <c:pt idx="7">
                  <c:v>0.58734278687654107</c:v>
                </c:pt>
                <c:pt idx="8">
                  <c:v>0.63134216139179089</c:v>
                </c:pt>
                <c:pt idx="9">
                  <c:v>0.67166244266164088</c:v>
                </c:pt>
                <c:pt idx="10">
                  <c:v>0.70833606363246282</c:v>
                </c:pt>
                <c:pt idx="11">
                  <c:v>0.74148404620256414</c:v>
                </c:pt>
                <c:pt idx="12">
                  <c:v>0.77128749032735988</c:v>
                </c:pt>
                <c:pt idx="13">
                  <c:v>0.79796496558691377</c:v>
                </c:pt>
                <c:pt idx="14">
                  <c:v>0.82175514850703979</c:v>
                </c:pt>
                <c:pt idx="15">
                  <c:v>0.8429039016580514</c:v>
                </c:pt>
                <c:pt idx="16">
                  <c:v>0.86165498136593754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FAE-45A8-83DC-6A71FC920105}"/>
            </c:ext>
          </c:extLst>
        </c:ser>
        <c:bandFmts>
          <c:bandFmt>
            <c:idx val="0"/>
            <c:spPr>
              <a:solidFill>
                <a:schemeClr val="accent4">
                  <a:shade val="41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4">
                  <a:shade val="53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4">
                  <a:shade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>
                  <a:shade val="7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4">
                  <a:shade val="88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4">
                  <a:tint val="89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4">
                  <a:tint val="7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4">
                  <a:tint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tint val="5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4">
                  <a:tint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4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4">
                  <a:tint val="19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4">
                  <a:tint val="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4">
                  <a:tint val="95000"/>
                </a:schemeClr>
              </a:solidFill>
              <a:ln/>
              <a:effectLst/>
              <a:sp3d/>
            </c:spPr>
          </c:bandFmt>
        </c:bandFmts>
        <c:axId val="566907456"/>
        <c:axId val="566908112"/>
        <c:axId val="432065664"/>
      </c:surface3DChart>
      <c:catAx>
        <c:axId val="566907456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 [$]</a:t>
                </a:r>
              </a:p>
            </c:rich>
          </c:tx>
          <c:layout>
            <c:manualLayout>
              <c:xMode val="edge"/>
              <c:yMode val="edge"/>
              <c:x val="0.44709270093084746"/>
              <c:y val="0.9041405106619736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566908112"/>
        <c:crosses val="autoZero"/>
        <c:auto val="1"/>
        <c:lblAlgn val="ctr"/>
        <c:lblOffset val="100"/>
        <c:noMultiLvlLbl val="0"/>
      </c:catAx>
      <c:valAx>
        <c:axId val="56690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∆</a:t>
                </a:r>
              </a:p>
            </c:rich>
          </c:tx>
          <c:layout>
            <c:manualLayout>
              <c:xMode val="edge"/>
              <c:yMode val="edge"/>
              <c:x val="3.4649158515451445E-2"/>
              <c:y val="0.5200481585729385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566907456"/>
        <c:crosses val="autoZero"/>
        <c:crossBetween val="midCat"/>
      </c:valAx>
      <c:serAx>
        <c:axId val="432065664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τ</a:t>
                </a:r>
                <a:r>
                  <a:rPr lang="it-IT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[years]</a:t>
                </a:r>
              </a:p>
            </c:rich>
          </c:tx>
          <c:layout>
            <c:manualLayout>
              <c:xMode val="edge"/>
              <c:yMode val="edge"/>
              <c:x val="0.83164183502173028"/>
              <c:y val="0.62831984711588473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566908112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∆ plot for </a:t>
            </a:r>
            <a:r>
              <a:rPr lang="el-GR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σ</a:t>
            </a:r>
            <a:r>
              <a:rPr lang="it-IT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=0,3</a:t>
            </a:r>
            <a:endParaRPr lang="it-IT" sz="1800">
              <a:solidFill>
                <a:sysClr val="windowText" lastClr="000000"/>
              </a:solidFill>
              <a:effectLst/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0"/>
      <c:rAngAx val="0"/>
    </c:view3D>
    <c:floor>
      <c:thickness val="0"/>
      <c:spPr>
        <a:noFill/>
        <a:ln w="635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227466206846656"/>
          <c:y val="0.12350494166698062"/>
          <c:w val="0.76353554963363113"/>
          <c:h val="0.74053705308367557"/>
        </c:manualLayout>
      </c:layout>
      <c:surface3DChart>
        <c:wireframe val="0"/>
        <c:ser>
          <c:idx val="0"/>
          <c:order val="0"/>
          <c:tx>
            <c:strRef>
              <c:f>Greeks!$T$23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4">
                <a:shade val="39000"/>
              </a:schemeClr>
            </a:solidFill>
            <a:ln/>
            <a:effectLst/>
            <a:sp3d/>
          </c:spPr>
          <c:cat>
            <c:numRef>
              <c:f>Greeks!$S$24:$S$40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Greeks!$T$24:$T$40</c:f>
              <c:numCache>
                <c:formatCode>General</c:formatCode>
                <c:ptCount val="17"/>
                <c:pt idx="0">
                  <c:v>5.0034162369055566E-8</c:v>
                </c:pt>
                <c:pt idx="1">
                  <c:v>3.6821940892309305E-6</c:v>
                </c:pt>
                <c:pt idx="2">
                  <c:v>1.0707610281507444E-4</c:v>
                </c:pt>
                <c:pt idx="3">
                  <c:v>1.4675225785184855E-3</c:v>
                </c:pt>
                <c:pt idx="4">
                  <c:v>1.0890526735845741E-2</c:v>
                </c:pt>
                <c:pt idx="5">
                  <c:v>4.8949588230018437E-2</c:v>
                </c:pt>
                <c:pt idx="6">
                  <c:v>0.14625707559799994</c:v>
                </c:pt>
                <c:pt idx="7">
                  <c:v>0.31465306570218488</c:v>
                </c:pt>
                <c:pt idx="8">
                  <c:v>0.52311576495136336</c:v>
                </c:pt>
                <c:pt idx="9">
                  <c:v>0.71642998296826499</c:v>
                </c:pt>
                <c:pt idx="10">
                  <c:v>0.85602570106502907</c:v>
                </c:pt>
                <c:pt idx="11">
                  <c:v>0.9371394361344666</c:v>
                </c:pt>
                <c:pt idx="12">
                  <c:v>0.97613772992890591</c:v>
                </c:pt>
                <c:pt idx="13">
                  <c:v>0.99202624587419741</c:v>
                </c:pt>
                <c:pt idx="14">
                  <c:v>0.9976251547967403</c:v>
                </c:pt>
                <c:pt idx="15">
                  <c:v>0.99936207053892745</c:v>
                </c:pt>
                <c:pt idx="16">
                  <c:v>0.99984374547949573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E3-44B1-9C62-05B819518015}"/>
            </c:ext>
          </c:extLst>
        </c:ser>
        <c:ser>
          <c:idx val="1"/>
          <c:order val="1"/>
          <c:tx>
            <c:strRef>
              <c:f>Greeks!$U$23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4">
                <a:shade val="48000"/>
              </a:schemeClr>
            </a:solidFill>
            <a:ln/>
            <a:effectLst/>
            <a:sp3d/>
          </c:spPr>
          <c:cat>
            <c:numRef>
              <c:f>Greeks!$S$24:$S$40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Greeks!$U$24:$U$40</c:f>
              <c:numCache>
                <c:formatCode>General</c:formatCode>
                <c:ptCount val="17"/>
                <c:pt idx="0">
                  <c:v>9.7471862538906133E-5</c:v>
                </c:pt>
                <c:pt idx="1">
                  <c:v>8.7737836912211346E-4</c:v>
                </c:pt>
                <c:pt idx="2">
                  <c:v>4.9901816736536639E-3</c:v>
                </c:pt>
                <c:pt idx="3">
                  <c:v>1.9591189701574866E-2</c:v>
                </c:pt>
                <c:pt idx="4">
                  <c:v>5.6913337986291397E-2</c:v>
                </c:pt>
                <c:pt idx="5">
                  <c:v>0.12937396522841807</c:v>
                </c:pt>
                <c:pt idx="6">
                  <c:v>0.24092762709076576</c:v>
                </c:pt>
                <c:pt idx="7">
                  <c:v>0.3819633040789554</c:v>
                </c:pt>
                <c:pt idx="8">
                  <c:v>0.53267233292182181</c:v>
                </c:pt>
                <c:pt idx="9">
                  <c:v>0.67207480164598299</c:v>
                </c:pt>
                <c:pt idx="10">
                  <c:v>0.78593314054026053</c:v>
                </c:pt>
                <c:pt idx="11">
                  <c:v>0.86943263666792814</c:v>
                </c:pt>
                <c:pt idx="12">
                  <c:v>0.92519830817009863</c:v>
                </c:pt>
                <c:pt idx="13">
                  <c:v>0.95952522958374731</c:v>
                </c:pt>
                <c:pt idx="14">
                  <c:v>0.97920186730211123</c:v>
                </c:pt>
                <c:pt idx="15">
                  <c:v>0.98979805440371849</c:v>
                </c:pt>
                <c:pt idx="16">
                  <c:v>0.99519988085741351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E3-44B1-9C62-05B819518015}"/>
            </c:ext>
          </c:extLst>
        </c:ser>
        <c:ser>
          <c:idx val="2"/>
          <c:order val="2"/>
          <c:tx>
            <c:strRef>
              <c:f>Greeks!$V$23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4">
                <a:shade val="58000"/>
              </a:schemeClr>
            </a:solidFill>
            <a:ln/>
            <a:effectLst/>
            <a:sp3d/>
          </c:spPr>
          <c:cat>
            <c:numRef>
              <c:f>Greeks!$S$24:$S$40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Greeks!$V$24:$V$40</c:f>
              <c:numCache>
                <c:formatCode>General</c:formatCode>
                <c:ptCount val="17"/>
                <c:pt idx="0">
                  <c:v>1.3132659794663289E-3</c:v>
                </c:pt>
                <c:pt idx="1">
                  <c:v>5.847011044032159E-3</c:v>
                </c:pt>
                <c:pt idx="2">
                  <c:v>1.9214994632873038E-2</c:v>
                </c:pt>
                <c:pt idx="3">
                  <c:v>4.9434506570869327E-2</c:v>
                </c:pt>
                <c:pt idx="4">
                  <c:v>0.10426956463923273</c:v>
                </c:pt>
                <c:pt idx="5">
                  <c:v>0.1870975122113735</c:v>
                </c:pt>
                <c:pt idx="6">
                  <c:v>0.29432689998056172</c:v>
                </c:pt>
                <c:pt idx="7">
                  <c:v>0.4161528933790935</c:v>
                </c:pt>
                <c:pt idx="8">
                  <c:v>0.53999288758705544</c:v>
                </c:pt>
                <c:pt idx="9">
                  <c:v>0.65444283411208759</c:v>
                </c:pt>
                <c:pt idx="10">
                  <c:v>0.75189182389050946</c:v>
                </c:pt>
                <c:pt idx="11">
                  <c:v>0.82919270948748747</c:v>
                </c:pt>
                <c:pt idx="12">
                  <c:v>0.88685853170876361</c:v>
                </c:pt>
                <c:pt idx="13">
                  <c:v>0.92763817410360494</c:v>
                </c:pt>
                <c:pt idx="14">
                  <c:v>0.95516243259384059</c:v>
                </c:pt>
                <c:pt idx="15">
                  <c:v>0.97299735807546184</c:v>
                </c:pt>
                <c:pt idx="16">
                  <c:v>0.98414791288614301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E3-44B1-9C62-05B819518015}"/>
            </c:ext>
          </c:extLst>
        </c:ser>
        <c:ser>
          <c:idx val="3"/>
          <c:order val="3"/>
          <c:tx>
            <c:strRef>
              <c:f>Greeks!$W$23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>
                <a:shade val="67000"/>
              </a:schemeClr>
            </a:solidFill>
            <a:ln/>
            <a:effectLst/>
            <a:sp3d/>
          </c:spPr>
          <c:cat>
            <c:numRef>
              <c:f>Greeks!$S$24:$S$40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Greeks!$W$24:$W$40</c:f>
              <c:numCache>
                <c:formatCode>General</c:formatCode>
                <c:ptCount val="17"/>
                <c:pt idx="0">
                  <c:v>4.992660033900336E-3</c:v>
                </c:pt>
                <c:pt idx="1">
                  <c:v>1.5601464786896047E-2</c:v>
                </c:pt>
                <c:pt idx="2">
                  <c:v>3.8875096230606622E-2</c:v>
                </c:pt>
                <c:pt idx="3">
                  <c:v>8.0716619021007019E-2</c:v>
                </c:pt>
                <c:pt idx="4">
                  <c:v>0.14454509647225661</c:v>
                </c:pt>
                <c:pt idx="5">
                  <c:v>0.22946806891671254</c:v>
                </c:pt>
                <c:pt idx="6">
                  <c:v>0.33020452050949323</c:v>
                </c:pt>
                <c:pt idx="7">
                  <c:v>0.43865142750198127</c:v>
                </c:pt>
                <c:pt idx="8">
                  <c:v>0.54615398735857767</c:v>
                </c:pt>
                <c:pt idx="9">
                  <c:v>0.64546184621426217</c:v>
                </c:pt>
                <c:pt idx="10">
                  <c:v>0.7318042573881709</c:v>
                </c:pt>
                <c:pt idx="11">
                  <c:v>0.80304840536517041</c:v>
                </c:pt>
                <c:pt idx="12">
                  <c:v>0.85923063815805933</c:v>
                </c:pt>
                <c:pt idx="13">
                  <c:v>0.90182488378357184</c:v>
                </c:pt>
                <c:pt idx="14">
                  <c:v>0.93302831921275364</c:v>
                </c:pt>
                <c:pt idx="15">
                  <c:v>0.95521216048553548</c:v>
                </c:pt>
                <c:pt idx="16">
                  <c:v>0.97057515521784565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E3-44B1-9C62-05B819518015}"/>
            </c:ext>
          </c:extLst>
        </c:ser>
        <c:ser>
          <c:idx val="4"/>
          <c:order val="4"/>
          <c:tx>
            <c:strRef>
              <c:f>Greeks!$X$23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4">
                <a:shade val="76000"/>
              </a:schemeClr>
            </a:solidFill>
            <a:ln/>
            <a:effectLst/>
            <a:sp3d/>
          </c:spPr>
          <c:cat>
            <c:numRef>
              <c:f>Greeks!$S$24:$S$40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Greeks!$X$24:$X$40</c:f>
              <c:numCache>
                <c:formatCode>General</c:formatCode>
                <c:ptCount val="17"/>
                <c:pt idx="0">
                  <c:v>1.135081746473166E-2</c:v>
                </c:pt>
                <c:pt idx="1">
                  <c:v>2.8644857358513204E-2</c:v>
                </c:pt>
                <c:pt idx="2">
                  <c:v>6.0361557489523619E-2</c:v>
                </c:pt>
                <c:pt idx="3">
                  <c:v>0.11000339750396831</c:v>
                </c:pt>
                <c:pt idx="4">
                  <c:v>0.17819321540160804</c:v>
                </c:pt>
                <c:pt idx="5">
                  <c:v>0.26223006736843324</c:v>
                </c:pt>
                <c:pt idx="6">
                  <c:v>0.35679534006601854</c:v>
                </c:pt>
                <c:pt idx="7">
                  <c:v>0.45534721551467583</c:v>
                </c:pt>
                <c:pt idx="8">
                  <c:v>0.55157288637548119</c:v>
                </c:pt>
                <c:pt idx="9">
                  <c:v>0.64044005264399373</c:v>
                </c:pt>
                <c:pt idx="10">
                  <c:v>0.71868272096314856</c:v>
                </c:pt>
                <c:pt idx="11">
                  <c:v>0.78479210831011448</c:v>
                </c:pt>
                <c:pt idx="12">
                  <c:v>0.83869492248144772</c:v>
                </c:pt>
                <c:pt idx="13">
                  <c:v>0.8813068623898227</c:v>
                </c:pt>
                <c:pt idx="14">
                  <c:v>0.91409849026161683</c:v>
                </c:pt>
                <c:pt idx="15">
                  <c:v>0.93874735257652986</c:v>
                </c:pt>
                <c:pt idx="16">
                  <c:v>0.95689898642329596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E3-44B1-9C62-05B819518015}"/>
            </c:ext>
          </c:extLst>
        </c:ser>
        <c:ser>
          <c:idx val="5"/>
          <c:order val="5"/>
          <c:tx>
            <c:strRef>
              <c:f>Greeks!$Y$23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4">
                <a:shade val="86000"/>
              </a:schemeClr>
            </a:solidFill>
            <a:ln/>
            <a:effectLst/>
            <a:sp3d/>
          </c:spPr>
          <c:cat>
            <c:numRef>
              <c:f>Greeks!$S$24:$S$40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Greeks!$Y$24:$Y$40</c:f>
              <c:numCache>
                <c:formatCode>General</c:formatCode>
                <c:ptCount val="17"/>
                <c:pt idx="0">
                  <c:v>1.9879978802043376E-2</c:v>
                </c:pt>
                <c:pt idx="1">
                  <c:v>4.3468137473605208E-2</c:v>
                </c:pt>
                <c:pt idx="2">
                  <c:v>8.1828768636166921E-2</c:v>
                </c:pt>
                <c:pt idx="3">
                  <c:v>0.13654438951976747</c:v>
                </c:pt>
                <c:pt idx="4">
                  <c:v>0.20660792036453604</c:v>
                </c:pt>
                <c:pt idx="5">
                  <c:v>0.28864049524186719</c:v>
                </c:pt>
                <c:pt idx="6">
                  <c:v>0.37775204713439936</c:v>
                </c:pt>
                <c:pt idx="7">
                  <c:v>0.46862695070489657</c:v>
                </c:pt>
                <c:pt idx="8">
                  <c:v>0.55646370539182832</c:v>
                </c:pt>
                <c:pt idx="9">
                  <c:v>0.6375691792945577</c:v>
                </c:pt>
                <c:pt idx="10">
                  <c:v>0.70958032306564656</c:v>
                </c:pt>
                <c:pt idx="11">
                  <c:v>0.77139506484411136</c:v>
                </c:pt>
                <c:pt idx="12">
                  <c:v>0.82293195018806276</c:v>
                </c:pt>
                <c:pt idx="13">
                  <c:v>0.86482705141973815</c:v>
                </c:pt>
                <c:pt idx="14">
                  <c:v>0.89814375452956496</c:v>
                </c:pt>
                <c:pt idx="15">
                  <c:v>0.92413592245152854</c:v>
                </c:pt>
                <c:pt idx="16">
                  <c:v>0.94407756560009015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0E3-44B1-9C62-05B819518015}"/>
            </c:ext>
          </c:extLst>
        </c:ser>
        <c:ser>
          <c:idx val="6"/>
          <c:order val="6"/>
          <c:tx>
            <c:strRef>
              <c:f>Greeks!$Z$23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4">
                <a:shade val="95000"/>
              </a:schemeClr>
            </a:solidFill>
            <a:ln/>
            <a:effectLst/>
            <a:sp3d/>
          </c:spPr>
          <c:cat>
            <c:numRef>
              <c:f>Greeks!$S$24:$S$40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Greeks!$Z$24:$Z$40</c:f>
              <c:numCache>
                <c:formatCode>General</c:formatCode>
                <c:ptCount val="17"/>
                <c:pt idx="0">
                  <c:v>2.9932244764737312E-2</c:v>
                </c:pt>
                <c:pt idx="1">
                  <c:v>5.9038935425869576E-2</c:v>
                </c:pt>
                <c:pt idx="2">
                  <c:v>0.1024633918843465</c:v>
                </c:pt>
                <c:pt idx="3">
                  <c:v>0.16041221101185985</c:v>
                </c:pt>
                <c:pt idx="4">
                  <c:v>0.23097566222627239</c:v>
                </c:pt>
                <c:pt idx="5">
                  <c:v>0.31061663415168483</c:v>
                </c:pt>
                <c:pt idx="6">
                  <c:v>0.39497379522555537</c:v>
                </c:pt>
                <c:pt idx="7">
                  <c:v>0.47967483058661126</c:v>
                </c:pt>
                <c:pt idx="8">
                  <c:v>0.56095371673383299</c:v>
                </c:pt>
                <c:pt idx="9">
                  <c:v>0.63599441741087059</c:v>
                </c:pt>
                <c:pt idx="10">
                  <c:v>0.70302215257089251</c:v>
                </c:pt>
                <c:pt idx="11">
                  <c:v>0.76121383901599127</c:v>
                </c:pt>
                <c:pt idx="12">
                  <c:v>0.81050916202186163</c:v>
                </c:pt>
                <c:pt idx="13">
                  <c:v>0.85138984659601935</c:v>
                </c:pt>
                <c:pt idx="14">
                  <c:v>0.8846722298971994</c:v>
                </c:pt>
                <c:pt idx="15">
                  <c:v>0.91133681457196536</c:v>
                </c:pt>
                <c:pt idx="16">
                  <c:v>0.93240240791875728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E3-44B1-9C62-05B819518015}"/>
            </c:ext>
          </c:extLst>
        </c:ser>
        <c:ser>
          <c:idx val="7"/>
          <c:order val="7"/>
          <c:tx>
            <c:strRef>
              <c:f>Greeks!$AA$23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4">
                <a:tint val="96000"/>
              </a:schemeClr>
            </a:solidFill>
            <a:ln/>
            <a:effectLst/>
            <a:sp3d/>
          </c:spPr>
          <c:cat>
            <c:numRef>
              <c:f>Greeks!$S$24:$S$40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Greeks!$AA$24:$AA$40</c:f>
              <c:numCache>
                <c:formatCode>General</c:formatCode>
                <c:ptCount val="17"/>
                <c:pt idx="0">
                  <c:v>4.0950902335764483E-2</c:v>
                </c:pt>
                <c:pt idx="1">
                  <c:v>7.4728116021825122E-2</c:v>
                </c:pt>
                <c:pt idx="2">
                  <c:v>0.12195471445596062</c:v>
                </c:pt>
                <c:pt idx="3">
                  <c:v>0.18189962970104834</c:v>
                </c:pt>
                <c:pt idx="4">
                  <c:v>0.2521853492329863</c:v>
                </c:pt>
                <c:pt idx="5">
                  <c:v>0.32935533629557545</c:v>
                </c:pt>
                <c:pt idx="6">
                  <c:v>0.4095599317357414</c:v>
                </c:pt>
                <c:pt idx="7">
                  <c:v>0.48915788300334873</c:v>
                </c:pt>
                <c:pt idx="8">
                  <c:v>0.56512589389530643</c:v>
                </c:pt>
                <c:pt idx="9">
                  <c:v>0.63525669084775627</c:v>
                </c:pt>
                <c:pt idx="10">
                  <c:v>0.69818182521677907</c:v>
                </c:pt>
                <c:pt idx="11">
                  <c:v>0.75327765691030435</c:v>
                </c:pt>
                <c:pt idx="12">
                  <c:v>0.80051177059449707</c:v>
                </c:pt>
                <c:pt idx="13">
                  <c:v>0.84027414396084255</c:v>
                </c:pt>
                <c:pt idx="14">
                  <c:v>0.87322148228571717</c:v>
                </c:pt>
                <c:pt idx="15">
                  <c:v>0.90014918606468963</c:v>
                </c:pt>
                <c:pt idx="16">
                  <c:v>0.92189531953464121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0E3-44B1-9C62-05B819518015}"/>
            </c:ext>
          </c:extLst>
        </c:ser>
        <c:ser>
          <c:idx val="8"/>
          <c:order val="8"/>
          <c:tx>
            <c:strRef>
              <c:f>Greeks!$AB$23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4">
                <a:tint val="86000"/>
              </a:schemeClr>
            </a:solidFill>
            <a:ln/>
            <a:effectLst/>
            <a:sp3d/>
          </c:spPr>
          <c:cat>
            <c:numRef>
              <c:f>Greeks!$S$24:$S$40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Greeks!$AB$24:$AB$40</c:f>
              <c:numCache>
                <c:formatCode>General</c:formatCode>
                <c:ptCount val="17"/>
                <c:pt idx="0">
                  <c:v>5.2516002614189643E-2</c:v>
                </c:pt>
                <c:pt idx="1">
                  <c:v>9.0172813400075449E-2</c:v>
                </c:pt>
                <c:pt idx="2">
                  <c:v>0.1402263966706617</c:v>
                </c:pt>
                <c:pt idx="3">
                  <c:v>0.20132818570829822</c:v>
                </c:pt>
                <c:pt idx="4">
                  <c:v>0.27089074616784542</c:v>
                </c:pt>
                <c:pt idx="5">
                  <c:v>0.3456438956868198</c:v>
                </c:pt>
                <c:pt idx="6">
                  <c:v>0.42219791583544131</c:v>
                </c:pt>
                <c:pt idx="7">
                  <c:v>0.49748628363861269</c:v>
                </c:pt>
                <c:pt idx="8">
                  <c:v>0.56903790416143729</c:v>
                </c:pt>
                <c:pt idx="9">
                  <c:v>0.63508678730440149</c:v>
                </c:pt>
                <c:pt idx="10">
                  <c:v>0.69455768345693381</c:v>
                </c:pt>
                <c:pt idx="11">
                  <c:v>0.74697433142683933</c:v>
                </c:pt>
                <c:pt idx="12">
                  <c:v>0.79233157169098423</c:v>
                </c:pt>
                <c:pt idx="13">
                  <c:v>0.83096150825161674</c:v>
                </c:pt>
                <c:pt idx="14">
                  <c:v>0.86341232176687477</c:v>
                </c:pt>
                <c:pt idx="15">
                  <c:v>0.89034882296294016</c:v>
                </c:pt>
                <c:pt idx="16">
                  <c:v>0.9124771715221327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0E3-44B1-9C62-05B819518015}"/>
            </c:ext>
          </c:extLst>
        </c:ser>
        <c:ser>
          <c:idx val="9"/>
          <c:order val="9"/>
          <c:tx>
            <c:strRef>
              <c:f>Greeks!$AC$23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tint val="77000"/>
              </a:schemeClr>
            </a:solidFill>
            <a:ln/>
            <a:effectLst/>
            <a:sp3d/>
          </c:spPr>
          <c:cat>
            <c:numRef>
              <c:f>Greeks!$S$24:$S$40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Greeks!$AC$24:$AC$40</c:f>
              <c:numCache>
                <c:formatCode>General</c:formatCode>
                <c:ptCount val="17"/>
                <c:pt idx="0">
                  <c:v>6.4328563178374959E-2</c:v>
                </c:pt>
                <c:pt idx="1">
                  <c:v>0.10517388780770233</c:v>
                </c:pt>
                <c:pt idx="2">
                  <c:v>0.15730806721544691</c:v>
                </c:pt>
                <c:pt idx="3">
                  <c:v>0.21899056011833215</c:v>
                </c:pt>
                <c:pt idx="4">
                  <c:v>0.28757654881407341</c:v>
                </c:pt>
                <c:pt idx="5">
                  <c:v>0.36002333083467097</c:v>
                </c:pt>
                <c:pt idx="6">
                  <c:v>0.43334341092094791</c:v>
                </c:pt>
                <c:pt idx="7">
                  <c:v>0.50492907988438374</c:v>
                </c:pt>
                <c:pt idx="8">
                  <c:v>0.57273175930304054</c:v>
                </c:pt>
                <c:pt idx="9">
                  <c:v>0.63531632275589001</c:v>
                </c:pt>
                <c:pt idx="10">
                  <c:v>0.69182637898167587</c:v>
                </c:pt>
                <c:pt idx="11">
                  <c:v>0.74189753633829758</c:v>
                </c:pt>
                <c:pt idx="12">
                  <c:v>0.78554896929810647</c:v>
                </c:pt>
                <c:pt idx="13">
                  <c:v>0.82307441711333762</c:v>
                </c:pt>
                <c:pt idx="14">
                  <c:v>0.85494512380940124</c:v>
                </c:pt>
                <c:pt idx="15">
                  <c:v>0.88173051157264637</c:v>
                </c:pt>
                <c:pt idx="16">
                  <c:v>0.90403781886513113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0E3-44B1-9C62-05B819518015}"/>
            </c:ext>
          </c:extLst>
        </c:ser>
        <c:ser>
          <c:idx val="10"/>
          <c:order val="10"/>
          <c:tx>
            <c:strRef>
              <c:f>Greeks!$AD$23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4">
                <a:tint val="68000"/>
              </a:schemeClr>
            </a:solidFill>
            <a:ln/>
            <a:effectLst/>
            <a:sp3d/>
          </c:spPr>
          <c:cat>
            <c:numRef>
              <c:f>Greeks!$S$24:$S$40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Greeks!$AD$24:$AD$40</c:f>
              <c:numCache>
                <c:formatCode>General</c:formatCode>
                <c:ptCount val="17"/>
                <c:pt idx="0">
                  <c:v>0.17239197114368851</c:v>
                </c:pt>
                <c:pt idx="1">
                  <c:v>0.22479684393807561</c:v>
                </c:pt>
                <c:pt idx="2">
                  <c:v>0.28047924339879654</c:v>
                </c:pt>
                <c:pt idx="3">
                  <c:v>0.33768091083242546</c:v>
                </c:pt>
                <c:pt idx="4">
                  <c:v>0.39485704248118841</c:v>
                </c:pt>
                <c:pt idx="5">
                  <c:v>0.45074144633462454</c:v>
                </c:pt>
                <c:pt idx="6">
                  <c:v>0.50436249428511837</c:v>
                </c:pt>
                <c:pt idx="7">
                  <c:v>0.55502719539571732</c:v>
                </c:pt>
                <c:pt idx="8">
                  <c:v>0.60228749680470339</c:v>
                </c:pt>
                <c:pt idx="9">
                  <c:v>0.64589902155139922</c:v>
                </c:pt>
                <c:pt idx="10">
                  <c:v>0.68577893776060739</c:v>
                </c:pt>
                <c:pt idx="11">
                  <c:v>0.72196690064701641</c:v>
                </c:pt>
                <c:pt idx="12">
                  <c:v>0.754591046066726</c:v>
                </c:pt>
                <c:pt idx="13">
                  <c:v>0.78383972120701739</c:v>
                </c:pt>
                <c:pt idx="14">
                  <c:v>0.80993885351262629</c:v>
                </c:pt>
                <c:pt idx="15">
                  <c:v>0.83313443249219921</c:v>
                </c:pt>
                <c:pt idx="16">
                  <c:v>0.85367938888663453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0E3-44B1-9C62-05B819518015}"/>
            </c:ext>
          </c:extLst>
        </c:ser>
        <c:ser>
          <c:idx val="11"/>
          <c:order val="11"/>
          <c:tx>
            <c:strRef>
              <c:f>Greeks!$AE$23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4">
                <a:tint val="58000"/>
              </a:schemeClr>
            </a:solidFill>
            <a:ln/>
            <a:effectLst/>
            <a:sp3d/>
          </c:spPr>
          <c:cat>
            <c:numRef>
              <c:f>Greeks!$S$24:$S$40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Greeks!$AE$24:$AE$40</c:f>
              <c:numCache>
                <c:formatCode>General</c:formatCode>
                <c:ptCount val="17"/>
                <c:pt idx="0">
                  <c:v>0.25285203319023192</c:v>
                </c:pt>
                <c:pt idx="1">
                  <c:v>0.3045006830407393</c:v>
                </c:pt>
                <c:pt idx="2">
                  <c:v>0.35610910688425379</c:v>
                </c:pt>
                <c:pt idx="3">
                  <c:v>0.40667685470200449</c:v>
                </c:pt>
                <c:pt idx="4">
                  <c:v>0.45545241211238535</c:v>
                </c:pt>
                <c:pt idx="5">
                  <c:v>0.50190487130170336</c:v>
                </c:pt>
                <c:pt idx="6">
                  <c:v>0.54568875929400229</c:v>
                </c:pt>
                <c:pt idx="7">
                  <c:v>0.58660823860191547</c:v>
                </c:pt>
                <c:pt idx="8">
                  <c:v>0.62458405795544159</c:v>
                </c:pt>
                <c:pt idx="9">
                  <c:v>0.65962480217204278</c:v>
                </c:pt>
                <c:pt idx="10">
                  <c:v>0.69180288754629138</c:v>
                </c:pt>
                <c:pt idx="11">
                  <c:v>0.72123513401713546</c:v>
                </c:pt>
                <c:pt idx="12">
                  <c:v>0.74806744044833062</c:v>
                </c:pt>
                <c:pt idx="13">
                  <c:v>0.77246297183665924</c:v>
                </c:pt>
                <c:pt idx="14">
                  <c:v>0.79459325631183764</c:v>
                </c:pt>
                <c:pt idx="15">
                  <c:v>0.81463163438593589</c:v>
                </c:pt>
                <c:pt idx="16">
                  <c:v>0.83274857213885123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0E3-44B1-9C62-05B819518015}"/>
            </c:ext>
          </c:extLst>
        </c:ser>
        <c:ser>
          <c:idx val="12"/>
          <c:order val="12"/>
          <c:tx>
            <c:strRef>
              <c:f>Greeks!$AF$23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4">
                <a:tint val="49000"/>
              </a:schemeClr>
            </a:solidFill>
            <a:ln/>
            <a:effectLst/>
            <a:sp3d/>
          </c:spPr>
          <c:cat>
            <c:numRef>
              <c:f>Greeks!$S$24:$S$40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Greeks!$AF$24:$AF$40</c:f>
              <c:numCache>
                <c:formatCode>General</c:formatCode>
                <c:ptCount val="17"/>
                <c:pt idx="0">
                  <c:v>0.31394125841594145</c:v>
                </c:pt>
                <c:pt idx="1">
                  <c:v>0.36267982457804149</c:v>
                </c:pt>
                <c:pt idx="2">
                  <c:v>0.40990413904026229</c:v>
                </c:pt>
                <c:pt idx="3">
                  <c:v>0.4550931899299458</c:v>
                </c:pt>
                <c:pt idx="4">
                  <c:v>0.49790985034594043</c:v>
                </c:pt>
                <c:pt idx="5">
                  <c:v>0.53816099984174448</c:v>
                </c:pt>
                <c:pt idx="6">
                  <c:v>0.57576298201651444</c:v>
                </c:pt>
                <c:pt idx="7">
                  <c:v>0.61071300082010072</c:v>
                </c:pt>
                <c:pt idx="8">
                  <c:v>0.64306616326250143</c:v>
                </c:pt>
                <c:pt idx="9">
                  <c:v>0.67291748622828185</c:v>
                </c:pt>
                <c:pt idx="10">
                  <c:v>0.70038806898924744</c:v>
                </c:pt>
                <c:pt idx="11">
                  <c:v>0.72561465541937875</c:v>
                </c:pt>
                <c:pt idx="12">
                  <c:v>0.74874189438577665</c:v>
                </c:pt>
                <c:pt idx="13">
                  <c:v>0.76991671192728894</c:v>
                </c:pt>
                <c:pt idx="14">
                  <c:v>0.78928431354169604</c:v>
                </c:pt>
                <c:pt idx="15">
                  <c:v>0.80698542949219532</c:v>
                </c:pt>
                <c:pt idx="16">
                  <c:v>0.82315449700674104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0E3-44B1-9C62-05B819518015}"/>
            </c:ext>
          </c:extLst>
        </c:ser>
        <c:ser>
          <c:idx val="13"/>
          <c:order val="13"/>
          <c:tx>
            <c:strRef>
              <c:f>Greeks!$AG$23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4">
                <a:tint val="40000"/>
              </a:schemeClr>
            </a:solidFill>
            <a:ln/>
            <a:effectLst/>
            <a:sp3d/>
          </c:spPr>
          <c:cat>
            <c:numRef>
              <c:f>Greeks!$S$24:$S$40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Greeks!$AG$24:$AG$40</c:f>
              <c:numCache>
                <c:formatCode>General</c:formatCode>
                <c:ptCount val="17"/>
                <c:pt idx="0">
                  <c:v>0.3625886029317465</c:v>
                </c:pt>
                <c:pt idx="1">
                  <c:v>0.40818067531008484</c:v>
                </c:pt>
                <c:pt idx="2">
                  <c:v>0.45154699490085998</c:v>
                </c:pt>
                <c:pt idx="3">
                  <c:v>0.49245831881467111</c:v>
                </c:pt>
                <c:pt idx="4">
                  <c:v>0.53080875955769424</c:v>
                </c:pt>
                <c:pt idx="5">
                  <c:v>0.56658125708655704</c:v>
                </c:pt>
                <c:pt idx="6">
                  <c:v>0.59982092332225356</c:v>
                </c:pt>
                <c:pt idx="7">
                  <c:v>0.63061486355917407</c:v>
                </c:pt>
                <c:pt idx="8">
                  <c:v>0.65907714492767744</c:v>
                </c:pt>
                <c:pt idx="9">
                  <c:v>0.68533776358227261</c:v>
                </c:pt>
                <c:pt idx="10">
                  <c:v>0.70953466945632937</c:v>
                </c:pt>
                <c:pt idx="11">
                  <c:v>0.7318081009305093</c:v>
                </c:pt>
                <c:pt idx="12">
                  <c:v>0.75229664733269397</c:v>
                </c:pt>
                <c:pt idx="13">
                  <c:v>0.77113459229413017</c:v>
                </c:pt>
                <c:pt idx="14">
                  <c:v>0.78845019812977468</c:v>
                </c:pt>
                <c:pt idx="15">
                  <c:v>0.80436467483037943</c:v>
                </c:pt>
                <c:pt idx="16">
                  <c:v>0.81899164140300906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0E3-44B1-9C62-05B819518015}"/>
            </c:ext>
          </c:extLst>
        </c:ser>
        <c:bandFmts>
          <c:bandFmt>
            <c:idx val="0"/>
            <c:spPr>
              <a:solidFill>
                <a:schemeClr val="accent4">
                  <a:shade val="41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4">
                  <a:shade val="53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4">
                  <a:shade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>
                  <a:shade val="7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4">
                  <a:shade val="88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4">
                  <a:tint val="89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4">
                  <a:tint val="7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4">
                  <a:tint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tint val="5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4">
                  <a:tint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4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4">
                  <a:tint val="19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4">
                  <a:tint val="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4">
                  <a:tint val="95000"/>
                </a:schemeClr>
              </a:solidFill>
              <a:ln/>
              <a:effectLst/>
              <a:sp3d/>
            </c:spPr>
          </c:bandFmt>
        </c:bandFmts>
        <c:axId val="422222584"/>
        <c:axId val="422217008"/>
        <c:axId val="563033112"/>
      </c:surface3DChart>
      <c:catAx>
        <c:axId val="422222584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 [$]</a:t>
                </a:r>
              </a:p>
            </c:rich>
          </c:tx>
          <c:layout>
            <c:manualLayout>
              <c:xMode val="edge"/>
              <c:yMode val="edge"/>
              <c:x val="0.45766277777777775"/>
              <c:y val="0.921951767676767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422217008"/>
        <c:crosses val="autoZero"/>
        <c:auto val="1"/>
        <c:lblAlgn val="ctr"/>
        <c:lblOffset val="100"/>
        <c:noMultiLvlLbl val="0"/>
      </c:catAx>
      <c:valAx>
        <c:axId val="42221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∆</a:t>
                </a:r>
              </a:p>
            </c:rich>
          </c:tx>
          <c:layout>
            <c:manualLayout>
              <c:xMode val="edge"/>
              <c:yMode val="edge"/>
              <c:x val="3.7377056428436493E-2"/>
              <c:y val="0.5006373306207537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422222584"/>
        <c:crosses val="autoZero"/>
        <c:crossBetween val="midCat"/>
      </c:valAx>
      <c:serAx>
        <c:axId val="563033112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200" b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τ [years]</a:t>
                </a:r>
              </a:p>
            </c:rich>
          </c:tx>
          <c:layout>
            <c:manualLayout>
              <c:xMode val="edge"/>
              <c:yMode val="edge"/>
              <c:x val="0.85647592592592592"/>
              <c:y val="0.65744747474747478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422217008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l-GR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Γ</a:t>
            </a:r>
            <a:r>
              <a:rPr lang="it-IT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 plot for </a:t>
            </a:r>
            <a:r>
              <a:rPr lang="el-GR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σ</a:t>
            </a:r>
            <a:r>
              <a:rPr lang="it-IT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=0,3</a:t>
            </a:r>
            <a:endParaRPr lang="it-IT" sz="1800">
              <a:solidFill>
                <a:sysClr val="windowText" lastClr="000000"/>
              </a:solidFill>
              <a:effectLst/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180"/>
      <c:rAngAx val="0"/>
    </c:view3D>
    <c:floor>
      <c:thickness val="0"/>
      <c:spPr>
        <a:noFill/>
        <a:ln w="635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6594814814814816E-2"/>
          <c:y val="0.11895025252525253"/>
          <c:w val="0.84426611111111116"/>
          <c:h val="0.77071590909090926"/>
        </c:manualLayout>
      </c:layout>
      <c:surface3DChart>
        <c:wireframe val="0"/>
        <c:ser>
          <c:idx val="0"/>
          <c:order val="0"/>
          <c:tx>
            <c:strRef>
              <c:f>Greeks!$T$47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3">
                <a:shade val="39000"/>
              </a:schemeClr>
            </a:solidFill>
            <a:ln/>
            <a:effectLst/>
            <a:sp3d/>
          </c:spPr>
          <c:cat>
            <c:numRef>
              <c:f>Greeks!$S$48:$S$64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Greeks!$T$48:$T$64</c:f>
              <c:numCache>
                <c:formatCode>General</c:formatCode>
                <c:ptCount val="17"/>
                <c:pt idx="0">
                  <c:v>4.8371729163416413E-8</c:v>
                </c:pt>
                <c:pt idx="1">
                  <c:v>2.7992835519207707E-6</c:v>
                </c:pt>
                <c:pt idx="2">
                  <c:v>6.35621151820228E-5</c:v>
                </c:pt>
                <c:pt idx="3">
                  <c:v>6.7225819369320081E-4</c:v>
                </c:pt>
                <c:pt idx="4">
                  <c:v>3.7827836741325775E-3</c:v>
                </c:pt>
                <c:pt idx="5">
                  <c:v>1.2575012584514565E-2</c:v>
                </c:pt>
                <c:pt idx="6">
                  <c:v>2.6849994493107557E-2</c:v>
                </c:pt>
                <c:pt idx="7">
                  <c:v>3.9397555493342631E-2</c:v>
                </c:pt>
                <c:pt idx="8">
                  <c:v>4.1981596977461719E-2</c:v>
                </c:pt>
                <c:pt idx="9">
                  <c:v>3.4000529020197352E-2</c:v>
                </c:pt>
                <c:pt idx="10">
                  <c:v>2.173682248663825E-2</c:v>
                </c:pt>
                <c:pt idx="11">
                  <c:v>1.132338909622355E-2</c:v>
                </c:pt>
                <c:pt idx="12">
                  <c:v>4.9370130845059288E-3</c:v>
                </c:pt>
                <c:pt idx="13">
                  <c:v>1.8430873083992022E-3</c:v>
                </c:pt>
                <c:pt idx="14">
                  <c:v>6.0071558236562614E-4</c:v>
                </c:pt>
                <c:pt idx="15">
                  <c:v>1.738160868120766E-4</c:v>
                </c:pt>
                <c:pt idx="16">
                  <c:v>4.5297412812204589E-5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4A-4B1C-96AB-B15DC77D4815}"/>
            </c:ext>
          </c:extLst>
        </c:ser>
        <c:ser>
          <c:idx val="1"/>
          <c:order val="1"/>
          <c:tx>
            <c:strRef>
              <c:f>Greeks!$U$47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3">
                <a:shade val="48000"/>
              </a:schemeClr>
            </a:solidFill>
            <a:ln/>
            <a:effectLst/>
            <a:sp3d/>
          </c:spPr>
          <c:cat>
            <c:numRef>
              <c:f>Greeks!$S$48:$S$64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Greeks!$U$48:$U$64</c:f>
              <c:numCache>
                <c:formatCode>General</c:formatCode>
                <c:ptCount val="17"/>
                <c:pt idx="0">
                  <c:v>4.8005602280442924E-5</c:v>
                </c:pt>
                <c:pt idx="1">
                  <c:v>3.4238659642402429E-4</c:v>
                </c:pt>
                <c:pt idx="2">
                  <c:v>1.5369719040112578E-3</c:v>
                </c:pt>
                <c:pt idx="3">
                  <c:v>4.7282210181891797E-3</c:v>
                </c:pt>
                <c:pt idx="4">
                  <c:v>1.0647723775453422E-2</c:v>
                </c:pt>
                <c:pt idx="5">
                  <c:v>1.8488250396356994E-2</c:v>
                </c:pt>
                <c:pt idx="6">
                  <c:v>2.5799834788109946E-2</c:v>
                </c:pt>
                <c:pt idx="7">
                  <c:v>2.9920175402764985E-2</c:v>
                </c:pt>
                <c:pt idx="8">
                  <c:v>2.9635625719445866E-2</c:v>
                </c:pt>
                <c:pt idx="9">
                  <c:v>2.5642378317564652E-2</c:v>
                </c:pt>
                <c:pt idx="10">
                  <c:v>1.9748701502398162E-2</c:v>
                </c:pt>
                <c:pt idx="11">
                  <c:v>1.3752363931184043E-2</c:v>
                </c:pt>
                <c:pt idx="12">
                  <c:v>8.7746917760978486E-3</c:v>
                </c:pt>
                <c:pt idx="13">
                  <c:v>5.1878950118337845E-3</c:v>
                </c:pt>
                <c:pt idx="14">
                  <c:v>2.8696661309163202E-3</c:v>
                </c:pt>
                <c:pt idx="15">
                  <c:v>1.4974023713320032E-3</c:v>
                </c:pt>
                <c:pt idx="16">
                  <c:v>7.4234719458286542E-4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4A-4B1C-96AB-B15DC77D4815}"/>
            </c:ext>
          </c:extLst>
        </c:ser>
        <c:ser>
          <c:idx val="2"/>
          <c:order val="2"/>
          <c:tx>
            <c:strRef>
              <c:f>Greeks!$V$47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/>
            <a:effectLst/>
            <a:sp3d/>
          </c:spPr>
          <c:cat>
            <c:numRef>
              <c:f>Greeks!$S$48:$S$64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Greeks!$V$48:$V$64</c:f>
              <c:numCache>
                <c:formatCode>General</c:formatCode>
                <c:ptCount val="17"/>
                <c:pt idx="0">
                  <c:v>4.3836057898992057E-4</c:v>
                </c:pt>
                <c:pt idx="1">
                  <c:v>1.5558922158995399E-3</c:v>
                </c:pt>
                <c:pt idx="2">
                  <c:v>4.0687523516901537E-3</c:v>
                </c:pt>
                <c:pt idx="3">
                  <c:v>8.2932442565351941E-3</c:v>
                </c:pt>
                <c:pt idx="4">
                  <c:v>1.3762943653982108E-2</c:v>
                </c:pt>
                <c:pt idx="5">
                  <c:v>1.9245583173855801E-2</c:v>
                </c:pt>
                <c:pt idx="6">
                  <c:v>2.3306691732956811E-2</c:v>
                </c:pt>
                <c:pt idx="7">
                  <c:v>2.4990132225163459E-2</c:v>
                </c:pt>
                <c:pt idx="8">
                  <c:v>2.4156756171112039E-2</c:v>
                </c:pt>
                <c:pt idx="9">
                  <c:v>2.1367578691690262E-2</c:v>
                </c:pt>
                <c:pt idx="10">
                  <c:v>1.7510243021562302E-2</c:v>
                </c:pt>
                <c:pt idx="11">
                  <c:v>1.3432302518922605E-2</c:v>
                </c:pt>
                <c:pt idx="12">
                  <c:v>9.7303217208305568E-3</c:v>
                </c:pt>
                <c:pt idx="13">
                  <c:v>6.7057249264153339E-3</c:v>
                </c:pt>
                <c:pt idx="14">
                  <c:v>4.4244401962093725E-3</c:v>
                </c:pt>
                <c:pt idx="15">
                  <c:v>2.8101370337925181E-3</c:v>
                </c:pt>
                <c:pt idx="16">
                  <c:v>1.7261999326371308E-3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4A-4B1C-96AB-B15DC77D4815}"/>
            </c:ext>
          </c:extLst>
        </c:ser>
        <c:ser>
          <c:idx val="3"/>
          <c:order val="3"/>
          <c:tx>
            <c:strRef>
              <c:f>Greeks!$W$47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3">
                <a:shade val="67000"/>
              </a:schemeClr>
            </a:solidFill>
            <a:ln/>
            <a:effectLst/>
            <a:sp3d/>
          </c:spPr>
          <c:cat>
            <c:numRef>
              <c:f>Greeks!$S$48:$S$64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Greeks!$W$48:$W$64</c:f>
              <c:numCache>
                <c:formatCode>General</c:formatCode>
                <c:ptCount val="17"/>
                <c:pt idx="0">
                  <c:v>1.2684980236185479E-3</c:v>
                </c:pt>
                <c:pt idx="1">
                  <c:v>3.1761382873591237E-3</c:v>
                </c:pt>
                <c:pt idx="2">
                  <c:v>6.3393895489089096E-3</c:v>
                </c:pt>
                <c:pt idx="3">
                  <c:v>1.0517834159617731E-2</c:v>
                </c:pt>
                <c:pt idx="4">
                  <c:v>1.4983978051139487E-2</c:v>
                </c:pt>
                <c:pt idx="5">
                  <c:v>1.8803436356655608E-2</c:v>
                </c:pt>
                <c:pt idx="6">
                  <c:v>2.1212946857819125E-2</c:v>
                </c:pt>
                <c:pt idx="7">
                  <c:v>2.187052870331763E-2</c:v>
                </c:pt>
                <c:pt idx="8">
                  <c:v>2.0885236208200961E-2</c:v>
                </c:pt>
                <c:pt idx="9">
                  <c:v>1.8678514542129085E-2</c:v>
                </c:pt>
                <c:pt idx="10">
                  <c:v>1.5789104753624824E-2</c:v>
                </c:pt>
                <c:pt idx="11">
                  <c:v>1.2712341075815795E-2</c:v>
                </c:pt>
                <c:pt idx="12">
                  <c:v>9.8121320272589428E-3</c:v>
                </c:pt>
                <c:pt idx="13">
                  <c:v>7.300650038287E-3</c:v>
                </c:pt>
                <c:pt idx="14">
                  <c:v>5.2609033868653314E-3</c:v>
                </c:pt>
                <c:pt idx="15">
                  <c:v>3.686468334203065E-3</c:v>
                </c:pt>
                <c:pt idx="16">
                  <c:v>2.5207026945741873E-3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4A-4B1C-96AB-B15DC77D4815}"/>
            </c:ext>
          </c:extLst>
        </c:ser>
        <c:ser>
          <c:idx val="4"/>
          <c:order val="4"/>
          <c:tx>
            <c:strRef>
              <c:f>Greeks!$X$47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3">
                <a:shade val="76000"/>
              </a:schemeClr>
            </a:solidFill>
            <a:ln/>
            <a:effectLst/>
            <a:sp3d/>
          </c:spPr>
          <c:cat>
            <c:numRef>
              <c:f>Greeks!$S$48:$S$64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Greeks!$X$48:$X$64</c:f>
              <c:numCache>
                <c:formatCode>General</c:formatCode>
                <c:ptCount val="17"/>
                <c:pt idx="0">
                  <c:v>2.3382957957450946E-3</c:v>
                </c:pt>
                <c:pt idx="1">
                  <c:v>4.7488233231175458E-3</c:v>
                </c:pt>
                <c:pt idx="2">
                  <c:v>8.059977346624966E-3</c:v>
                </c:pt>
                <c:pt idx="3">
                  <c:v>1.1819037433225307E-2</c:v>
                </c:pt>
                <c:pt idx="4">
                  <c:v>1.5364246918448026E-2</c:v>
                </c:pt>
                <c:pt idx="5">
                  <c:v>1.8068228988525181E-2</c:v>
                </c:pt>
                <c:pt idx="6">
                  <c:v>1.9534751872486739E-2</c:v>
                </c:pt>
                <c:pt idx="7">
                  <c:v>1.9671994336736279E-2</c:v>
                </c:pt>
                <c:pt idx="8">
                  <c:v>1.8648956198552002E-2</c:v>
                </c:pt>
                <c:pt idx="9">
                  <c:v>1.6789169768697553E-2</c:v>
                </c:pt>
                <c:pt idx="10">
                  <c:v>1.4458770943216178E-2</c:v>
                </c:pt>
                <c:pt idx="11">
                  <c:v>1.1984095247208171E-2</c:v>
                </c:pt>
                <c:pt idx="12">
                  <c:v>9.6090347795308399E-3</c:v>
                </c:pt>
                <c:pt idx="13">
                  <c:v>7.4859286012427398E-3</c:v>
                </c:pt>
                <c:pt idx="14">
                  <c:v>5.6874317310270693E-3</c:v>
                </c:pt>
                <c:pt idx="15">
                  <c:v>4.2274159872265253E-3</c:v>
                </c:pt>
                <c:pt idx="16">
                  <c:v>3.0825818422678913E-3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44A-4B1C-96AB-B15DC77D4815}"/>
            </c:ext>
          </c:extLst>
        </c:ser>
        <c:ser>
          <c:idx val="5"/>
          <c:order val="5"/>
          <c:tx>
            <c:strRef>
              <c:f>Greeks!$Y$47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/>
            <a:effectLst/>
            <a:sp3d/>
          </c:spPr>
          <c:cat>
            <c:numRef>
              <c:f>Greeks!$S$48:$S$64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Greeks!$Y$48:$Y$64</c:f>
              <c:numCache>
                <c:formatCode>General</c:formatCode>
                <c:ptCount val="17"/>
                <c:pt idx="0">
                  <c:v>3.4549517028754713E-3</c:v>
                </c:pt>
                <c:pt idx="1">
                  <c:v>6.1025757786037091E-3</c:v>
                </c:pt>
                <c:pt idx="2">
                  <c:v>9.2966719191608007E-3</c:v>
                </c:pt>
                <c:pt idx="3">
                  <c:v>1.2555154567235539E-2</c:v>
                </c:pt>
                <c:pt idx="4">
                  <c:v>1.5354539900425004E-2</c:v>
                </c:pt>
                <c:pt idx="5">
                  <c:v>1.7291682643531966E-2</c:v>
                </c:pt>
                <c:pt idx="6">
                  <c:v>1.8172524320191754E-2</c:v>
                </c:pt>
                <c:pt idx="7">
                  <c:v>1.8015399304984771E-2</c:v>
                </c:pt>
                <c:pt idx="8">
                  <c:v>1.6995504070964784E-2</c:v>
                </c:pt>
                <c:pt idx="9">
                  <c:v>1.5368208376167368E-2</c:v>
                </c:pt>
                <c:pt idx="10">
                  <c:v>1.3400367884206782E-2</c:v>
                </c:pt>
                <c:pt idx="11">
                  <c:v>1.1323860006353008E-2</c:v>
                </c:pt>
                <c:pt idx="12">
                  <c:v>9.3130824817801022E-3</c:v>
                </c:pt>
                <c:pt idx="13">
                  <c:v>7.4811990466972433E-3</c:v>
                </c:pt>
                <c:pt idx="14">
                  <c:v>5.8878427994134399E-3</c:v>
                </c:pt>
                <c:pt idx="15">
                  <c:v>4.5518443181372789E-3</c:v>
                </c:pt>
                <c:pt idx="16">
                  <c:v>3.4645436604697206E-3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44A-4B1C-96AB-B15DC77D4815}"/>
            </c:ext>
          </c:extLst>
        </c:ser>
        <c:ser>
          <c:idx val="6"/>
          <c:order val="6"/>
          <c:tx>
            <c:strRef>
              <c:f>Greeks!$Z$47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3">
                <a:shade val="95000"/>
              </a:schemeClr>
            </a:solidFill>
            <a:ln/>
            <a:effectLst/>
            <a:sp3d/>
          </c:spPr>
          <c:cat>
            <c:numRef>
              <c:f>Greeks!$S$48:$S$64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Greeks!$Z$48:$Z$64</c:f>
              <c:numCache>
                <c:formatCode>General</c:formatCode>
                <c:ptCount val="17"/>
                <c:pt idx="0">
                  <c:v>4.509629684515108E-3</c:v>
                </c:pt>
                <c:pt idx="1">
                  <c:v>7.2096701015754924E-3</c:v>
                </c:pt>
                <c:pt idx="2">
                  <c:v>1.0167303762997197E-2</c:v>
                </c:pt>
                <c:pt idx="3">
                  <c:v>1.2946786325768763E-2</c:v>
                </c:pt>
                <c:pt idx="4">
                  <c:v>1.5157858484034765E-2</c:v>
                </c:pt>
                <c:pt idx="5">
                  <c:v>1.655034187397918E-2</c:v>
                </c:pt>
                <c:pt idx="6">
                  <c:v>1.7044687194816176E-2</c:v>
                </c:pt>
                <c:pt idx="7">
                  <c:v>1.6709061466729097E-2</c:v>
                </c:pt>
                <c:pt idx="8">
                  <c:v>1.5708358311106813E-2</c:v>
                </c:pt>
                <c:pt idx="9">
                  <c:v>1.4249101786859475E-2</c:v>
                </c:pt>
                <c:pt idx="10">
                  <c:v>1.2535218696786308E-2</c:v>
                </c:pt>
                <c:pt idx="11">
                  <c:v>1.074020246658062E-2</c:v>
                </c:pt>
                <c:pt idx="12">
                  <c:v>8.9946864621100811E-3</c:v>
                </c:pt>
                <c:pt idx="13">
                  <c:v>7.3853698760191298E-3</c:v>
                </c:pt>
                <c:pt idx="14">
                  <c:v>5.9606848610583791E-3</c:v>
                </c:pt>
                <c:pt idx="15">
                  <c:v>4.7393843504899549E-3</c:v>
                </c:pt>
                <c:pt idx="16">
                  <c:v>3.7194597267081681E-3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44A-4B1C-96AB-B15DC77D4815}"/>
            </c:ext>
          </c:extLst>
        </c:ser>
        <c:ser>
          <c:idx val="7"/>
          <c:order val="7"/>
          <c:tx>
            <c:strRef>
              <c:f>Greeks!$AA$47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3">
                <a:tint val="96000"/>
              </a:schemeClr>
            </a:solidFill>
            <a:ln/>
            <a:effectLst/>
            <a:sp3d/>
          </c:spPr>
          <c:cat>
            <c:numRef>
              <c:f>Greeks!$S$48:$S$64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Greeks!$AA$48:$AA$64</c:f>
              <c:numCache>
                <c:formatCode>General</c:formatCode>
                <c:ptCount val="17"/>
                <c:pt idx="0">
                  <c:v>5.4555892387964204E-3</c:v>
                </c:pt>
                <c:pt idx="1">
                  <c:v>8.0936358441935641E-3</c:v>
                </c:pt>
                <c:pt idx="2">
                  <c:v>1.0771870609204376E-2</c:v>
                </c:pt>
                <c:pt idx="3">
                  <c:v>1.3124825156577537E-2</c:v>
                </c:pt>
                <c:pt idx="4">
                  <c:v>1.4871858249720593E-2</c:v>
                </c:pt>
                <c:pt idx="5">
                  <c:v>1.586575934798053E-2</c:v>
                </c:pt>
                <c:pt idx="6">
                  <c:v>1.6093332217008621E-2</c:v>
                </c:pt>
                <c:pt idx="7">
                  <c:v>1.5644431582997612E-2</c:v>
                </c:pt>
                <c:pt idx="8">
                  <c:v>1.4669150678135829E-2</c:v>
                </c:pt>
                <c:pt idx="9">
                  <c:v>1.3337894677823488E-2</c:v>
                </c:pt>
                <c:pt idx="10">
                  <c:v>1.1811904293602781E-2</c:v>
                </c:pt>
                <c:pt idx="11">
                  <c:v>1.0225923975723968E-2</c:v>
                </c:pt>
                <c:pt idx="12">
                  <c:v>8.681246196908252E-3</c:v>
                </c:pt>
                <c:pt idx="13">
                  <c:v>7.2460218594597326E-3</c:v>
                </c:pt>
                <c:pt idx="14">
                  <c:v>5.9597458042224315E-3</c:v>
                </c:pt>
                <c:pt idx="15">
                  <c:v>4.8394882133299885E-3</c:v>
                </c:pt>
                <c:pt idx="16">
                  <c:v>3.8862598492258598E-3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44A-4B1C-96AB-B15DC77D4815}"/>
            </c:ext>
          </c:extLst>
        </c:ser>
        <c:ser>
          <c:idx val="8"/>
          <c:order val="8"/>
          <c:tx>
            <c:strRef>
              <c:f>Greeks!$AB$47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tint val="86000"/>
              </a:schemeClr>
            </a:solidFill>
            <a:ln/>
            <a:effectLst/>
            <a:sp3d/>
          </c:spPr>
          <c:cat>
            <c:numRef>
              <c:f>Greeks!$S$48:$S$64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Greeks!$AB$48:$AB$64</c:f>
              <c:numCache>
                <c:formatCode>General</c:formatCode>
                <c:ptCount val="17"/>
                <c:pt idx="0">
                  <c:v>6.2802722099484769E-3</c:v>
                </c:pt>
                <c:pt idx="1">
                  <c:v>8.7907122230331258E-3</c:v>
                </c:pt>
                <c:pt idx="2">
                  <c:v>1.1184482954854207E-2</c:v>
                </c:pt>
                <c:pt idx="3">
                  <c:v>1.3168033532704496E-2</c:v>
                </c:pt>
                <c:pt idx="4">
                  <c:v>1.4546046008012573E-2</c:v>
                </c:pt>
                <c:pt idx="5">
                  <c:v>1.5240725494598824E-2</c:v>
                </c:pt>
                <c:pt idx="6">
                  <c:v>1.5277763824001957E-2</c:v>
                </c:pt>
                <c:pt idx="7">
                  <c:v>1.4754868041798961E-2</c:v>
                </c:pt>
                <c:pt idx="8">
                  <c:v>1.3806984978133098E-2</c:v>
                </c:pt>
                <c:pt idx="9">
                  <c:v>1.2577052515957669E-2</c:v>
                </c:pt>
                <c:pt idx="10">
                  <c:v>1.1195871235951033E-2</c:v>
                </c:pt>
                <c:pt idx="11">
                  <c:v>9.7710707636894847E-3</c:v>
                </c:pt>
                <c:pt idx="12">
                  <c:v>8.3833035199653554E-3</c:v>
                </c:pt>
                <c:pt idx="13">
                  <c:v>7.0872762215001793E-3</c:v>
                </c:pt>
                <c:pt idx="14">
                  <c:v>5.9154595576943591E-3</c:v>
                </c:pt>
                <c:pt idx="15">
                  <c:v>4.882853467973125E-3</c:v>
                </c:pt>
                <c:pt idx="16">
                  <c:v>3.9917562221930339E-3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44A-4B1C-96AB-B15DC77D4815}"/>
            </c:ext>
          </c:extLst>
        </c:ser>
        <c:ser>
          <c:idx val="9"/>
          <c:order val="9"/>
          <c:tx>
            <c:strRef>
              <c:f>Greeks!$AC$47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3">
                <a:tint val="77000"/>
              </a:schemeClr>
            </a:solidFill>
            <a:ln/>
            <a:effectLst/>
            <a:sp3d/>
          </c:spPr>
          <c:cat>
            <c:numRef>
              <c:f>Greeks!$S$48:$S$64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Greeks!$AC$48:$AC$64</c:f>
              <c:numCache>
                <c:formatCode>General</c:formatCode>
                <c:ptCount val="17"/>
                <c:pt idx="0">
                  <c:v>6.9875383385906882E-3</c:v>
                </c:pt>
                <c:pt idx="1">
                  <c:v>9.3360824327461973E-3</c:v>
                </c:pt>
                <c:pt idx="2">
                  <c:v>1.1458084787714838E-2</c:v>
                </c:pt>
                <c:pt idx="3">
                  <c:v>1.3124994619891275E-2</c:v>
                </c:pt>
                <c:pt idx="4">
                  <c:v>1.4206432265572271E-2</c:v>
                </c:pt>
                <c:pt idx="5">
                  <c:v>1.4671609392337213E-2</c:v>
                </c:pt>
                <c:pt idx="6">
                  <c:v>1.4568912566910484E-2</c:v>
                </c:pt>
                <c:pt idx="7">
                  <c:v>1.3996906305568678E-2</c:v>
                </c:pt>
                <c:pt idx="8">
                  <c:v>1.3076461848524422E-2</c:v>
                </c:pt>
                <c:pt idx="9">
                  <c:v>1.1929120878360653E-2</c:v>
                </c:pt>
                <c:pt idx="10">
                  <c:v>1.0663126660408761E-2</c:v>
                </c:pt>
                <c:pt idx="11">
                  <c:v>9.366344559542529E-3</c:v>
                </c:pt>
                <c:pt idx="12">
                  <c:v>8.1043460458643246E-3</c:v>
                </c:pt>
                <c:pt idx="13">
                  <c:v>6.9218060724324567E-3</c:v>
                </c:pt>
                <c:pt idx="14">
                  <c:v>5.8456577452828994E-3</c:v>
                </c:pt>
                <c:pt idx="15">
                  <c:v>4.8888801197403868E-3</c:v>
                </c:pt>
                <c:pt idx="16">
                  <c:v>4.054208161540623E-3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44A-4B1C-96AB-B15DC77D4815}"/>
            </c:ext>
          </c:extLst>
        </c:ser>
        <c:ser>
          <c:idx val="10"/>
          <c:order val="10"/>
          <c:tx>
            <c:strRef>
              <c:f>Greeks!$AD$47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3">
                <a:tint val="68000"/>
              </a:schemeClr>
            </a:solidFill>
            <a:ln/>
            <a:effectLst/>
            <a:sp3d/>
          </c:spPr>
          <c:cat>
            <c:numRef>
              <c:f>Greeks!$S$48:$S$64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Greeks!$AD$48:$AD$64</c:f>
              <c:numCache>
                <c:formatCode>General</c:formatCode>
                <c:ptCount val="17"/>
                <c:pt idx="0">
                  <c:v>1.0030097674802636E-2</c:v>
                </c:pt>
                <c:pt idx="1">
                  <c:v>1.0869825982032191E-2</c:v>
                </c:pt>
                <c:pt idx="2">
                  <c:v>1.1344091423781006E-2</c:v>
                </c:pt>
                <c:pt idx="3">
                  <c:v>1.148487381824651E-2</c:v>
                </c:pt>
                <c:pt idx="4">
                  <c:v>1.1343327721716879E-2</c:v>
                </c:pt>
                <c:pt idx="5">
                  <c:v>1.0978106060139997E-2</c:v>
                </c:pt>
                <c:pt idx="6">
                  <c:v>1.0447330574272131E-2</c:v>
                </c:pt>
                <c:pt idx="7">
                  <c:v>9.8037554378220936E-3</c:v>
                </c:pt>
                <c:pt idx="8">
                  <c:v>9.092361475410371E-3</c:v>
                </c:pt>
                <c:pt idx="9">
                  <c:v>8.3496184427614955E-3</c:v>
                </c:pt>
                <c:pt idx="10">
                  <c:v>7.603783522576131E-3</c:v>
                </c:pt>
                <c:pt idx="11">
                  <c:v>6.8757669831697619E-3</c:v>
                </c:pt>
                <c:pt idx="12">
                  <c:v>6.1802445927498393E-3</c:v>
                </c:pt>
                <c:pt idx="13">
                  <c:v>5.5268144202571534E-3</c:v>
                </c:pt>
                <c:pt idx="14">
                  <c:v>4.9210815203458418E-3</c:v>
                </c:pt>
                <c:pt idx="15">
                  <c:v>4.3656123603575455E-3</c:v>
                </c:pt>
                <c:pt idx="16">
                  <c:v>3.860738073303574E-3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44A-4B1C-96AB-B15DC77D4815}"/>
            </c:ext>
          </c:extLst>
        </c:ser>
        <c:ser>
          <c:idx val="11"/>
          <c:order val="11"/>
          <c:tx>
            <c:strRef>
              <c:f>Greeks!$AE$47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/>
            <a:effectLst/>
            <a:sp3d/>
          </c:spPr>
          <c:cat>
            <c:numRef>
              <c:f>Greeks!$S$48:$S$64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Greeks!$AE$48:$AE$64</c:f>
              <c:numCache>
                <c:formatCode>General</c:formatCode>
                <c:ptCount val="17"/>
                <c:pt idx="0">
                  <c:v>1.025398028665004E-2</c:v>
                </c:pt>
                <c:pt idx="1">
                  <c:v>1.0363399155444455E-2</c:v>
                </c:pt>
                <c:pt idx="2">
                  <c:v>1.0246666696571996E-2</c:v>
                </c:pt>
                <c:pt idx="3">
                  <c:v>9.9554811818721185E-3</c:v>
                </c:pt>
                <c:pt idx="4">
                  <c:v>9.5371649510801217E-3</c:v>
                </c:pt>
                <c:pt idx="5">
                  <c:v>9.0324238181826739E-3</c:v>
                </c:pt>
                <c:pt idx="6">
                  <c:v>8.4747143075524275E-3</c:v>
                </c:pt>
                <c:pt idx="7">
                  <c:v>7.8905317151781781E-3</c:v>
                </c:pt>
                <c:pt idx="8">
                  <c:v>7.3001620980094519E-3</c:v>
                </c:pt>
                <c:pt idx="9">
                  <c:v>6.7186139847336453E-3</c:v>
                </c:pt>
                <c:pt idx="10">
                  <c:v>6.1565649557768741E-3</c:v>
                </c:pt>
                <c:pt idx="11">
                  <c:v>5.6212360131347814E-3</c:v>
                </c:pt>
                <c:pt idx="12">
                  <c:v>5.1171548019673802E-3</c:v>
                </c:pt>
                <c:pt idx="13">
                  <c:v>4.6467969605679983E-3</c:v>
                </c:pt>
                <c:pt idx="14">
                  <c:v>4.2111102732515686E-3</c:v>
                </c:pt>
                <c:pt idx="15">
                  <c:v>3.8099337821083396E-3</c:v>
                </c:pt>
                <c:pt idx="16">
                  <c:v>3.4423268142812495E-3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44A-4B1C-96AB-B15DC77D4815}"/>
            </c:ext>
          </c:extLst>
        </c:ser>
        <c:ser>
          <c:idx val="12"/>
          <c:order val="12"/>
          <c:tx>
            <c:strRef>
              <c:f>Greeks!$AF$47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3">
                <a:tint val="49000"/>
              </a:schemeClr>
            </a:solidFill>
            <a:ln/>
            <a:effectLst/>
            <a:sp3d/>
          </c:spPr>
          <c:cat>
            <c:numRef>
              <c:f>Greeks!$S$48:$S$64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Greeks!$AF$48:$AF$64</c:f>
              <c:numCache>
                <c:formatCode>General</c:formatCode>
                <c:ptCount val="17"/>
                <c:pt idx="0">
                  <c:v>9.8534950455954461E-3</c:v>
                </c:pt>
                <c:pt idx="1">
                  <c:v>9.6171460019162294E-3</c:v>
                </c:pt>
                <c:pt idx="2">
                  <c:v>9.2553580000514068E-3</c:v>
                </c:pt>
                <c:pt idx="3">
                  <c:v>8.8091587418353094E-3</c:v>
                </c:pt>
                <c:pt idx="4">
                  <c:v>8.3111834375704362E-3</c:v>
                </c:pt>
                <c:pt idx="5">
                  <c:v>7.7865829825335157E-3</c:v>
                </c:pt>
                <c:pt idx="6">
                  <c:v>7.2541928646975579E-3</c:v>
                </c:pt>
                <c:pt idx="7">
                  <c:v>6.727711143982254E-3</c:v>
                </c:pt>
                <c:pt idx="8">
                  <c:v>6.2167667801221434E-3</c:v>
                </c:pt>
                <c:pt idx="9">
                  <c:v>5.7278335105389287E-3</c:v>
                </c:pt>
                <c:pt idx="10">
                  <c:v>5.2649832426331956E-3</c:v>
                </c:pt>
                <c:pt idx="11">
                  <c:v>4.8304914892427558E-3</c:v>
                </c:pt>
                <c:pt idx="12">
                  <c:v>4.4253147744497462E-3</c:v>
                </c:pt>
                <c:pt idx="13">
                  <c:v>4.0494614630788676E-3</c:v>
                </c:pt>
                <c:pt idx="14">
                  <c:v>3.7022761379487913E-3</c:v>
                </c:pt>
                <c:pt idx="15">
                  <c:v>3.3826551294348179E-3</c:v>
                </c:pt>
                <c:pt idx="16">
                  <c:v>3.0892079723303248E-3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44A-4B1C-96AB-B15DC77D4815}"/>
            </c:ext>
          </c:extLst>
        </c:ser>
        <c:ser>
          <c:idx val="13"/>
          <c:order val="13"/>
          <c:tx>
            <c:strRef>
              <c:f>Greeks!$AG$47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3">
                <a:tint val="40000"/>
              </a:schemeClr>
            </a:solidFill>
            <a:ln/>
            <a:effectLst/>
            <a:sp3d/>
          </c:spPr>
          <c:cat>
            <c:numRef>
              <c:f>Greeks!$S$48:$S$64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Greeks!$AG$48:$AG$64</c:f>
              <c:numCache>
                <c:formatCode>General</c:formatCode>
                <c:ptCount val="17"/>
                <c:pt idx="0">
                  <c:v>9.3178601442685666E-3</c:v>
                </c:pt>
                <c:pt idx="1">
                  <c:v>8.9059405124312912E-3</c:v>
                </c:pt>
                <c:pt idx="2">
                  <c:v>8.4330908674948215E-3</c:v>
                </c:pt>
                <c:pt idx="3">
                  <c:v>7.9280236081079453E-3</c:v>
                </c:pt>
                <c:pt idx="4">
                  <c:v>7.4116721863495584E-3</c:v>
                </c:pt>
                <c:pt idx="5">
                  <c:v>6.8988971767481675E-3</c:v>
                </c:pt>
                <c:pt idx="6">
                  <c:v>6.3999223842824441E-3</c:v>
                </c:pt>
                <c:pt idx="7">
                  <c:v>5.9214922774464777E-3</c:v>
                </c:pt>
                <c:pt idx="8">
                  <c:v>5.4677797056007192E-3</c:v>
                </c:pt>
                <c:pt idx="9">
                  <c:v>5.0410846970877594E-3</c:v>
                </c:pt>
                <c:pt idx="10">
                  <c:v>4.6423651796185005E-3</c:v>
                </c:pt>
                <c:pt idx="11">
                  <c:v>4.2716357498546308E-3</c:v>
                </c:pt>
                <c:pt idx="12">
                  <c:v>3.928264530213923E-3</c:v>
                </c:pt>
                <c:pt idx="13">
                  <c:v>3.6111922111984628E-3</c:v>
                </c:pt>
                <c:pt idx="14">
                  <c:v>3.3190921842812561E-3</c:v>
                </c:pt>
                <c:pt idx="15">
                  <c:v>3.0504863785204561E-3</c:v>
                </c:pt>
                <c:pt idx="16">
                  <c:v>2.8038279821686937E-3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44A-4B1C-96AB-B15DC77D4815}"/>
            </c:ext>
          </c:extLst>
        </c:ser>
        <c:bandFmts>
          <c:bandFmt>
            <c:idx val="0"/>
            <c:spPr>
              <a:solidFill>
                <a:schemeClr val="accent3">
                  <a:shade val="42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3">
                  <a:shade val="5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>
                  <a:shade val="68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3">
                  <a:shade val="80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3">
                  <a:shade val="9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3">
                  <a:tint val="94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3">
                  <a:tint val="81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3">
                  <a:tint val="69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tint val="56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3">
                  <a:tint val="43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3">
                  <a:tint val="3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3">
                  <a:tint val="18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3">
                  <a:tint val="5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3">
                  <a:tint val="92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tint val="80000"/>
                </a:schemeClr>
              </a:solidFill>
              <a:ln/>
              <a:effectLst/>
              <a:sp3d/>
            </c:spPr>
          </c:bandFmt>
        </c:bandFmts>
        <c:axId val="566909752"/>
        <c:axId val="566910080"/>
        <c:axId val="591278944"/>
      </c:surface3DChart>
      <c:catAx>
        <c:axId val="566909752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it-IT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 [$]</a:t>
                </a:r>
              </a:p>
            </c:rich>
          </c:tx>
          <c:layout>
            <c:manualLayout>
              <c:xMode val="edge"/>
              <c:yMode val="edge"/>
              <c:x val="0.45460944444444434"/>
              <c:y val="0.92993030303030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566910080"/>
        <c:crosses val="autoZero"/>
        <c:auto val="1"/>
        <c:lblAlgn val="ctr"/>
        <c:lblOffset val="100"/>
        <c:noMultiLvlLbl val="0"/>
      </c:catAx>
      <c:valAx>
        <c:axId val="5669100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l-GR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Γ</a:t>
                </a:r>
                <a:endParaRPr lang="it-IT" sz="1200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84677185185185189"/>
              <c:y val="0.338450505050505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566909752"/>
        <c:crosses val="autoZero"/>
        <c:crossBetween val="midCat"/>
      </c:valAx>
      <c:serAx>
        <c:axId val="591278944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l-GR" sz="1200" b="0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τ</a:t>
                </a:r>
                <a:r>
                  <a:rPr lang="it-IT" sz="1200" b="0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[years]</a:t>
                </a:r>
                <a:endParaRPr lang="it-IT" sz="1200" b="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86523888888888889"/>
              <c:y val="0.67949015151515169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566910080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l-GR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ν</a:t>
            </a:r>
            <a:r>
              <a:rPr lang="it-IT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 plot for </a:t>
            </a:r>
            <a:r>
              <a:rPr lang="el-GR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σ</a:t>
            </a:r>
            <a:r>
              <a:rPr lang="it-IT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=0,3</a:t>
            </a:r>
            <a:endParaRPr lang="it-IT" sz="1800">
              <a:solidFill>
                <a:sysClr val="windowText" lastClr="000000"/>
              </a:solidFill>
              <a:effectLst/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 w="635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5671296296296296E-2"/>
          <c:y val="0.1346169191919192"/>
          <c:w val="0.78283777777777774"/>
          <c:h val="0.7656487373737374"/>
        </c:manualLayout>
      </c:layout>
      <c:surface3DChart>
        <c:wireframe val="0"/>
        <c:ser>
          <c:idx val="0"/>
          <c:order val="0"/>
          <c:tx>
            <c:strRef>
              <c:f>Greeks!$T$71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cat>
            <c:numRef>
              <c:f>Greeks!$S$72:$S$88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Greeks!$T$72:$T$88</c:f>
              <c:numCache>
                <c:formatCode>General</c:formatCode>
                <c:ptCount val="17"/>
                <c:pt idx="0">
                  <c:v>5.2241467496489727E-6</c:v>
                </c:pt>
                <c:pt idx="1">
                  <c:v>3.5480919020595768E-4</c:v>
                </c:pt>
                <c:pt idx="2">
                  <c:v>9.3436309317573522E-3</c:v>
                </c:pt>
                <c:pt idx="3">
                  <c:v>0.11344357018572764</c:v>
                </c:pt>
                <c:pt idx="4">
                  <c:v>0.72629446543345488</c:v>
                </c:pt>
                <c:pt idx="5">
                  <c:v>2.7256339776935321</c:v>
                </c:pt>
                <c:pt idx="6">
                  <c:v>6.5245486618251372</c:v>
                </c:pt>
                <c:pt idx="7">
                  <c:v>10.666888149822517</c:v>
                </c:pt>
                <c:pt idx="8">
                  <c:v>12.594479093238515</c:v>
                </c:pt>
                <c:pt idx="9">
                  <c:v>11.245674973430274</c:v>
                </c:pt>
                <c:pt idx="10">
                  <c:v>7.8904665626496842</c:v>
                </c:pt>
                <c:pt idx="11">
                  <c:v>4.4925546239266927</c:v>
                </c:pt>
                <c:pt idx="12">
                  <c:v>2.1327896525065615</c:v>
                </c:pt>
                <c:pt idx="13">
                  <c:v>0.86394717581212621</c:v>
                </c:pt>
                <c:pt idx="14">
                  <c:v>0.30456280025937243</c:v>
                </c:pt>
                <c:pt idx="15">
                  <c:v>9.5033945464502889E-2</c:v>
                </c:pt>
                <c:pt idx="16">
                  <c:v>2.6634878733576301E-2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36-455C-891D-6FE998C71C65}"/>
            </c:ext>
          </c:extLst>
        </c:ser>
        <c:ser>
          <c:idx val="1"/>
          <c:order val="1"/>
          <c:tx>
            <c:strRef>
              <c:f>Greeks!$U$71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1">
                <a:shade val="48000"/>
              </a:schemeClr>
            </a:solidFill>
            <a:ln/>
            <a:effectLst/>
            <a:sp3d/>
          </c:spPr>
          <c:cat>
            <c:numRef>
              <c:f>Greeks!$S$72:$S$88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Greeks!$U$72:$U$88</c:f>
              <c:numCache>
                <c:formatCode>General</c:formatCode>
                <c:ptCount val="17"/>
                <c:pt idx="0">
                  <c:v>1.0369210092575671E-2</c:v>
                </c:pt>
                <c:pt idx="1">
                  <c:v>8.6795002193490151E-2</c:v>
                </c:pt>
                <c:pt idx="2">
                  <c:v>0.45186973977930972</c:v>
                </c:pt>
                <c:pt idx="3">
                  <c:v>1.5957745936388483</c:v>
                </c:pt>
                <c:pt idx="4">
                  <c:v>4.0887259297741139</c:v>
                </c:pt>
                <c:pt idx="5">
                  <c:v>8.0146565468207562</c:v>
                </c:pt>
                <c:pt idx="6">
                  <c:v>12.538719707021434</c:v>
                </c:pt>
                <c:pt idx="7">
                  <c:v>16.201774980597236</c:v>
                </c:pt>
                <c:pt idx="8">
                  <c:v>17.78137543166752</c:v>
                </c:pt>
                <c:pt idx="9">
                  <c:v>16.962433257069016</c:v>
                </c:pt>
                <c:pt idx="10">
                  <c:v>14.337557290741064</c:v>
                </c:pt>
                <c:pt idx="11">
                  <c:v>10.912500779394538</c:v>
                </c:pt>
                <c:pt idx="12">
                  <c:v>7.5813336945485403</c:v>
                </c:pt>
                <c:pt idx="13">
                  <c:v>4.8636515735941721</c:v>
                </c:pt>
                <c:pt idx="14">
                  <c:v>2.9098414567491484</c:v>
                </c:pt>
                <c:pt idx="15">
                  <c:v>1.6374094930515455</c:v>
                </c:pt>
                <c:pt idx="16">
                  <c:v>0.87300030082944957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36-455C-891D-6FE998C71C65}"/>
            </c:ext>
          </c:extLst>
        </c:ser>
        <c:ser>
          <c:idx val="2"/>
          <c:order val="2"/>
          <c:tx>
            <c:strRef>
              <c:f>Greeks!$V$71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cat>
            <c:numRef>
              <c:f>Greeks!$S$72:$S$88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Greeks!$V$72:$V$88</c:f>
              <c:numCache>
                <c:formatCode>General</c:formatCode>
                <c:ptCount val="17"/>
                <c:pt idx="0">
                  <c:v>0.14202882759273425</c:v>
                </c:pt>
                <c:pt idx="1">
                  <c:v>0.59162801509579999</c:v>
                </c:pt>
                <c:pt idx="2">
                  <c:v>1.7943197870953576</c:v>
                </c:pt>
                <c:pt idx="3">
                  <c:v>4.1984549048709416</c:v>
                </c:pt>
                <c:pt idx="4">
                  <c:v>7.9274555446936921</c:v>
                </c:pt>
                <c:pt idx="5">
                  <c:v>12.514440458799733</c:v>
                </c:pt>
                <c:pt idx="6">
                  <c:v>16.990578273325511</c:v>
                </c:pt>
                <c:pt idx="7">
                  <c:v>20.298234899889014</c:v>
                </c:pt>
                <c:pt idx="8">
                  <c:v>21.741080554000831</c:v>
                </c:pt>
                <c:pt idx="9">
                  <c:v>21.201979956829657</c:v>
                </c:pt>
                <c:pt idx="10">
                  <c:v>19.068654650481346</c:v>
                </c:pt>
                <c:pt idx="11">
                  <c:v>15.98779807314763</c:v>
                </c:pt>
                <c:pt idx="12">
                  <c:v>12.610496950196401</c:v>
                </c:pt>
                <c:pt idx="13">
                  <c:v>9.4299256777715623</c:v>
                </c:pt>
                <c:pt idx="14">
                  <c:v>6.7295735384344546</c:v>
                </c:pt>
                <c:pt idx="15">
                  <c:v>4.6093272696781771</c:v>
                </c:pt>
                <c:pt idx="16">
                  <c:v>3.0450166811718988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36-455C-891D-6FE998C71C65}"/>
            </c:ext>
          </c:extLst>
        </c:ser>
        <c:ser>
          <c:idx val="3"/>
          <c:order val="3"/>
          <c:tx>
            <c:strRef>
              <c:f>Greeks!$W$71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cat>
            <c:numRef>
              <c:f>Greeks!$S$72:$S$88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Greeks!$W$72:$W$88</c:f>
              <c:numCache>
                <c:formatCode>General</c:formatCode>
                <c:ptCount val="17"/>
                <c:pt idx="0">
                  <c:v>0.54799114620321265</c:v>
                </c:pt>
                <c:pt idx="1">
                  <c:v>1.6103021116910758</c:v>
                </c:pt>
                <c:pt idx="2">
                  <c:v>3.7275610547584388</c:v>
                </c:pt>
                <c:pt idx="3">
                  <c:v>7.0995380577419693</c:v>
                </c:pt>
                <c:pt idx="4">
                  <c:v>11.507695143275125</c:v>
                </c:pt>
                <c:pt idx="5">
                  <c:v>16.302579321220414</c:v>
                </c:pt>
                <c:pt idx="6">
                  <c:v>20.61898434580019</c:v>
                </c:pt>
                <c:pt idx="7">
                  <c:v>23.685782585692991</c:v>
                </c:pt>
                <c:pt idx="8">
                  <c:v>25.062283449841154</c:v>
                </c:pt>
                <c:pt idx="9">
                  <c:v>24.711674739236781</c:v>
                </c:pt>
                <c:pt idx="10">
                  <c:v>22.925780102263243</c:v>
                </c:pt>
                <c:pt idx="11">
                  <c:v>20.174485287319666</c:v>
                </c:pt>
                <c:pt idx="12">
                  <c:v>16.955364143103456</c:v>
                </c:pt>
                <c:pt idx="13">
                  <c:v>13.688718821788127</c:v>
                </c:pt>
                <c:pt idx="14">
                  <c:v>10.669112068562891</c:v>
                </c:pt>
                <c:pt idx="15">
                  <c:v>8.0623062469021036</c:v>
                </c:pt>
                <c:pt idx="16">
                  <c:v>5.9286927376384888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36-455C-891D-6FE998C71C65}"/>
            </c:ext>
          </c:extLst>
        </c:ser>
        <c:ser>
          <c:idx val="4"/>
          <c:order val="4"/>
          <c:tx>
            <c:strRef>
              <c:f>Greeks!$X$71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cat>
            <c:numRef>
              <c:f>Greeks!$S$72:$S$88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Greeks!$X$72:$X$88</c:f>
              <c:numCache>
                <c:formatCode>General</c:formatCode>
                <c:ptCount val="17"/>
                <c:pt idx="0">
                  <c:v>1.2626797297023513</c:v>
                </c:pt>
                <c:pt idx="1">
                  <c:v>3.0095667810257449</c:v>
                </c:pt>
                <c:pt idx="2">
                  <c:v>5.9240833497693499</c:v>
                </c:pt>
                <c:pt idx="3">
                  <c:v>9.9723128342838532</c:v>
                </c:pt>
                <c:pt idx="4">
                  <c:v>14.749677041710106</c:v>
                </c:pt>
                <c:pt idx="5">
                  <c:v>19.581443166314163</c:v>
                </c:pt>
                <c:pt idx="6">
                  <c:v>23.734723525071391</c:v>
                </c:pt>
                <c:pt idx="7">
                  <c:v>26.630962333356742</c:v>
                </c:pt>
                <c:pt idx="8">
                  <c:v>27.973434297828003</c:v>
                </c:pt>
                <c:pt idx="9">
                  <c:v>27.765089504983582</c:v>
                </c:pt>
                <c:pt idx="10">
                  <c:v>26.242669261937365</c:v>
                </c:pt>
                <c:pt idx="11">
                  <c:v>23.773448946649211</c:v>
                </c:pt>
                <c:pt idx="12">
                  <c:v>20.755515123786619</c:v>
                </c:pt>
                <c:pt idx="13">
                  <c:v>17.545145159162672</c:v>
                </c:pt>
                <c:pt idx="14">
                  <c:v>14.417639438153623</c:v>
                </c:pt>
                <c:pt idx="15">
                  <c:v>11.556698455080513</c:v>
                </c:pt>
                <c:pt idx="16">
                  <c:v>9.062790616267602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36-455C-891D-6FE998C71C65}"/>
            </c:ext>
          </c:extLst>
        </c:ser>
        <c:ser>
          <c:idx val="5"/>
          <c:order val="5"/>
          <c:tx>
            <c:strRef>
              <c:f>Greeks!$Y$71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Greeks!$S$72:$S$88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Greeks!$Y$72:$Y$88</c:f>
              <c:numCache>
                <c:formatCode>General</c:formatCode>
                <c:ptCount val="17"/>
                <c:pt idx="0">
                  <c:v>2.2388087034633055</c:v>
                </c:pt>
                <c:pt idx="1">
                  <c:v>4.6410088796281217</c:v>
                </c:pt>
                <c:pt idx="2">
                  <c:v>8.1996646326998253</c:v>
                </c:pt>
                <c:pt idx="3">
                  <c:v>12.712093999325983</c:v>
                </c:pt>
                <c:pt idx="4">
                  <c:v>17.688429965289604</c:v>
                </c:pt>
                <c:pt idx="5">
                  <c:v>22.487833277913321</c:v>
                </c:pt>
                <c:pt idx="6">
                  <c:v>26.495540458839582</c:v>
                </c:pt>
                <c:pt idx="7">
                  <c:v>29.266016170947758</c:v>
                </c:pt>
                <c:pt idx="8">
                  <c:v>30.591907327736617</c:v>
                </c:pt>
                <c:pt idx="9">
                  <c:v>30.498209522504144</c:v>
                </c:pt>
                <c:pt idx="10">
                  <c:v>29.186001251802374</c:v>
                </c:pt>
                <c:pt idx="11">
                  <c:v>26.956448745123339</c:v>
                </c:pt>
                <c:pt idx="12">
                  <c:v>24.139509792774032</c:v>
                </c:pt>
                <c:pt idx="13">
                  <c:v>21.040872318835998</c:v>
                </c:pt>
                <c:pt idx="14">
                  <c:v>17.910817795815685</c:v>
                </c:pt>
                <c:pt idx="15">
                  <c:v>14.932325285649343</c:v>
                </c:pt>
                <c:pt idx="16">
                  <c:v>12.222910034137175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136-455C-891D-6FE998C71C65}"/>
            </c:ext>
          </c:extLst>
        </c:ser>
        <c:ser>
          <c:idx val="6"/>
          <c:order val="6"/>
          <c:tx>
            <c:strRef>
              <c:f>Greeks!$Z$71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cat>
            <c:numRef>
              <c:f>Greeks!$S$72:$S$88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Greeks!$Z$72:$Z$88</c:f>
              <c:numCache>
                <c:formatCode>General</c:formatCode>
                <c:ptCount val="17"/>
                <c:pt idx="0">
                  <c:v>3.4092800414934215</c:v>
                </c:pt>
                <c:pt idx="1">
                  <c:v>6.3967797976228562</c:v>
                </c:pt>
                <c:pt idx="2">
                  <c:v>10.462155572124116</c:v>
                </c:pt>
                <c:pt idx="3">
                  <c:v>15.293391347314351</c:v>
                </c:pt>
                <c:pt idx="4">
                  <c:v>20.372161802542724</c:v>
                </c:pt>
                <c:pt idx="5">
                  <c:v>25.111006208294913</c:v>
                </c:pt>
                <c:pt idx="6">
                  <c:v>28.993012918382313</c:v>
                </c:pt>
                <c:pt idx="7">
                  <c:v>31.667848744818325</c:v>
                </c:pt>
                <c:pt idx="8">
                  <c:v>32.987552453324305</c:v>
                </c:pt>
                <c:pt idx="9">
                  <c:v>32.9902329120264</c:v>
                </c:pt>
                <c:pt idx="10">
                  <c:v>31.851990708534011</c:v>
                </c:pt>
                <c:pt idx="11">
                  <c:v>29.828227300311028</c:v>
                </c:pt>
                <c:pt idx="12">
                  <c:v>27.199931861420886</c:v>
                </c:pt>
                <c:pt idx="13">
                  <c:v>24.233244905687769</c:v>
                </c:pt>
                <c:pt idx="14">
                  <c:v>21.154470571896187</c:v>
                </c:pt>
                <c:pt idx="15">
                  <c:v>18.138808755412679</c:v>
                </c:pt>
                <c:pt idx="16">
                  <c:v>15.309296235130819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136-455C-891D-6FE998C71C65}"/>
            </c:ext>
          </c:extLst>
        </c:ser>
        <c:ser>
          <c:idx val="7"/>
          <c:order val="7"/>
          <c:tx>
            <c:strRef>
              <c:f>Greeks!$AA$71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cat>
            <c:numRef>
              <c:f>Greeks!$S$72:$S$88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Greeks!$AA$72:$AA$88</c:f>
              <c:numCache>
                <c:formatCode>General</c:formatCode>
                <c:ptCount val="17"/>
                <c:pt idx="0">
                  <c:v>4.7136291023201071</c:v>
                </c:pt>
                <c:pt idx="1">
                  <c:v>8.2069467460122727</c:v>
                </c:pt>
                <c:pt idx="2">
                  <c:v>12.667719836424343</c:v>
                </c:pt>
                <c:pt idx="3">
                  <c:v>17.718513961379674</c:v>
                </c:pt>
                <c:pt idx="4">
                  <c:v>22.843174271570835</c:v>
                </c:pt>
                <c:pt idx="5">
                  <c:v>27.511226709398237</c:v>
                </c:pt>
                <c:pt idx="6">
                  <c:v>31.285437829864762</c:v>
                </c:pt>
                <c:pt idx="7">
                  <c:v>33.885838808772824</c:v>
                </c:pt>
                <c:pt idx="8">
                  <c:v>35.205961627525987</c:v>
                </c:pt>
                <c:pt idx="9">
                  <c:v>35.292069317520948</c:v>
                </c:pt>
                <c:pt idx="10">
                  <c:v>34.301770068622474</c:v>
                </c:pt>
                <c:pt idx="11">
                  <c:v>32.457082698947879</c:v>
                </c:pt>
                <c:pt idx="12">
                  <c:v>30.002386856514917</c:v>
                </c:pt>
                <c:pt idx="13">
                  <c:v>27.172581972973994</c:v>
                </c:pt>
                <c:pt idx="14">
                  <c:v>24.172728981926181</c:v>
                </c:pt>
                <c:pt idx="15">
                  <c:v>21.167921445105367</c:v>
                </c:pt>
                <c:pt idx="16">
                  <c:v>18.280966330758439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136-455C-891D-6FE998C71C65}"/>
            </c:ext>
          </c:extLst>
        </c:ser>
        <c:ser>
          <c:idx val="8"/>
          <c:order val="8"/>
          <c:tx>
            <c:strRef>
              <c:f>Greeks!$AB$71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Greeks!$S$72:$S$88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Greeks!$AB$72:$AB$88</c:f>
              <c:numCache>
                <c:formatCode>General</c:formatCode>
                <c:ptCount val="17"/>
                <c:pt idx="0">
                  <c:v>6.1044245880699188</c:v>
                </c:pt>
                <c:pt idx="1">
                  <c:v>10.028004968425037</c:v>
                </c:pt>
                <c:pt idx="2">
                  <c:v>14.797070949272113</c:v>
                </c:pt>
                <c:pt idx="3">
                  <c:v>19.998950927794951</c:v>
                </c:pt>
                <c:pt idx="4">
                  <c:v>25.135567501845724</c:v>
                </c:pt>
                <c:pt idx="5">
                  <c:v>29.730845258588655</c:v>
                </c:pt>
                <c:pt idx="6">
                  <c:v>33.412469483092273</c:v>
                </c:pt>
                <c:pt idx="7">
                  <c:v>35.953924700853619</c:v>
                </c:pt>
                <c:pt idx="8">
                  <c:v>37.278859440959366</c:v>
                </c:pt>
                <c:pt idx="9">
                  <c:v>37.438741076876994</c:v>
                </c:pt>
                <c:pt idx="10">
                  <c:v>36.576911327852024</c:v>
                </c:pt>
                <c:pt idx="11">
                  <c:v>34.890050929444229</c:v>
                </c:pt>
                <c:pt idx="12">
                  <c:v>32.594284085625297</c:v>
                </c:pt>
                <c:pt idx="13">
                  <c:v>29.899446559453878</c:v>
                </c:pt>
                <c:pt idx="14">
                  <c:v>26.992241961759355</c:v>
                </c:pt>
                <c:pt idx="15">
                  <c:v>24.027301202528754</c:v>
                </c:pt>
                <c:pt idx="16">
                  <c:v>21.124373927845529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36-455C-891D-6FE998C71C65}"/>
            </c:ext>
          </c:extLst>
        </c:ser>
        <c:ser>
          <c:idx val="9"/>
          <c:order val="9"/>
          <c:tx>
            <c:strRef>
              <c:f>Greeks!$AC$71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cat>
            <c:numRef>
              <c:f>Greeks!$S$72:$S$88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Greeks!$AC$72:$AC$88</c:f>
              <c:numCache>
                <c:formatCode>General</c:formatCode>
                <c:ptCount val="17"/>
                <c:pt idx="0">
                  <c:v>7.5465414056779432</c:v>
                </c:pt>
                <c:pt idx="1">
                  <c:v>11.833484483505805</c:v>
                </c:pt>
                <c:pt idx="2">
                  <c:v>16.843384637940812</c:v>
                </c:pt>
                <c:pt idx="3">
                  <c:v>22.148428421066527</c:v>
                </c:pt>
                <c:pt idx="4">
                  <c:v>27.276349949898758</c:v>
                </c:pt>
                <c:pt idx="5">
                  <c:v>31.80071335789091</c:v>
                </c:pt>
                <c:pt idx="6">
                  <c:v>35.402457537592475</c:v>
                </c:pt>
                <c:pt idx="7">
                  <c:v>37.896623822327193</c:v>
                </c:pt>
                <c:pt idx="8">
                  <c:v>39.229385545573265</c:v>
                </c:pt>
                <c:pt idx="9">
                  <c:v>39.455567305177858</c:v>
                </c:pt>
                <c:pt idx="10">
                  <c:v>38.707149777283803</c:v>
                </c:pt>
                <c:pt idx="11">
                  <c:v>37.160972039984983</c:v>
                </c:pt>
                <c:pt idx="12">
                  <c:v>35.010774918133883</c:v>
                </c:pt>
                <c:pt idx="13">
                  <c:v>32.44596596452714</c:v>
                </c:pt>
                <c:pt idx="14">
                  <c:v>29.637484768584301</c:v>
                </c:pt>
                <c:pt idx="15">
                  <c:v>26.729952054680563</c:v>
                </c:pt>
                <c:pt idx="16">
                  <c:v>23.838743989858862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136-455C-891D-6FE998C71C65}"/>
            </c:ext>
          </c:extLst>
        </c:ser>
        <c:ser>
          <c:idx val="10"/>
          <c:order val="10"/>
          <c:tx>
            <c:strRef>
              <c:f>Greeks!$AD$71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cat>
            <c:numRef>
              <c:f>Greeks!$S$72:$S$88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Greeks!$AD$72:$AD$88</c:f>
              <c:numCache>
                <c:formatCode>General</c:formatCode>
                <c:ptCount val="17"/>
                <c:pt idx="0">
                  <c:v>21.665010977573697</c:v>
                </c:pt>
                <c:pt idx="1">
                  <c:v>27.555008864451608</c:v>
                </c:pt>
                <c:pt idx="2">
                  <c:v>33.351628785916162</c:v>
                </c:pt>
                <c:pt idx="3">
                  <c:v>38.761449136581973</c:v>
                </c:pt>
                <c:pt idx="4">
                  <c:v>43.558378451392819</c:v>
                </c:pt>
                <c:pt idx="5">
                  <c:v>47.590089770706882</c:v>
                </c:pt>
                <c:pt idx="6">
                  <c:v>50.774026590962563</c:v>
                </c:pt>
                <c:pt idx="7">
                  <c:v>53.087335695806651</c:v>
                </c:pt>
                <c:pt idx="8">
                  <c:v>54.554168852462226</c:v>
                </c:pt>
                <c:pt idx="9">
                  <c:v>55.232725998867295</c:v>
                </c:pt>
                <c:pt idx="10">
                  <c:v>55.203468373902709</c:v>
                </c:pt>
                <c:pt idx="11">
                  <c:v>54.559211011452071</c:v>
                </c:pt>
                <c:pt idx="12">
                  <c:v>53.39731328135862</c:v>
                </c:pt>
                <c:pt idx="13">
                  <c:v>51.813885189910813</c:v>
                </c:pt>
                <c:pt idx="14">
                  <c:v>49.899766616306842</c:v>
                </c:pt>
                <c:pt idx="15">
                  <c:v>47.737971160509765</c:v>
                </c:pt>
                <c:pt idx="16">
                  <c:v>45.402279742050034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136-455C-891D-6FE998C71C65}"/>
            </c:ext>
          </c:extLst>
        </c:ser>
        <c:ser>
          <c:idx val="11"/>
          <c:order val="11"/>
          <c:tx>
            <c:strRef>
              <c:f>Greeks!$AE$71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Greeks!$S$72:$S$88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Greeks!$AE$72:$AE$88</c:f>
              <c:numCache>
                <c:formatCode>General</c:formatCode>
                <c:ptCount val="17"/>
                <c:pt idx="0">
                  <c:v>33.222896128746122</c:v>
                </c:pt>
                <c:pt idx="1">
                  <c:v>39.406825288577544</c:v>
                </c:pt>
                <c:pt idx="2">
                  <c:v>45.187800131882504</c:v>
                </c:pt>
                <c:pt idx="3">
                  <c:v>50.3996234832276</c:v>
                </c:pt>
                <c:pt idx="4">
                  <c:v>54.934070118221499</c:v>
                </c:pt>
                <c:pt idx="5">
                  <c:v>58.73333587773282</c:v>
                </c:pt>
                <c:pt idx="6">
                  <c:v>61.780667302057189</c:v>
                </c:pt>
                <c:pt idx="7">
                  <c:v>64.090843856534732</c:v>
                </c:pt>
                <c:pt idx="8">
                  <c:v>65.701458882085063</c:v>
                </c:pt>
                <c:pt idx="9">
                  <c:v>66.665447263519582</c:v>
                </c:pt>
                <c:pt idx="10">
                  <c:v>67.044992368410149</c:v>
                </c:pt>
                <c:pt idx="11">
                  <c:v>66.906761646336719</c:v>
                </c:pt>
                <c:pt idx="12">
                  <c:v>66.318326233497231</c:v>
                </c:pt>
                <c:pt idx="13">
                  <c:v>65.345582257987473</c:v>
                </c:pt>
                <c:pt idx="14">
                  <c:v>64.050987256156361</c:v>
                </c:pt>
                <c:pt idx="15">
                  <c:v>62.492438861032042</c:v>
                </c:pt>
                <c:pt idx="16">
                  <c:v>60.722645003921244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136-455C-891D-6FE998C71C65}"/>
            </c:ext>
          </c:extLst>
        </c:ser>
        <c:ser>
          <c:idx val="12"/>
          <c:order val="12"/>
          <c:tx>
            <c:strRef>
              <c:f>Greeks!$AF$71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tint val="49000"/>
              </a:schemeClr>
            </a:solidFill>
            <a:ln/>
            <a:effectLst/>
            <a:sp3d/>
          </c:spPr>
          <c:cat>
            <c:numRef>
              <c:f>Greeks!$S$72:$S$88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Greeks!$AF$72:$AF$88</c:f>
              <c:numCache>
                <c:formatCode>General</c:formatCode>
                <c:ptCount val="17"/>
                <c:pt idx="0">
                  <c:v>42.567098596972329</c:v>
                </c:pt>
                <c:pt idx="1">
                  <c:v>48.758930229715283</c:v>
                </c:pt>
                <c:pt idx="2">
                  <c:v>54.421505040302272</c:v>
                </c:pt>
                <c:pt idx="3">
                  <c:v>59.461821507388336</c:v>
                </c:pt>
                <c:pt idx="4">
                  <c:v>63.829888800540957</c:v>
                </c:pt>
                <c:pt idx="5">
                  <c:v>67.509674458565584</c:v>
                </c:pt>
                <c:pt idx="6">
                  <c:v>70.51075464486027</c:v>
                </c:pt>
                <c:pt idx="7">
                  <c:v>72.861111689327814</c:v>
                </c:pt>
                <c:pt idx="8">
                  <c:v>74.601201361465712</c:v>
                </c:pt>
                <c:pt idx="9">
                  <c:v>75.77923734443003</c:v>
                </c:pt>
                <c:pt idx="10">
                  <c:v>76.447556683033994</c:v>
                </c:pt>
                <c:pt idx="11">
                  <c:v>76.659899934282535</c:v>
                </c:pt>
                <c:pt idx="12">
                  <c:v>76.469439302491622</c:v>
                </c:pt>
                <c:pt idx="13">
                  <c:v>75.927402432728769</c:v>
                </c:pt>
                <c:pt idx="14">
                  <c:v>75.082160077601486</c:v>
                </c:pt>
                <c:pt idx="15">
                  <c:v>73.978667680739463</c:v>
                </c:pt>
                <c:pt idx="16">
                  <c:v>72.65817150920924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136-455C-891D-6FE998C71C65}"/>
            </c:ext>
          </c:extLst>
        </c:ser>
        <c:ser>
          <c:idx val="13"/>
          <c:order val="13"/>
          <c:tx>
            <c:strRef>
              <c:f>Greeks!$AG$71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cat>
            <c:numRef>
              <c:f>Greeks!$S$72:$S$88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Greeks!$AG$72:$AG$88</c:f>
              <c:numCache>
                <c:formatCode>General</c:formatCode>
                <c:ptCount val="17"/>
                <c:pt idx="0">
                  <c:v>50.316444779050272</c:v>
                </c:pt>
                <c:pt idx="1">
                  <c:v>56.441397997533322</c:v>
                </c:pt>
                <c:pt idx="2">
                  <c:v>61.983217876086933</c:v>
                </c:pt>
                <c:pt idx="3">
                  <c:v>66.892699193410792</c:v>
                </c:pt>
                <c:pt idx="4">
                  <c:v>71.152052988955774</c:v>
                </c:pt>
                <c:pt idx="5">
                  <c:v>74.766798153008267</c:v>
                </c:pt>
                <c:pt idx="6">
                  <c:v>77.759056969031704</c:v>
                </c:pt>
                <c:pt idx="7">
                  <c:v>80.162201705931693</c:v>
                </c:pt>
                <c:pt idx="8">
                  <c:v>82.016695584010805</c:v>
                </c:pt>
                <c:pt idx="9">
                  <c:v>83.36693817808883</c:v>
                </c:pt>
                <c:pt idx="10">
                  <c:v>84.258928010075778</c:v>
                </c:pt>
                <c:pt idx="11">
                  <c:v>84.73857418774125</c:v>
                </c:pt>
                <c:pt idx="12">
                  <c:v>84.85051385262075</c:v>
                </c:pt>
                <c:pt idx="13">
                  <c:v>84.637317449963987</c:v>
                </c:pt>
                <c:pt idx="14">
                  <c:v>84.138986871529852</c:v>
                </c:pt>
                <c:pt idx="15">
                  <c:v>83.39267137280298</c:v>
                </c:pt>
                <c:pt idx="16">
                  <c:v>82.432542675759592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136-455C-891D-6FE998C71C65}"/>
            </c:ext>
          </c:extLst>
        </c:ser>
        <c:bandFmts>
          <c:bandFmt>
            <c:idx val="0"/>
            <c:spPr>
              <a:solidFill>
                <a:schemeClr val="accent1">
                  <a:shade val="42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5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68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80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shade val="9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94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81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69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56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18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5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92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0"/>
                </a:schemeClr>
              </a:solidFill>
              <a:ln/>
              <a:effectLst/>
              <a:sp3d/>
            </c:spPr>
          </c:bandFmt>
        </c:bandFmts>
        <c:axId val="970951656"/>
        <c:axId val="970947392"/>
        <c:axId val="599198824"/>
      </c:surface3DChart>
      <c:catAx>
        <c:axId val="970951656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it-IT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 [$]</a:t>
                </a:r>
              </a:p>
            </c:rich>
          </c:tx>
          <c:layout>
            <c:manualLayout>
              <c:xMode val="edge"/>
              <c:yMode val="edge"/>
              <c:x val="0.3920951851851851"/>
              <c:y val="0.9007659090909091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970947392"/>
        <c:crosses val="autoZero"/>
        <c:auto val="1"/>
        <c:lblAlgn val="ctr"/>
        <c:lblOffset val="100"/>
        <c:noMultiLvlLbl val="0"/>
      </c:catAx>
      <c:valAx>
        <c:axId val="97094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l-GR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ν</a:t>
                </a:r>
                <a:endParaRPr lang="it-IT" sz="1200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3.0345E-2"/>
              <c:y val="0.4595113636363636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970951656"/>
        <c:crosses val="autoZero"/>
        <c:crossBetween val="midCat"/>
      </c:valAx>
      <c:serAx>
        <c:axId val="599198824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l-GR" sz="1200" b="0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τ</a:t>
                </a:r>
                <a:r>
                  <a:rPr lang="it-IT" sz="1200" b="0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[years]</a:t>
                </a:r>
                <a:endParaRPr lang="it-IT" sz="1200" b="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970947392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l-GR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ϴ</a:t>
            </a:r>
            <a:r>
              <a:rPr lang="it-IT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 plot for </a:t>
            </a:r>
            <a:r>
              <a:rPr lang="el-GR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σ</a:t>
            </a:r>
            <a:r>
              <a:rPr lang="it-IT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=0,3</a:t>
            </a:r>
            <a:endParaRPr lang="it-IT">
              <a:solidFill>
                <a:sysClr val="windowText" lastClr="000000"/>
              </a:solidFill>
              <a:effectLst/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180"/>
      <c:rAngAx val="0"/>
    </c:view3D>
    <c:floor>
      <c:thickness val="0"/>
      <c:spPr>
        <a:noFill/>
        <a:ln w="635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587037037037037E-2"/>
          <c:y val="0.13052777777777777"/>
          <c:w val="0.88879277777777776"/>
          <c:h val="0.78107702020202019"/>
        </c:manualLayout>
      </c:layout>
      <c:surface3DChart>
        <c:wireframe val="0"/>
        <c:ser>
          <c:idx val="0"/>
          <c:order val="0"/>
          <c:tx>
            <c:strRef>
              <c:f>Greeks!$T$95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6">
                <a:shade val="39000"/>
              </a:schemeClr>
            </a:solidFill>
            <a:ln/>
            <a:effectLst/>
            <a:sp3d/>
          </c:spPr>
          <c:cat>
            <c:numRef>
              <c:f>Greeks!$S$96:$S$112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Greeks!$T$96:$T$112</c:f>
              <c:numCache>
                <c:formatCode>General</c:formatCode>
                <c:ptCount val="17"/>
                <c:pt idx="0">
                  <c:v>-7.86574635674896E-6</c:v>
                </c:pt>
                <c:pt idx="1">
                  <c:v>-5.3456152474156966E-4</c:v>
                </c:pt>
                <c:pt idx="2">
                  <c:v>-1.4088726906542936E-2</c:v>
                </c:pt>
                <c:pt idx="3">
                  <c:v>-0.17123698568076551</c:v>
                </c:pt>
                <c:pt idx="4">
                  <c:v>-1.0978796531062129</c:v>
                </c:pt>
                <c:pt idx="5">
                  <c:v>-4.1284706726956406</c:v>
                </c:pt>
                <c:pt idx="6">
                  <c:v>-9.9122869262396929</c:v>
                </c:pt>
                <c:pt idx="7">
                  <c:v>-16.281827134620691</c:v>
                </c:pt>
                <c:pt idx="8">
                  <c:v>-19.376518662495105</c:v>
                </c:pt>
                <c:pt idx="9">
                  <c:v>-17.551290771483384</c:v>
                </c:pt>
                <c:pt idx="10">
                  <c:v>-12.668285785275069</c:v>
                </c:pt>
                <c:pt idx="11">
                  <c:v>-7.6624531936093607</c:v>
                </c:pt>
                <c:pt idx="12">
                  <c:v>-4.1684960311975683</c:v>
                </c:pt>
                <c:pt idx="13">
                  <c:v>-2.2846318302699427</c:v>
                </c:pt>
                <c:pt idx="14">
                  <c:v>-1.4526683526875774</c:v>
                </c:pt>
                <c:pt idx="15">
                  <c:v>-1.1406677602666562</c:v>
                </c:pt>
                <c:pt idx="16">
                  <c:v>-1.0387288500578733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AB-483D-B387-B37126054CAC}"/>
            </c:ext>
          </c:extLst>
        </c:ser>
        <c:ser>
          <c:idx val="1"/>
          <c:order val="1"/>
          <c:tx>
            <c:strRef>
              <c:f>Greeks!$U$95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6">
                <a:shade val="48000"/>
              </a:schemeClr>
            </a:solidFill>
            <a:ln/>
            <a:effectLst/>
            <a:sp3d/>
          </c:spPr>
          <c:cat>
            <c:numRef>
              <c:f>Greeks!$S$96:$S$112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Greeks!$U$96:$U$112</c:f>
              <c:numCache>
                <c:formatCode>General</c:formatCode>
                <c:ptCount val="17"/>
                <c:pt idx="0">
                  <c:v>-7.8335702211474924E-3</c:v>
                </c:pt>
                <c:pt idx="1">
                  <c:v>-6.5646267986270448E-2</c:v>
                </c:pt>
                <c:pt idx="2">
                  <c:v>-0.34225293749200414</c:v>
                </c:pt>
                <c:pt idx="3">
                  <c:v>-1.2108334849312246</c:v>
                </c:pt>
                <c:pt idx="4">
                  <c:v>-3.1095952477789739</c:v>
                </c:pt>
                <c:pt idx="5">
                  <c:v>-6.1139874855477672</c:v>
                </c:pt>
                <c:pt idx="6">
                  <c:v>-9.6047976302199629</c:v>
                </c:pt>
                <c:pt idx="7">
                  <c:v>-12.482633365255644</c:v>
                </c:pt>
                <c:pt idx="8">
                  <c:v>-13.814268800717613</c:v>
                </c:pt>
                <c:pt idx="9">
                  <c:v>-13.342865833248622</c:v>
                </c:pt>
                <c:pt idx="10">
                  <c:v>-11.496483138494906</c:v>
                </c:pt>
                <c:pt idx="11">
                  <c:v>-9.0215023742313356</c:v>
                </c:pt>
                <c:pt idx="12">
                  <c:v>-6.5885479050464948</c:v>
                </c:pt>
                <c:pt idx="13">
                  <c:v>-4.5922621222575026</c:v>
                </c:pt>
                <c:pt idx="14">
                  <c:v>-3.1519440704995945</c:v>
                </c:pt>
                <c:pt idx="15">
                  <c:v>-2.21163157374898</c:v>
                </c:pt>
                <c:pt idx="16">
                  <c:v>-1.645736548549674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AB-483D-B387-B37126054CAC}"/>
            </c:ext>
          </c:extLst>
        </c:ser>
        <c:ser>
          <c:idx val="2"/>
          <c:order val="2"/>
          <c:tx>
            <c:strRef>
              <c:f>Greeks!$V$95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6">
                <a:shade val="58000"/>
              </a:schemeClr>
            </a:solidFill>
            <a:ln/>
            <a:effectLst/>
            <a:sp3d/>
          </c:spPr>
          <c:cat>
            <c:numRef>
              <c:f>Greeks!$S$96:$S$112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Greeks!$V$96:$V$112</c:f>
              <c:numCache>
                <c:formatCode>General</c:formatCode>
                <c:ptCount val="17"/>
                <c:pt idx="0">
                  <c:v>-7.1767328703131336E-2</c:v>
                </c:pt>
                <c:pt idx="1">
                  <c:v>-0.29942355631593942</c:v>
                </c:pt>
                <c:pt idx="2">
                  <c:v>-0.90984505188189913</c:v>
                </c:pt>
                <c:pt idx="3">
                  <c:v>-2.1339099293665682</c:v>
                </c:pt>
                <c:pt idx="4">
                  <c:v>-4.0410218231046038</c:v>
                </c:pt>
                <c:pt idx="5">
                  <c:v>-6.4029620848560018</c:v>
                </c:pt>
                <c:pt idx="6">
                  <c:v>-8.734941657971337</c:v>
                </c:pt>
                <c:pt idx="7">
                  <c:v>-10.501494129426368</c:v>
                </c:pt>
                <c:pt idx="8">
                  <c:v>-11.343643378530663</c:v>
                </c:pt>
                <c:pt idx="9">
                  <c:v>-11.191345844601329</c:v>
                </c:pt>
                <c:pt idx="10">
                  <c:v>-10.229360192159604</c:v>
                </c:pt>
                <c:pt idx="11">
                  <c:v>-8.7758102343217406</c:v>
                </c:pt>
                <c:pt idx="12">
                  <c:v>-7.1548397873240326</c:v>
                </c:pt>
                <c:pt idx="13">
                  <c:v>-5.614446181432398</c:v>
                </c:pt>
                <c:pt idx="14">
                  <c:v>-4.2993160442064573</c:v>
                </c:pt>
                <c:pt idx="15">
                  <c:v>-3.2627906042027806</c:v>
                </c:pt>
                <c:pt idx="16">
                  <c:v>-2.4959447913756074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AB-483D-B387-B37126054CAC}"/>
            </c:ext>
          </c:extLst>
        </c:ser>
        <c:ser>
          <c:idx val="3"/>
          <c:order val="3"/>
          <c:tx>
            <c:strRef>
              <c:f>Greeks!$W$95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6">
                <a:shade val="67000"/>
              </a:schemeClr>
            </a:solidFill>
            <a:ln/>
            <a:effectLst/>
            <a:sp3d/>
          </c:spPr>
          <c:cat>
            <c:numRef>
              <c:f>Greeks!$S$96:$S$112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Greeks!$W$96:$W$112</c:f>
              <c:numCache>
                <c:formatCode>General</c:formatCode>
                <c:ptCount val="17"/>
                <c:pt idx="0">
                  <c:v>-0.20832213907689659</c:v>
                </c:pt>
                <c:pt idx="1">
                  <c:v>-0.61335890348349875</c:v>
                </c:pt>
                <c:pt idx="2">
                  <c:v>-1.4231066922699669</c:v>
                </c:pt>
                <c:pt idx="3">
                  <c:v>-2.7180204876622058</c:v>
                </c:pt>
                <c:pt idx="4">
                  <c:v>-4.4206398493278041</c:v>
                </c:pt>
                <c:pt idx="5">
                  <c:v>-6.2888627151985368</c:v>
                </c:pt>
                <c:pt idx="6">
                  <c:v>-7.9957093121645491</c:v>
                </c:pt>
                <c:pt idx="7">
                  <c:v>-9.246085696999307</c:v>
                </c:pt>
                <c:pt idx="8">
                  <c:v>-9.8670678358746962</c:v>
                </c:pt>
                <c:pt idx="9">
                  <c:v>-9.8373339581211461</c:v>
                </c:pt>
                <c:pt idx="10">
                  <c:v>-9.2603811900169628</c:v>
                </c:pt>
                <c:pt idx="11">
                  <c:v>-8.3087310746844558</c:v>
                </c:pt>
                <c:pt idx="12">
                  <c:v>-7.1675142754295438</c:v>
                </c:pt>
                <c:pt idx="13">
                  <c:v>-5.9946478810384027</c:v>
                </c:pt>
                <c:pt idx="14">
                  <c:v>-4.9020372377619381</c:v>
                </c:pt>
                <c:pt idx="15">
                  <c:v>-3.9538458643931604</c:v>
                </c:pt>
                <c:pt idx="16">
                  <c:v>-3.1748406567188363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DAB-483D-B387-B37126054CAC}"/>
            </c:ext>
          </c:extLst>
        </c:ser>
        <c:ser>
          <c:idx val="4"/>
          <c:order val="4"/>
          <c:tx>
            <c:strRef>
              <c:f>Greeks!$X$95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/>
            <a:effectLst/>
            <a:sp3d/>
          </c:spPr>
          <c:cat>
            <c:numRef>
              <c:f>Greeks!$S$96:$S$112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Greeks!$X$96:$X$112</c:f>
              <c:numCache>
                <c:formatCode>General</c:formatCode>
                <c:ptCount val="17"/>
                <c:pt idx="0">
                  <c:v>-0.3851493738906861</c:v>
                </c:pt>
                <c:pt idx="1">
                  <c:v>-0.92007451386040462</c:v>
                </c:pt>
                <c:pt idx="2">
                  <c:v>-1.8159074029449049</c:v>
                </c:pt>
                <c:pt idx="3">
                  <c:v>-3.0664451357531393</c:v>
                </c:pt>
                <c:pt idx="4">
                  <c:v>-4.5525755909735093</c:v>
                </c:pt>
                <c:pt idx="5">
                  <c:v>-6.0714923044142068</c:v>
                </c:pt>
                <c:pt idx="6">
                  <c:v>-7.400251608132125</c:v>
                </c:pt>
                <c:pt idx="7">
                  <c:v>-8.3602865316580477</c:v>
                </c:pt>
                <c:pt idx="8">
                  <c:v>-8.8568267201005213</c:v>
                </c:pt>
                <c:pt idx="9">
                  <c:v>-8.8853732518794875</c:v>
                </c:pt>
                <c:pt idx="10">
                  <c:v>-8.5127093825797768</c:v>
                </c:pt>
                <c:pt idx="11">
                  <c:v>-7.8462647080660783</c:v>
                </c:pt>
                <c:pt idx="12">
                  <c:v>-7.004170835045791</c:v>
                </c:pt>
                <c:pt idx="13">
                  <c:v>-6.0932152162630704</c:v>
                </c:pt>
                <c:pt idx="14">
                  <c:v>-5.196735352822385</c:v>
                </c:pt>
                <c:pt idx="15">
                  <c:v>-4.3710823922366622</c:v>
                </c:pt>
                <c:pt idx="16">
                  <c:v>-3.6478447016672115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AB-483D-B387-B37126054CAC}"/>
            </c:ext>
          </c:extLst>
        </c:ser>
        <c:ser>
          <c:idx val="5"/>
          <c:order val="5"/>
          <c:tx>
            <c:strRef>
              <c:f>Greeks!$Y$95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>
                <a:shade val="86000"/>
              </a:schemeClr>
            </a:solidFill>
            <a:ln/>
            <a:effectLst/>
            <a:sp3d/>
          </c:spPr>
          <c:cat>
            <c:numRef>
              <c:f>Greeks!$S$96:$S$112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Greeks!$Y$96:$Y$112</c:f>
              <c:numCache>
                <c:formatCode>General</c:formatCode>
                <c:ptCount val="17"/>
                <c:pt idx="0">
                  <c:v>-0.57068699009448409</c:v>
                </c:pt>
                <c:pt idx="1">
                  <c:v>-1.1860348902420679</c:v>
                </c:pt>
                <c:pt idx="2">
                  <c:v>-2.1016589724352737</c:v>
                </c:pt>
                <c:pt idx="3">
                  <c:v>-3.2695032124569399</c:v>
                </c:pt>
                <c:pt idx="4">
                  <c:v>-4.5679449042102078</c:v>
                </c:pt>
                <c:pt idx="5">
                  <c:v>-5.8355130311107528</c:v>
                </c:pt>
                <c:pt idx="6">
                  <c:v>-6.9154307764610223</c:v>
                </c:pt>
                <c:pt idx="7">
                  <c:v>-7.6921056530042433</c:v>
                </c:pt>
                <c:pt idx="8">
                  <c:v>-8.1091979389043836</c:v>
                </c:pt>
                <c:pt idx="9">
                  <c:v>-8.1688726019623541</c:v>
                </c:pt>
                <c:pt idx="10">
                  <c:v>-7.9181914358468681</c:v>
                </c:pt>
                <c:pt idx="11">
                  <c:v>-7.4303015724449573</c:v>
                </c:pt>
                <c:pt idx="12">
                  <c:v>-6.7865807444678898</c:v>
                </c:pt>
                <c:pt idx="13">
                  <c:v>-6.0632046905455992</c:v>
                </c:pt>
                <c:pt idx="14">
                  <c:v>-5.3231366553033439</c:v>
                </c:pt>
                <c:pt idx="15">
                  <c:v>-4.6129253203942397</c:v>
                </c:pt>
                <c:pt idx="16">
                  <c:v>-3.962968623645323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DAB-483D-B387-B37126054CAC}"/>
            </c:ext>
          </c:extLst>
        </c:ser>
        <c:ser>
          <c:idx val="6"/>
          <c:order val="6"/>
          <c:tx>
            <c:strRef>
              <c:f>Greeks!$Z$95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6">
                <a:shade val="95000"/>
              </a:schemeClr>
            </a:solidFill>
            <a:ln/>
            <a:effectLst/>
            <a:sp3d/>
          </c:spPr>
          <c:cat>
            <c:numRef>
              <c:f>Greeks!$S$96:$S$112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Greeks!$Z$96:$Z$112</c:f>
              <c:numCache>
                <c:formatCode>General</c:formatCode>
                <c:ptCount val="17"/>
                <c:pt idx="0">
                  <c:v>-0.74691616091774726</c:v>
                </c:pt>
                <c:pt idx="1">
                  <c:v>-1.4053427373410059</c:v>
                </c:pt>
                <c:pt idx="2">
                  <c:v>-2.3058679712017018</c:v>
                </c:pt>
                <c:pt idx="3">
                  <c:v>-3.3832037190680788</c:v>
                </c:pt>
                <c:pt idx="4">
                  <c:v>-4.5262445003803577</c:v>
                </c:pt>
                <c:pt idx="5">
                  <c:v>-5.6074439972799262</c:v>
                </c:pt>
                <c:pt idx="6">
                  <c:v>-6.513125367110411</c:v>
                </c:pt>
                <c:pt idx="7">
                  <c:v>-7.1646458788959393</c:v>
                </c:pt>
                <c:pt idx="8">
                  <c:v>-7.5266655233478144</c:v>
                </c:pt>
                <c:pt idx="9">
                  <c:v>-7.6041261525370034</c:v>
                </c:pt>
                <c:pt idx="10">
                  <c:v>-7.432236157652147</c:v>
                </c:pt>
                <c:pt idx="11">
                  <c:v>-7.0640007758825725</c:v>
                </c:pt>
                <c:pt idx="12">
                  <c:v>-6.5586802201493235</c:v>
                </c:pt>
                <c:pt idx="13">
                  <c:v>-5.9730068814691473</c:v>
                </c:pt>
                <c:pt idx="14">
                  <c:v>-5.3556748758271633</c:v>
                </c:pt>
                <c:pt idx="15">
                  <c:v>-4.7447667613619569</c:v>
                </c:pt>
                <c:pt idx="16">
                  <c:v>-4.1673865977185898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DAB-483D-B387-B37126054CAC}"/>
            </c:ext>
          </c:extLst>
        </c:ser>
        <c:ser>
          <c:idx val="7"/>
          <c:order val="7"/>
          <c:tx>
            <c:strRef>
              <c:f>Greeks!$AA$95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6">
                <a:tint val="96000"/>
              </a:schemeClr>
            </a:solidFill>
            <a:ln/>
            <a:effectLst/>
            <a:sp3d/>
          </c:spPr>
          <c:cat>
            <c:numRef>
              <c:f>Greeks!$S$96:$S$112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Greeks!$AA$96:$AA$112</c:f>
              <c:numCache>
                <c:formatCode>General</c:formatCode>
                <c:ptCount val="17"/>
                <c:pt idx="0">
                  <c:v>-0.90594478621964269</c:v>
                </c:pt>
                <c:pt idx="1">
                  <c:v>-1.5821076898460016</c:v>
                </c:pt>
                <c:pt idx="2">
                  <c:v>-2.4504365254330298</c:v>
                </c:pt>
                <c:pt idx="3">
                  <c:v>-3.4409696065436042</c:v>
                </c:pt>
                <c:pt idx="4">
                  <c:v>-4.4563512948974298</c:v>
                </c:pt>
                <c:pt idx="5">
                  <c:v>-5.395297075905094</c:v>
                </c:pt>
                <c:pt idx="6">
                  <c:v>-6.1731453902301494</c:v>
                </c:pt>
                <c:pt idx="7">
                  <c:v>-6.7343392729607903</c:v>
                </c:pt>
                <c:pt idx="8">
                  <c:v>-7.055910733472639</c:v>
                </c:pt>
                <c:pt idx="9">
                  <c:v>-7.1439122011034444</c:v>
                </c:pt>
                <c:pt idx="10">
                  <c:v>-7.0258437728884617</c:v>
                </c:pt>
                <c:pt idx="11">
                  <c:v>-6.7419146253309883</c:v>
                </c:pt>
                <c:pt idx="12">
                  <c:v>-6.3371270341833643</c:v>
                </c:pt>
                <c:pt idx="13">
                  <c:v>-5.855217611913174</c:v>
                </c:pt>
                <c:pt idx="14">
                  <c:v>-5.3347262293524453</c:v>
                </c:pt>
                <c:pt idx="15">
                  <c:v>-4.8069806848652092</c:v>
                </c:pt>
                <c:pt idx="16">
                  <c:v>-4.2955576789681027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DAB-483D-B387-B37126054CAC}"/>
            </c:ext>
          </c:extLst>
        </c:ser>
        <c:ser>
          <c:idx val="8"/>
          <c:order val="8"/>
          <c:tx>
            <c:strRef>
              <c:f>Greeks!$AB$95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6">
                <a:tint val="86000"/>
              </a:schemeClr>
            </a:solidFill>
            <a:ln/>
            <a:effectLst/>
            <a:sp3d/>
          </c:spPr>
          <c:cat>
            <c:numRef>
              <c:f>Greeks!$S$96:$S$112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Greeks!$AB$96:$AB$112</c:f>
              <c:numCache>
                <c:formatCode>General</c:formatCode>
                <c:ptCount val="17"/>
                <c:pt idx="0">
                  <c:v>-1.0455051332204088</c:v>
                </c:pt>
                <c:pt idx="1">
                  <c:v>-1.7230231225374042</c:v>
                </c:pt>
                <c:pt idx="2">
                  <c:v>-2.5517035958736147</c:v>
                </c:pt>
                <c:pt idx="3">
                  <c:v>-3.4630237817918452</c:v>
                </c:pt>
                <c:pt idx="4">
                  <c:v>-4.3730662634783366</c:v>
                </c:pt>
                <c:pt idx="5">
                  <c:v>-5.2006317002732176</c:v>
                </c:pt>
                <c:pt idx="6">
                  <c:v>-5.8812212416849832</c:v>
                </c:pt>
                <c:pt idx="7">
                  <c:v>-6.3744279099051768</c:v>
                </c:pt>
                <c:pt idx="8">
                  <c:v>-6.6649933986572272</c:v>
                </c:pt>
                <c:pt idx="9">
                  <c:v>-6.7593147737894457</c:v>
                </c:pt>
                <c:pt idx="10">
                  <c:v>-6.6795788835399268</c:v>
                </c:pt>
                <c:pt idx="11">
                  <c:v>-6.4573745014743302</c:v>
                </c:pt>
                <c:pt idx="12">
                  <c:v>-6.1280125208154255</c:v>
                </c:pt>
                <c:pt idx="13">
                  <c:v>-5.7261675937466023</c:v>
                </c:pt>
                <c:pt idx="14">
                  <c:v>-5.2829838634877619</c:v>
                </c:pt>
                <c:pt idx="15">
                  <c:v>-4.824496421099818</c:v>
                </c:pt>
                <c:pt idx="16">
                  <c:v>-4.3710831256771003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DAB-483D-B387-B37126054CAC}"/>
            </c:ext>
          </c:extLst>
        </c:ser>
        <c:ser>
          <c:idx val="9"/>
          <c:order val="9"/>
          <c:tx>
            <c:strRef>
              <c:f>Greeks!$AC$95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/>
            <a:effectLst/>
            <a:sp3d/>
          </c:spPr>
          <c:cat>
            <c:numRef>
              <c:f>Greeks!$S$96:$S$112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Greeks!$AC$96:$AC$112</c:f>
              <c:numCache>
                <c:formatCode>General</c:formatCode>
                <c:ptCount val="17"/>
                <c:pt idx="0">
                  <c:v>-1.1660624729262905</c:v>
                </c:pt>
                <c:pt idx="1">
                  <c:v>-1.8346812944218083</c:v>
                </c:pt>
                <c:pt idx="2">
                  <c:v>-2.6214011777202777</c:v>
                </c:pt>
                <c:pt idx="3">
                  <c:v>-3.4619123250811352</c:v>
                </c:pt>
                <c:pt idx="4">
                  <c:v>-4.2842772354506504</c:v>
                </c:pt>
                <c:pt idx="5">
                  <c:v>-5.0227100150735122</c:v>
                </c:pt>
                <c:pt idx="6">
                  <c:v>-5.6271245372996592</c:v>
                </c:pt>
                <c:pt idx="7">
                  <c:v>-6.0674542642235005</c:v>
                </c:pt>
                <c:pt idx="8">
                  <c:v>-6.3334569165011896</c:v>
                </c:pt>
                <c:pt idx="9">
                  <c:v>-6.4315094172064686</c:v>
                </c:pt>
                <c:pt idx="10">
                  <c:v>-6.379968693015881</c:v>
                </c:pt>
                <c:pt idx="11">
                  <c:v>-6.2043450454461784</c:v>
                </c:pt>
                <c:pt idx="12">
                  <c:v>-5.9330796038718976</c:v>
                </c:pt>
                <c:pt idx="13">
                  <c:v>-5.5943022889480218</c:v>
                </c:pt>
                <c:pt idx="14">
                  <c:v>-5.2136428364706564</c:v>
                </c:pt>
                <c:pt idx="15">
                  <c:v>-4.8129836344761809</c:v>
                </c:pt>
                <c:pt idx="16">
                  <c:v>-4.409957584858196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DAB-483D-B387-B37126054CAC}"/>
            </c:ext>
          </c:extLst>
        </c:ser>
        <c:ser>
          <c:idx val="10"/>
          <c:order val="10"/>
          <c:tx>
            <c:strRef>
              <c:f>Greeks!$AD$95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6">
                <a:tint val="68000"/>
              </a:schemeClr>
            </a:solidFill>
            <a:ln/>
            <a:effectLst/>
            <a:sp3d/>
          </c:spPr>
          <c:cat>
            <c:numRef>
              <c:f>Greeks!$S$96:$S$112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Greeks!$AD$96:$AD$112</c:f>
              <c:numCache>
                <c:formatCode>General</c:formatCode>
                <c:ptCount val="17"/>
                <c:pt idx="0">
                  <c:v>-1.7086795247581006</c:v>
                </c:pt>
                <c:pt idx="1">
                  <c:v>-2.1831999062152785</c:v>
                </c:pt>
                <c:pt idx="2">
                  <c:v>-2.6555418888221998</c:v>
                </c:pt>
                <c:pt idx="3">
                  <c:v>-3.1027525387801438</c:v>
                </c:pt>
                <c:pt idx="4">
                  <c:v>-3.5068307698804109</c:v>
                </c:pt>
                <c:pt idx="5">
                  <c:v>-3.8553061228667658</c:v>
                </c:pt>
                <c:pt idx="6">
                  <c:v>-4.1410087251173353</c:v>
                </c:pt>
                <c:pt idx="7">
                  <c:v>-4.3613583330502772</c:v>
                </c:pt>
                <c:pt idx="8">
                  <c:v>-4.5174347803161865</c:v>
                </c:pt>
                <c:pt idx="9">
                  <c:v>-4.6130128955711456</c:v>
                </c:pt>
                <c:pt idx="10">
                  <c:v>-4.6536739381781427</c:v>
                </c:pt>
                <c:pt idx="11">
                  <c:v>-4.6460509221782083</c:v>
                </c:pt>
                <c:pt idx="12">
                  <c:v>-4.5972274699475442</c:v>
                </c:pt>
                <c:pt idx="13">
                  <c:v>-4.5142863750966313</c:v>
                </c:pt>
                <c:pt idx="14">
                  <c:v>-4.4039912554693021</c:v>
                </c:pt>
                <c:pt idx="15">
                  <c:v>-4.2725791660675387</c:v>
                </c:pt>
                <c:pt idx="16">
                  <c:v>-4.1256411069645518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DAB-483D-B387-B37126054CAC}"/>
            </c:ext>
          </c:extLst>
        </c:ser>
        <c:ser>
          <c:idx val="11"/>
          <c:order val="11"/>
          <c:tx>
            <c:strRef>
              <c:f>Greeks!$AE$95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tint val="58000"/>
              </a:schemeClr>
            </a:solidFill>
            <a:ln/>
            <a:effectLst/>
            <a:sp3d/>
          </c:spPr>
          <c:cat>
            <c:numRef>
              <c:f>Greeks!$S$96:$S$112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Greeks!$AE$96:$AE$112</c:f>
              <c:numCache>
                <c:formatCode>General</c:formatCode>
                <c:ptCount val="17"/>
                <c:pt idx="0">
                  <c:v>-1.7756357342870821</c:v>
                </c:pt>
                <c:pt idx="1">
                  <c:v>-2.1171148598811622</c:v>
                </c:pt>
                <c:pt idx="2">
                  <c:v>-2.4409968380917202</c:v>
                </c:pt>
                <c:pt idx="3">
                  <c:v>-2.7382435399524416</c:v>
                </c:pt>
                <c:pt idx="4">
                  <c:v>-3.0027581996199002</c:v>
                </c:pt>
                <c:pt idx="5">
                  <c:v>-3.2310342393826827</c:v>
                </c:pt>
                <c:pt idx="6">
                  <c:v>-3.4217000844737417</c:v>
                </c:pt>
                <c:pt idx="7">
                  <c:v>-3.5750472530785147</c:v>
                </c:pt>
                <c:pt idx="8">
                  <c:v>-3.6925921236830623</c:v>
                </c:pt>
                <c:pt idx="9">
                  <c:v>-3.7766961863163413</c:v>
                </c:pt>
                <c:pt idx="10">
                  <c:v>-3.8302531715045656</c:v>
                </c:pt>
                <c:pt idx="11">
                  <c:v>-3.8564417584460164</c:v>
                </c:pt>
                <c:pt idx="12">
                  <c:v>-3.8585374453286305</c:v>
                </c:pt>
                <c:pt idx="13">
                  <c:v>-3.8397749730685664</c:v>
                </c:pt>
                <c:pt idx="14">
                  <c:v>-3.8032522589449216</c:v>
                </c:pt>
                <c:pt idx="15">
                  <c:v>-3.7518673326293195</c:v>
                </c:pt>
                <c:pt idx="16">
                  <c:v>-3.688280771221792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DAB-483D-B387-B37126054CAC}"/>
            </c:ext>
          </c:extLst>
        </c:ser>
        <c:ser>
          <c:idx val="12"/>
          <c:order val="12"/>
          <c:tx>
            <c:strRef>
              <c:f>Greeks!$AF$95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6">
                <a:tint val="49000"/>
              </a:schemeClr>
            </a:solidFill>
            <a:ln/>
            <a:effectLst/>
            <a:sp3d/>
          </c:spPr>
          <c:cat>
            <c:numRef>
              <c:f>Greeks!$S$96:$S$112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Greeks!$AF$96:$AF$112</c:f>
              <c:numCache>
                <c:formatCode>General</c:formatCode>
                <c:ptCount val="17"/>
                <c:pt idx="0">
                  <c:v>-1.7298401390361418</c:v>
                </c:pt>
                <c:pt idx="1">
                  <c:v>-1.9924904879133494</c:v>
                </c:pt>
                <c:pt idx="2">
                  <c:v>-2.2367059040872883</c:v>
                </c:pt>
                <c:pt idx="3">
                  <c:v>-2.4584705263847519</c:v>
                </c:pt>
                <c:pt idx="4">
                  <c:v>-2.6554455785266864</c:v>
                </c:pt>
                <c:pt idx="5">
                  <c:v>-2.8266338033648197</c:v>
                </c:pt>
                <c:pt idx="6">
                  <c:v>-2.9720649485766923</c:v>
                </c:pt>
                <c:pt idx="7">
                  <c:v>-3.0925211334589857</c:v>
                </c:pt>
                <c:pt idx="8">
                  <c:v>-3.1893081826513754</c:v>
                </c:pt>
                <c:pt idx="9">
                  <c:v>-3.2640719505512328</c:v>
                </c:pt>
                <c:pt idx="10">
                  <c:v>-3.3186551587305373</c:v>
                </c:pt>
                <c:pt idx="11">
                  <c:v>-3.3549888881562855</c:v>
                </c:pt>
                <c:pt idx="12">
                  <c:v>-3.375012679075664</c:v>
                </c:pt>
                <c:pt idx="13">
                  <c:v>-3.3806176179061036</c:v>
                </c:pt>
                <c:pt idx="14">
                  <c:v>-3.3736074890087524</c:v>
                </c:pt>
                <c:pt idx="15">
                  <c:v>-3.3556738444770193</c:v>
                </c:pt>
                <c:pt idx="16">
                  <c:v>-3.3283815929388019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DAB-483D-B387-B37126054CAC}"/>
            </c:ext>
          </c:extLst>
        </c:ser>
        <c:ser>
          <c:idx val="13"/>
          <c:order val="13"/>
          <c:tx>
            <c:strRef>
              <c:f>Greeks!$AG$95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6">
                <a:tint val="40000"/>
              </a:schemeClr>
            </a:solidFill>
            <a:ln/>
            <a:effectLst/>
            <a:sp3d/>
          </c:spPr>
          <c:cat>
            <c:numRef>
              <c:f>Greeks!$S$96:$S$112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Greeks!$AG$96:$AG$112</c:f>
              <c:numCache>
                <c:formatCode>General</c:formatCode>
                <c:ptCount val="17"/>
                <c:pt idx="0">
                  <c:v>-1.6553199220081252</c:v>
                </c:pt>
                <c:pt idx="1">
                  <c:v>-1.8675549688865178</c:v>
                </c:pt>
                <c:pt idx="2">
                  <c:v>-2.0630719700342928</c:v>
                </c:pt>
                <c:pt idx="3">
                  <c:v>-2.2400065899523129</c:v>
                </c:pt>
                <c:pt idx="4">
                  <c:v>-2.3974980329667264</c:v>
                </c:pt>
                <c:pt idx="5">
                  <c:v>-2.5354420120298613</c:v>
                </c:pt>
                <c:pt idx="6">
                  <c:v>-2.6542840868503306</c:v>
                </c:pt>
                <c:pt idx="7">
                  <c:v>-2.754852854959454</c:v>
                </c:pt>
                <c:pt idx="8">
                  <c:v>-2.8382289425117961</c:v>
                </c:pt>
                <c:pt idx="9">
                  <c:v>-2.905644464657811</c:v>
                </c:pt>
                <c:pt idx="10">
                  <c:v>-2.958407526781262</c:v>
                </c:pt>
                <c:pt idx="11">
                  <c:v>-2.9978467992173403</c:v>
                </c:pt>
                <c:pt idx="12">
                  <c:v>-3.0252718779929104</c:v>
                </c:pt>
                <c:pt idx="13">
                  <c:v>-3.0419458632825318</c:v>
                </c:pt>
                <c:pt idx="14">
                  <c:v>-3.0490672584689782</c:v>
                </c:pt>
                <c:pt idx="15">
                  <c:v>-3.0477588797204014</c:v>
                </c:pt>
                <c:pt idx="16">
                  <c:v>-3.0390619596721145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DAB-483D-B387-B37126054CAC}"/>
            </c:ext>
          </c:extLst>
        </c:ser>
        <c:bandFmts>
          <c:bandFmt>
            <c:idx val="0"/>
            <c:spPr>
              <a:solidFill>
                <a:schemeClr val="accent6">
                  <a:shade val="41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6">
                  <a:shade val="53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6">
                  <a:shade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6">
                  <a:shade val="7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6">
                  <a:shade val="88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6">
                  <a:tint val="89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6">
                  <a:tint val="7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6">
                  <a:tint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6">
                  <a:tint val="5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6">
                  <a:tint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6">
                  <a:tint val="19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6">
                  <a:tint val="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6">
                  <a:tint val="95000"/>
                </a:schemeClr>
              </a:solidFill>
              <a:ln/>
              <a:effectLst/>
              <a:sp3d/>
            </c:spPr>
          </c:bandFmt>
        </c:bandFmts>
        <c:axId val="968175688"/>
        <c:axId val="968176344"/>
        <c:axId val="422234144"/>
      </c:surface3DChart>
      <c:catAx>
        <c:axId val="968175688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it-IT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 [$]</a:t>
                </a:r>
              </a:p>
            </c:rich>
          </c:tx>
          <c:layout>
            <c:manualLayout>
              <c:xMode val="edge"/>
              <c:yMode val="edge"/>
              <c:x val="0.39473259259259258"/>
              <c:y val="0.1267749999999999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968176344"/>
        <c:crosses val="autoZero"/>
        <c:auto val="1"/>
        <c:lblAlgn val="ctr"/>
        <c:lblOffset val="100"/>
        <c:noMultiLvlLbl val="0"/>
      </c:catAx>
      <c:valAx>
        <c:axId val="9681763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l-GR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ϴ</a:t>
                </a:r>
                <a:endParaRPr lang="it-IT" sz="1200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85364611111111111"/>
              <c:y val="0.4998295454545454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968175688"/>
        <c:crosses val="autoZero"/>
        <c:crossBetween val="midCat"/>
      </c:valAx>
      <c:serAx>
        <c:axId val="422234144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l-GR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τ</a:t>
                </a:r>
                <a:r>
                  <a:rPr lang="it-IT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[years]</a:t>
                </a:r>
              </a:p>
            </c:rich>
          </c:tx>
          <c:layout>
            <c:manualLayout>
              <c:xMode val="edge"/>
              <c:yMode val="edge"/>
              <c:x val="0.86855018518518523"/>
              <c:y val="0.26245429292929295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968176344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l-GR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ρ</a:t>
            </a:r>
            <a:r>
              <a:rPr lang="it-IT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 plot for </a:t>
            </a:r>
            <a:r>
              <a:rPr lang="el-GR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σ</a:t>
            </a:r>
            <a:r>
              <a:rPr lang="it-IT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=0,3</a:t>
            </a:r>
            <a:endParaRPr lang="it-IT">
              <a:solidFill>
                <a:sysClr val="windowText" lastClr="000000"/>
              </a:solidFill>
              <a:effectLst/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20"/>
      <c:rAngAx val="0"/>
    </c:view3D>
    <c:floor>
      <c:thickness val="0"/>
      <c:spPr>
        <a:noFill/>
        <a:ln w="635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1183888888888889E-2"/>
          <c:y val="0.13052777777777777"/>
          <c:w val="0.80322833333333332"/>
          <c:h val="0.7934863636363636"/>
        </c:manualLayout>
      </c:layout>
      <c:surface3DChart>
        <c:wireframe val="0"/>
        <c:ser>
          <c:idx val="0"/>
          <c:order val="0"/>
          <c:tx>
            <c:strRef>
              <c:f>Greeks!$T$119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2">
                <a:shade val="39000"/>
              </a:schemeClr>
            </a:solidFill>
            <a:ln/>
            <a:effectLst/>
            <a:sp3d/>
          </c:spPr>
          <c:cat>
            <c:numRef>
              <c:f>Greeks!$S$120:$S$136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Greeks!$T$120:$T$136</c:f>
              <c:numCache>
                <c:formatCode>General</c:formatCode>
                <c:ptCount val="17"/>
                <c:pt idx="0">
                  <c:v>2.9526232275500813E-7</c:v>
                </c:pt>
                <c:pt idx="1">
                  <c:v>2.3477394326331545E-5</c:v>
                </c:pt>
                <c:pt idx="2">
                  <c:v>7.3280508906908512E-4</c:v>
                </c:pt>
                <c:pt idx="3">
                  <c:v>1.0716304021740694E-2</c:v>
                </c:pt>
                <c:pt idx="4">
                  <c:v>8.4379549560306411E-2</c:v>
                </c:pt>
                <c:pt idx="5">
                  <c:v>0.40019706155343387</c:v>
                </c:pt>
                <c:pt idx="6">
                  <c:v>1.2546393350198692</c:v>
                </c:pt>
                <c:pt idx="7">
                  <c:v>2.8149490988691559</c:v>
                </c:pt>
                <c:pt idx="8">
                  <c:v>4.8480002263733493</c:v>
                </c:pt>
                <c:pt idx="9">
                  <c:v>6.8277831133797173</c:v>
                </c:pt>
                <c:pt idx="10">
                  <c:v>8.3258594130054373</c:v>
                </c:pt>
                <c:pt idx="11">
                  <c:v>9.2362125771932124</c:v>
                </c:pt>
                <c:pt idx="12">
                  <c:v>9.693115524377264</c:v>
                </c:pt>
                <c:pt idx="13">
                  <c:v>9.8871106655175343</c:v>
                </c:pt>
                <c:pt idx="14">
                  <c:v>9.9582415229851868</c:v>
                </c:pt>
                <c:pt idx="15">
                  <c:v>9.981168420699019</c:v>
                </c:pt>
                <c:pt idx="16">
                  <c:v>9.9877653195750877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5C-4283-B28B-B2F1781036A3}"/>
            </c:ext>
          </c:extLst>
        </c:ser>
        <c:ser>
          <c:idx val="1"/>
          <c:order val="1"/>
          <c:tx>
            <c:strRef>
              <c:f>Greeks!$U$119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>
                <a:shade val="48000"/>
              </a:schemeClr>
            </a:solidFill>
            <a:ln/>
            <a:effectLst/>
            <a:sp3d/>
          </c:spPr>
          <c:cat>
            <c:numRef>
              <c:f>Greeks!$S$120:$S$136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Greeks!$U$120:$U$136</c:f>
              <c:numCache>
                <c:formatCode>General</c:formatCode>
                <c:ptCount val="17"/>
                <c:pt idx="0">
                  <c:v>1.1332530343148011E-3</c:v>
                </c:pt>
                <c:pt idx="1">
                  <c:v>1.1000326823056614E-2</c:v>
                </c:pt>
                <c:pt idx="2">
                  <c:v>6.7012653150436682E-2</c:v>
                </c:pt>
                <c:pt idx="3">
                  <c:v>0.28005079404176503</c:v>
                </c:pt>
                <c:pt idx="4">
                  <c:v>0.86101600896775732</c:v>
                </c:pt>
                <c:pt idx="5">
                  <c:v>2.0599015086440065</c:v>
                </c:pt>
                <c:pt idx="6">
                  <c:v>4.0151569990777833</c:v>
                </c:pt>
                <c:pt idx="7">
                  <c:v>6.6260425961542984</c:v>
                </c:pt>
                <c:pt idx="8">
                  <c:v>9.5647445393394914</c:v>
                </c:pt>
                <c:pt idx="9">
                  <c:v>12.420817808937203</c:v>
                </c:pt>
                <c:pt idx="10">
                  <c:v>14.866303408782125</c:v>
                </c:pt>
                <c:pt idx="11">
                  <c:v>16.742535793708608</c:v>
                </c:pt>
                <c:pt idx="12">
                  <c:v>18.050952682701794</c:v>
                </c:pt>
                <c:pt idx="13">
                  <c:v>18.890468841237468</c:v>
                </c:pt>
                <c:pt idx="14">
                  <c:v>19.391259558754662</c:v>
                </c:pt>
                <c:pt idx="15">
                  <c:v>19.671489079206417</c:v>
                </c:pt>
                <c:pt idx="16">
                  <c:v>19.819726458551735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5C-4283-B28B-B2F1781036A3}"/>
            </c:ext>
          </c:extLst>
        </c:ser>
        <c:ser>
          <c:idx val="2"/>
          <c:order val="2"/>
          <c:tx>
            <c:strRef>
              <c:f>Greeks!$V$119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Greeks!$S$120:$S$136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Greeks!$V$120:$V$136</c:f>
              <c:numCache>
                <c:formatCode>General</c:formatCode>
                <c:ptCount val="17"/>
                <c:pt idx="0">
                  <c:v>2.2587447202926818E-2</c:v>
                </c:pt>
                <c:pt idx="1">
                  <c:v>0.10828646304118206</c:v>
                </c:pt>
                <c:pt idx="2">
                  <c:v>0.38055475002660877</c:v>
                </c:pt>
                <c:pt idx="3">
                  <c:v>1.0404743079329288</c:v>
                </c:pt>
                <c:pt idx="4">
                  <c:v>2.3188215227327134</c:v>
                </c:pt>
                <c:pt idx="5">
                  <c:v>4.3722556636840153</c:v>
                </c:pt>
                <c:pt idx="6">
                  <c:v>7.1895756392573711</c:v>
                </c:pt>
                <c:pt idx="7">
                  <c:v>10.571300384455705</c:v>
                </c:pt>
                <c:pt idx="8">
                  <c:v>14.193093045907348</c:v>
                </c:pt>
                <c:pt idx="9">
                  <c:v>17.710675985594914</c:v>
                </c:pt>
                <c:pt idx="10">
                  <c:v>20.850986007567908</c:v>
                </c:pt>
                <c:pt idx="11">
                  <c:v>23.45733593243779</c:v>
                </c:pt>
                <c:pt idx="12">
                  <c:v>25.487739366774992</c:v>
                </c:pt>
                <c:pt idx="13">
                  <c:v>26.984500276398514</c:v>
                </c:pt>
                <c:pt idx="14">
                  <c:v>28.035878249676891</c:v>
                </c:pt>
                <c:pt idx="15">
                  <c:v>28.743809080910765</c:v>
                </c:pt>
                <c:pt idx="16">
                  <c:v>29.203093523689748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5C-4283-B28B-B2F1781036A3}"/>
            </c:ext>
          </c:extLst>
        </c:ser>
        <c:ser>
          <c:idx val="3"/>
          <c:order val="3"/>
          <c:tx>
            <c:strRef>
              <c:f>Greeks!$W$119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2">
                <a:shade val="67000"/>
              </a:schemeClr>
            </a:solidFill>
            <a:ln/>
            <a:effectLst/>
            <a:sp3d/>
          </c:spPr>
          <c:cat>
            <c:numRef>
              <c:f>Greeks!$S$120:$S$136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Greeks!$W$120:$W$136</c:f>
              <c:numCache>
                <c:formatCode>General</c:formatCode>
                <c:ptCount val="17"/>
                <c:pt idx="0">
                  <c:v>0.11301837002767318</c:v>
                </c:pt>
                <c:pt idx="1">
                  <c:v>0.37982446397381536</c:v>
                </c:pt>
                <c:pt idx="2">
                  <c:v>1.0108518694220894</c:v>
                </c:pt>
                <c:pt idx="3">
                  <c:v>2.2277486403587079</c:v>
                </c:pt>
                <c:pt idx="4">
                  <c:v>4.2101668239852943</c:v>
                </c:pt>
                <c:pt idx="5">
                  <c:v>7.015818789635345</c:v>
                </c:pt>
                <c:pt idx="6">
                  <c:v>10.543607299579147</c:v>
                </c:pt>
                <c:pt idx="7">
                  <c:v>14.556689094577388</c:v>
                </c:pt>
                <c:pt idx="8">
                  <c:v>18.748461687370579</c:v>
                </c:pt>
                <c:pt idx="9">
                  <c:v>22.818237236294163</c:v>
                </c:pt>
                <c:pt idx="10">
                  <c:v>26.528546066729881</c:v>
                </c:pt>
                <c:pt idx="11">
                  <c:v>29.731963677583227</c:v>
                </c:pt>
                <c:pt idx="12">
                  <c:v>32.370108870629927</c:v>
                </c:pt>
                <c:pt idx="13">
                  <c:v>34.455132914714234</c:v>
                </c:pt>
                <c:pt idx="14">
                  <c:v>36.044808482034149</c:v>
                </c:pt>
                <c:pt idx="15">
                  <c:v>37.219240872194902</c:v>
                </c:pt>
                <c:pt idx="16">
                  <c:v>38.063235204176131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5C-4283-B28B-B2F1781036A3}"/>
            </c:ext>
          </c:extLst>
        </c:ser>
        <c:ser>
          <c:idx val="4"/>
          <c:order val="4"/>
          <c:tx>
            <c:strRef>
              <c:f>Greeks!$X$119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Greeks!$S$120:$S$136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Greeks!$X$120:$X$136</c:f>
              <c:numCache>
                <c:formatCode>General</c:formatCode>
                <c:ptCount val="17"/>
                <c:pt idx="0">
                  <c:v>0.31727274899903907</c:v>
                </c:pt>
                <c:pt idx="1">
                  <c:v>0.86022397763405956</c:v>
                </c:pt>
                <c:pt idx="2">
                  <c:v>1.9341199007049987</c:v>
                </c:pt>
                <c:pt idx="3">
                  <c:v>3.7375642733991832</c:v>
                </c:pt>
                <c:pt idx="4">
                  <c:v>6.3836239230238867</c:v>
                </c:pt>
                <c:pt idx="5">
                  <c:v>9.852967725997944</c:v>
                </c:pt>
                <c:pt idx="6">
                  <c:v>13.991727530535455</c:v>
                </c:pt>
                <c:pt idx="7">
                  <c:v>18.549891582551311</c:v>
                </c:pt>
                <c:pt idx="8">
                  <c:v>23.239821537606058</c:v>
                </c:pt>
                <c:pt idx="9">
                  <c:v>27.792320019220721</c:v>
                </c:pt>
                <c:pt idx="10">
                  <c:v>31.995430199928425</c:v>
                </c:pt>
                <c:pt idx="11">
                  <c:v>35.711501203565795</c:v>
                </c:pt>
                <c:pt idx="12">
                  <c:v>38.875814895490308</c:v>
                </c:pt>
                <c:pt idx="13">
                  <c:v>41.483583425713469</c:v>
                </c:pt>
                <c:pt idx="14">
                  <c:v>43.572176068814954</c:v>
                </c:pt>
                <c:pt idx="15">
                  <c:v>45.203642785625419</c:v>
                </c:pt>
                <c:pt idx="16">
                  <c:v>46.450375839346556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5C-4283-B28B-B2F1781036A3}"/>
            </c:ext>
          </c:extLst>
        </c:ser>
        <c:ser>
          <c:idx val="5"/>
          <c:order val="5"/>
          <c:tx>
            <c:strRef>
              <c:f>Greeks!$Y$119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Greeks!$S$120:$S$136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Greeks!$Y$120:$Y$136</c:f>
              <c:numCache>
                <c:formatCode>General</c:formatCode>
                <c:ptCount val="17"/>
                <c:pt idx="0">
                  <c:v>0.65908885371946324</c:v>
                </c:pt>
                <c:pt idx="1">
                  <c:v>1.5469602201022621</c:v>
                </c:pt>
                <c:pt idx="2">
                  <c:v>3.1045688556190534</c:v>
                </c:pt>
                <c:pt idx="3">
                  <c:v>5.488782757526657</c:v>
                </c:pt>
                <c:pt idx="4">
                  <c:v>8.7502447732684363</c:v>
                </c:pt>
                <c:pt idx="5">
                  <c:v>12.81328269794542</c:v>
                </c:pt>
                <c:pt idx="6">
                  <c:v>17.49273970506767</c:v>
                </c:pt>
                <c:pt idx="7">
                  <c:v>22.536096616038257</c:v>
                </c:pt>
                <c:pt idx="8">
                  <c:v>27.673266418213814</c:v>
                </c:pt>
                <c:pt idx="9">
                  <c:v>32.659213280179173</c:v>
                </c:pt>
                <c:pt idx="10">
                  <c:v>37.301467373776582</c:v>
                </c:pt>
                <c:pt idx="11">
                  <c:v>41.471363169847443</c:v>
                </c:pt>
                <c:pt idx="12">
                  <c:v>45.102197776462987</c:v>
                </c:pt>
                <c:pt idx="13">
                  <c:v>48.179196650195983</c:v>
                </c:pt>
                <c:pt idx="14">
                  <c:v>50.725932380965368</c:v>
                </c:pt>
                <c:pt idx="15">
                  <c:v>52.790639938914232</c:v>
                </c:pt>
                <c:pt idx="16">
                  <c:v>54.434466906661761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75C-4283-B28B-B2F1781036A3}"/>
            </c:ext>
          </c:extLst>
        </c:ser>
        <c:ser>
          <c:idx val="6"/>
          <c:order val="6"/>
          <c:tx>
            <c:strRef>
              <c:f>Greeks!$Z$119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2">
                <a:shade val="95000"/>
              </a:schemeClr>
            </a:solidFill>
            <a:ln/>
            <a:effectLst/>
            <a:sp3d/>
          </c:spPr>
          <c:cat>
            <c:numRef>
              <c:f>Greeks!$S$120:$S$136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Greeks!$Z$120:$Z$136</c:f>
              <c:numCache>
                <c:formatCode>General</c:formatCode>
                <c:ptCount val="17"/>
                <c:pt idx="0">
                  <c:v>1.1449306418409966</c:v>
                </c:pt>
                <c:pt idx="1">
                  <c:v>2.4222946495275677</c:v>
                </c:pt>
                <c:pt idx="2">
                  <c:v>4.4784244022574073</c:v>
                </c:pt>
                <c:pt idx="3">
                  <c:v>7.423390125050302</c:v>
                </c:pt>
                <c:pt idx="4">
                  <c:v>11.254687988484211</c:v>
                </c:pt>
                <c:pt idx="5">
                  <c:v>15.855986685171217</c:v>
                </c:pt>
                <c:pt idx="6">
                  <c:v>21.023581921994065</c:v>
                </c:pt>
                <c:pt idx="7">
                  <c:v>26.507480350440918</c:v>
                </c:pt>
                <c:pt idx="8">
                  <c:v>32.053299834482402</c:v>
                </c:pt>
                <c:pt idx="9">
                  <c:v>37.435336997194241</c:v>
                </c:pt>
                <c:pt idx="10">
                  <c:v>42.476670407640107</c:v>
                </c:pt>
                <c:pt idx="11">
                  <c:v>47.056644807114715</c:v>
                </c:pt>
                <c:pt idx="12">
                  <c:v>51.108637489139326</c:v>
                </c:pt>
                <c:pt idx="13">
                  <c:v>54.6118081175238</c:v>
                </c:pt>
                <c:pt idx="14">
                  <c:v>57.580182729458606</c:v>
                </c:pt>
                <c:pt idx="15">
                  <c:v>60.051541964146772</c:v>
                </c:pt>
                <c:pt idx="16">
                  <c:v>62.077618313338995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75C-4283-B28B-B2F1781036A3}"/>
            </c:ext>
          </c:extLst>
        </c:ser>
        <c:ser>
          <c:idx val="7"/>
          <c:order val="7"/>
          <c:tx>
            <c:strRef>
              <c:f>Greeks!$AA$119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tint val="96000"/>
              </a:schemeClr>
            </a:solidFill>
            <a:ln/>
            <a:effectLst/>
            <a:sp3d/>
          </c:spPr>
          <c:cat>
            <c:numRef>
              <c:f>Greeks!$S$120:$S$136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Greeks!$AA$120:$AA$136</c:f>
              <c:numCache>
                <c:formatCode>General</c:formatCode>
                <c:ptCount val="17"/>
                <c:pt idx="0">
                  <c:v>1.7711463627698014</c:v>
                </c:pt>
                <c:pt idx="1">
                  <c:v>3.4644139974960209</c:v>
                </c:pt>
                <c:pt idx="2">
                  <c:v>6.0191244882771686</c:v>
                </c:pt>
                <c:pt idx="3">
                  <c:v>9.4998591027931845</c:v>
                </c:pt>
                <c:pt idx="4">
                  <c:v>13.860489518231892</c:v>
                </c:pt>
                <c:pt idx="5">
                  <c:v>18.95536543143395</c:v>
                </c:pt>
                <c:pt idx="6">
                  <c:v>24.570063770440541</c:v>
                </c:pt>
                <c:pt idx="7">
                  <c:v>30.459559705270866</c:v>
                </c:pt>
                <c:pt idx="8">
                  <c:v>36.383434264921355</c:v>
                </c:pt>
                <c:pt idx="9">
                  <c:v>42.131936325461389</c:v>
                </c:pt>
                <c:pt idx="10">
                  <c:v>47.540950801739896</c:v>
                </c:pt>
                <c:pt idx="11">
                  <c:v>52.496929542260922</c:v>
                </c:pt>
                <c:pt idx="12">
                  <c:v>56.934359886945309</c:v>
                </c:pt>
                <c:pt idx="13">
                  <c:v>60.828679358443949</c:v>
                </c:pt>
                <c:pt idx="14">
                  <c:v>64.187163619302936</c:v>
                </c:pt>
                <c:pt idx="15">
                  <c:v>67.039633112636224</c:v>
                </c:pt>
                <c:pt idx="16">
                  <c:v>69.430119356071586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75C-4283-B28B-B2F1781036A3}"/>
            </c:ext>
          </c:extLst>
        </c:ser>
        <c:ser>
          <c:idx val="8"/>
          <c:order val="8"/>
          <c:tx>
            <c:strRef>
              <c:f>Greeks!$AB$119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Greeks!$S$120:$S$136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Greeks!$AB$120:$AB$136</c:f>
              <c:numCache>
                <c:formatCode>General</c:formatCode>
                <c:ptCount val="17"/>
                <c:pt idx="0">
                  <c:v>2.5290931687880014</c:v>
                </c:pt>
                <c:pt idx="1">
                  <c:v>4.652006501990833</c:v>
                </c:pt>
                <c:pt idx="2">
                  <c:v>7.6972593895436292</c:v>
                </c:pt>
                <c:pt idx="3">
                  <c:v>11.687876444341773</c:v>
                </c:pt>
                <c:pt idx="4">
                  <c:v>16.542451185364438</c:v>
                </c:pt>
                <c:pt idx="5">
                  <c:v>22.094174145759741</c:v>
                </c:pt>
                <c:pt idx="6">
                  <c:v>28.122869505264237</c:v>
                </c:pt>
                <c:pt idx="7">
                  <c:v>34.389641378661537</c:v>
                </c:pt>
                <c:pt idx="8">
                  <c:v>40.666514264759975</c:v>
                </c:pt>
                <c:pt idx="9">
                  <c:v>46.757213487895108</c:v>
                </c:pt>
                <c:pt idx="10">
                  <c:v>52.50842960081301</c:v>
                </c:pt>
                <c:pt idx="11">
                  <c:v>57.812941191026347</c:v>
                </c:pt>
                <c:pt idx="12">
                  <c:v>62.606865589008969</c:v>
                </c:pt>
                <c:pt idx="13">
                  <c:v>66.863385045386053</c:v>
                </c:pt>
                <c:pt idx="14">
                  <c:v>70.584918287508259</c:v>
                </c:pt>
                <c:pt idx="15">
                  <c:v>73.795159861052298</c:v>
                </c:pt>
                <c:pt idx="16">
                  <c:v>76.53187239325608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75C-4283-B28B-B2F1781036A3}"/>
            </c:ext>
          </c:extLst>
        </c:ser>
        <c:ser>
          <c:idx val="9"/>
          <c:order val="9"/>
          <c:tx>
            <c:strRef>
              <c:f>Greeks!$AC$119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Greeks!$S$120:$S$136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Greeks!$AC$120:$AC$136</c:f>
              <c:numCache>
                <c:formatCode>General</c:formatCode>
                <c:ptCount val="17"/>
                <c:pt idx="0">
                  <c:v>3.4081262074599135</c:v>
                </c:pt>
                <c:pt idx="1">
                  <c:v>5.9658621895937705</c:v>
                </c:pt>
                <c:pt idx="2">
                  <c:v>9.4893482029156058</c:v>
                </c:pt>
                <c:pt idx="3">
                  <c:v>13.964806192115638</c:v>
                </c:pt>
                <c:pt idx="4">
                  <c:v>19.282474296583743</c:v>
                </c:pt>
                <c:pt idx="5">
                  <c:v>25.26030113898759</c:v>
                </c:pt>
                <c:pt idx="6">
                  <c:v>31.675590666078804</c:v>
                </c:pt>
                <c:pt idx="7">
                  <c:v>38.296069087442106</c:v>
                </c:pt>
                <c:pt idx="8">
                  <c:v>44.904908466519977</c:v>
                </c:pt>
                <c:pt idx="9">
                  <c:v>51.317432142978923</c:v>
                </c:pt>
                <c:pt idx="10">
                  <c:v>57.389622642331112</c:v>
                </c:pt>
                <c:pt idx="11">
                  <c:v>63.019923944843072</c:v>
                </c:pt>
                <c:pt idx="12">
                  <c:v>68.146336615181539</c:v>
                </c:pt>
                <c:pt idx="13">
                  <c:v>72.740739426895161</c:v>
                </c:pt>
                <c:pt idx="14">
                  <c:v>76.802012118301121</c:v>
                </c:pt>
                <c:pt idx="15">
                  <c:v>80.349082627409643</c:v>
                </c:pt>
                <c:pt idx="16">
                  <c:v>83.414598637936621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75C-4283-B28B-B2F1781036A3}"/>
            </c:ext>
          </c:extLst>
        </c:ser>
        <c:ser>
          <c:idx val="10"/>
          <c:order val="10"/>
          <c:tx>
            <c:strRef>
              <c:f>Greeks!$AD$119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tint val="68000"/>
              </a:schemeClr>
            </a:solidFill>
            <a:ln/>
            <a:effectLst/>
            <a:sp3d/>
          </c:spPr>
          <c:cat>
            <c:numRef>
              <c:f>Greeks!$S$120:$S$136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Greeks!$AD$120:$AD$136</c:f>
              <c:numCache>
                <c:formatCode>General</c:formatCode>
                <c:ptCount val="17"/>
                <c:pt idx="0">
                  <c:v>16.760740288014706</c:v>
                </c:pt>
                <c:pt idx="1">
                  <c:v>23.314848276281694</c:v>
                </c:pt>
                <c:pt idx="2">
                  <c:v>30.833945975697684</c:v>
                </c:pt>
                <c:pt idx="3">
                  <c:v>39.12877070729931</c:v>
                </c:pt>
                <c:pt idx="4">
                  <c:v>47.990477205189997</c:v>
                </c:pt>
                <c:pt idx="5">
                  <c:v>57.209878012749975</c:v>
                </c:pt>
                <c:pt idx="6">
                  <c:v>66.591346159028802</c:v>
                </c:pt>
                <c:pt idx="7">
                  <c:v>75.961631172955663</c:v>
                </c:pt>
                <c:pt idx="8">
                  <c:v>85.174423276303955</c:v>
                </c:pt>
                <c:pt idx="9">
                  <c:v>94.111689131219805</c:v>
                </c:pt>
                <c:pt idx="10">
                  <c:v>102.68276202708793</c:v>
                </c:pt>
                <c:pt idx="11">
                  <c:v>110.8220192638607</c:v>
                </c:pt>
                <c:pt idx="12">
                  <c:v>118.48579476912981</c:v>
                </c:pt>
                <c:pt idx="13">
                  <c:v>125.64899717066402</c:v>
                </c:pt>
                <c:pt idx="14">
                  <c:v>132.30175184925787</c:v>
                </c:pt>
                <c:pt idx="15">
                  <c:v>138.44626580586129</c:v>
                </c:pt>
                <c:pt idx="16">
                  <c:v>144.09402526215996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75C-4283-B28B-B2F1781036A3}"/>
            </c:ext>
          </c:extLst>
        </c:ser>
        <c:ser>
          <c:idx val="11"/>
          <c:order val="11"/>
          <c:tx>
            <c:strRef>
              <c:f>Greeks!$AE$119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Greeks!$S$120:$S$136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Greeks!$AE$120:$AE$136</c:f>
              <c:numCache>
                <c:formatCode>General</c:formatCode>
                <c:ptCount val="17"/>
                <c:pt idx="0">
                  <c:v>34.347278354932754</c:v>
                </c:pt>
                <c:pt idx="1">
                  <c:v>44.032078635685487</c:v>
                </c:pt>
                <c:pt idx="2">
                  <c:v>54.482049449278385</c:v>
                </c:pt>
                <c:pt idx="3">
                  <c:v>65.478709737318354</c:v>
                </c:pt>
                <c:pt idx="4">
                  <c:v>76.81640811264738</c:v>
                </c:pt>
                <c:pt idx="5">
                  <c:v>88.310233648812414</c:v>
                </c:pt>
                <c:pt idx="6">
                  <c:v>99.800015811264572</c:v>
                </c:pt>
                <c:pt idx="7">
                  <c:v>111.1515180755335</c:v>
                </c:pt>
                <c:pt idx="8">
                  <c:v>122.25575387364285</c:v>
                </c:pt>
                <c:pt idx="9">
                  <c:v>133.0271469421086</c:v>
                </c:pt>
                <c:pt idx="10">
                  <c:v>143.4010659252173</c:v>
                </c:pt>
                <c:pt idx="11">
                  <c:v>153.33110283875411</c:v>
                </c:pt>
                <c:pt idx="12">
                  <c:v>162.78634009613049</c:v>
                </c:pt>
                <c:pt idx="13">
                  <c:v>171.74875805075749</c:v>
                </c:pt>
                <c:pt idx="14">
                  <c:v>180.210868841131</c:v>
                </c:pt>
                <c:pt idx="15">
                  <c:v>188.17361687331504</c:v>
                </c:pt>
                <c:pt idx="16">
                  <c:v>195.64455630771903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75C-4283-B28B-B2F1781036A3}"/>
            </c:ext>
          </c:extLst>
        </c:ser>
        <c:ser>
          <c:idx val="12"/>
          <c:order val="12"/>
          <c:tx>
            <c:strRef>
              <c:f>Greeks!$AF$119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2">
                <a:tint val="49000"/>
              </a:schemeClr>
            </a:solidFill>
            <a:ln/>
            <a:effectLst/>
            <a:sp3d/>
          </c:spPr>
          <c:cat>
            <c:numRef>
              <c:f>Greeks!$S$120:$S$136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Greeks!$AF$120:$AF$136</c:f>
              <c:numCache>
                <c:formatCode>General</c:formatCode>
                <c:ptCount val="17"/>
                <c:pt idx="0">
                  <c:v>53.429576659871827</c:v>
                </c:pt>
                <c:pt idx="1">
                  <c:v>65.612241719610552</c:v>
                </c:pt>
                <c:pt idx="2">
                  <c:v>78.359786030381173</c:v>
                </c:pt>
                <c:pt idx="3">
                  <c:v>91.460887943075662</c:v>
                </c:pt>
                <c:pt idx="4">
                  <c:v>104.72989940256033</c:v>
                </c:pt>
                <c:pt idx="5">
                  <c:v>118.00840446744411</c:v>
                </c:pt>
                <c:pt idx="6">
                  <c:v>131.16465975777294</c:v>
                </c:pt>
                <c:pt idx="7">
                  <c:v>144.09177804367718</c:v>
                </c:pt>
                <c:pt idx="8">
                  <c:v>156.7052526385645</c:v>
                </c:pt>
                <c:pt idx="9">
                  <c:v>168.94022005404264</c:v>
                </c:pt>
                <c:pt idx="10">
                  <c:v>180.74871324670511</c:v>
                </c:pt>
                <c:pt idx="11">
                  <c:v>192.09705624827617</c:v>
                </c:pt>
                <c:pt idx="12">
                  <c:v>202.9634820928915</c:v>
                </c:pt>
                <c:pt idx="13">
                  <c:v>213.3360106715098</c:v>
                </c:pt>
                <c:pt idx="14">
                  <c:v>223.21059443947863</c:v>
                </c:pt>
                <c:pt idx="15">
                  <c:v>232.58952257971575</c:v>
                </c:pt>
                <c:pt idx="16">
                  <c:v>241.48006453738211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75C-4283-B28B-B2F1781036A3}"/>
            </c:ext>
          </c:extLst>
        </c:ser>
        <c:ser>
          <c:idx val="13"/>
          <c:order val="13"/>
          <c:tx>
            <c:strRef>
              <c:f>Greeks!$AG$119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/>
            <a:effectLst/>
            <a:sp3d/>
          </c:spPr>
          <c:cat>
            <c:numRef>
              <c:f>Greeks!$S$120:$S$136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Greeks!$AG$120:$AG$136</c:f>
              <c:numCache>
                <c:formatCode>General</c:formatCode>
                <c:ptCount val="17"/>
                <c:pt idx="0">
                  <c:v>72.913289318308614</c:v>
                </c:pt>
                <c:pt idx="1">
                  <c:v>87.156514480259176</c:v>
                </c:pt>
                <c:pt idx="2">
                  <c:v>101.78771687584245</c:v>
                </c:pt>
                <c:pt idx="3">
                  <c:v>116.61280707499485</c:v>
                </c:pt>
                <c:pt idx="4">
                  <c:v>131.46822164902673</c:v>
                </c:pt>
                <c:pt idx="5">
                  <c:v>146.2190337198065</c:v>
                </c:pt>
                <c:pt idx="6">
                  <c:v>160.75618888968964</c:v>
                </c:pt>
                <c:pt idx="7">
                  <c:v>174.99340189075156</c:v>
                </c:pt>
                <c:pt idx="8">
                  <c:v>188.86403749573628</c:v>
                </c:pt>
                <c:pt idx="9">
                  <c:v>202.3181596575734</c:v>
                </c:pt>
                <c:pt idx="10">
                  <c:v>215.31984323949447</c:v>
                </c:pt>
                <c:pt idx="11">
                  <c:v>227.84478679255173</c:v>
                </c:pt>
                <c:pt idx="12">
                  <c:v>239.87823120714447</c:v>
                </c:pt>
                <c:pt idx="13">
                  <c:v>251.41316989180638</c:v>
                </c:pt>
                <c:pt idx="14">
                  <c:v>262.44882616154143</c:v>
                </c:pt>
                <c:pt idx="15">
                  <c:v>272.98936926815594</c:v>
                </c:pt>
                <c:pt idx="16">
                  <c:v>283.04283969966366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75C-4283-B28B-B2F1781036A3}"/>
            </c:ext>
          </c:extLst>
        </c:ser>
        <c:bandFmts>
          <c:bandFmt>
            <c:idx val="0"/>
            <c:spPr>
              <a:solidFill>
                <a:schemeClr val="accent2">
                  <a:shade val="47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shade val="6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shade val="82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tint val="8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>
                  <a:tint val="65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tint val="4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tint val="3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tint val="13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tint val="9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tint val="78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tint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tint val="43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tint val="25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tint val="8000"/>
                </a:schemeClr>
              </a:solidFill>
              <a:ln/>
              <a:effectLst/>
              <a:sp3d/>
            </c:spPr>
          </c:bandFmt>
        </c:bandFmts>
        <c:axId val="963759008"/>
        <c:axId val="963764584"/>
        <c:axId val="592123520"/>
      </c:surface3DChart>
      <c:catAx>
        <c:axId val="963759008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 [$]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963764584"/>
        <c:crosses val="autoZero"/>
        <c:auto val="1"/>
        <c:lblAlgn val="ctr"/>
        <c:lblOffset val="100"/>
        <c:noMultiLvlLbl val="0"/>
      </c:catAx>
      <c:valAx>
        <c:axId val="963764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l-GR"/>
                  <a:t>ρ</a:t>
                </a:r>
                <a:endParaRPr lang="it-IT"/>
              </a:p>
            </c:rich>
          </c:tx>
          <c:layout>
            <c:manualLayout>
              <c:xMode val="edge"/>
              <c:yMode val="edge"/>
              <c:x val="1.4111111111111111E-2"/>
              <c:y val="0.4478196969696969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963759008"/>
        <c:crosses val="autoZero"/>
        <c:crossBetween val="midCat"/>
      </c:valAx>
      <c:serAx>
        <c:axId val="592123520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l-GR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τ</a:t>
                </a:r>
                <a:r>
                  <a:rPr lang="it-IT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n-US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[years]</a:t>
                </a:r>
              </a:p>
            </c:rich>
          </c:tx>
          <c:layout>
            <c:manualLayout>
              <c:xMode val="edge"/>
              <c:yMode val="edge"/>
              <c:x val="0.85152129629629625"/>
              <c:y val="0.79652651515151518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963764584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∆ plot for </a:t>
            </a:r>
            <a:r>
              <a:rPr lang="el-GR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σ</a:t>
            </a:r>
            <a:r>
              <a:rPr lang="it-IT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=0,1</a:t>
            </a:r>
            <a:endParaRPr lang="it-IT" sz="1800">
              <a:solidFill>
                <a:sysClr val="windowText" lastClr="000000"/>
              </a:solidFill>
              <a:effectLst/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37496630965484151"/>
          <c:y val="2.0833333333333332E-2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15"/>
      <c:rotY val="0"/>
      <c:rAngAx val="0"/>
    </c:view3D>
    <c:floor>
      <c:thickness val="0"/>
      <c:spPr>
        <a:noFill/>
        <a:ln w="635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622583467389157"/>
          <c:y val="0.14574666447944007"/>
          <c:w val="0.78925454378686533"/>
          <c:h val="0.70007518591426077"/>
        </c:manualLayout>
      </c:layout>
      <c:surface3DChart>
        <c:wireframe val="0"/>
        <c:ser>
          <c:idx val="0"/>
          <c:order val="0"/>
          <c:tx>
            <c:strRef>
              <c:f>Greeks!$AL$23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4">
                <a:shade val="39000"/>
              </a:schemeClr>
            </a:solidFill>
            <a:ln/>
            <a:effectLst/>
            <a:sp3d/>
          </c:spPr>
          <c:cat>
            <c:numRef>
              <c:f>Greeks!$AK$24:$AK$40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Greeks!$AL$24:$AL$40</c:f>
              <c:numCache>
                <c:formatCode>General</c:formatCode>
                <c:ptCount val="17"/>
                <c:pt idx="0">
                  <c:v>1.152199866581208E-58</c:v>
                </c:pt>
                <c:pt idx="1">
                  <c:v>2.8126612880569749E-42</c:v>
                </c:pt>
                <c:pt idx="2">
                  <c:v>1.4260381787833992E-29</c:v>
                </c:pt>
                <c:pt idx="3">
                  <c:v>7.1568181094979558E-20</c:v>
                </c:pt>
                <c:pt idx="4">
                  <c:v>1.2002701474206063E-12</c:v>
                </c:pt>
                <c:pt idx="5">
                  <c:v>1.7727866846205845E-7</c:v>
                </c:pt>
                <c:pt idx="6">
                  <c:v>5.1107517146907055E-4</c:v>
                </c:pt>
                <c:pt idx="7">
                  <c:v>5.7674144516076838E-2</c:v>
                </c:pt>
                <c:pt idx="8">
                  <c:v>0.51891639999929629</c:v>
                </c:pt>
                <c:pt idx="9">
                  <c:v>0.94411804837488877</c:v>
                </c:pt>
                <c:pt idx="10">
                  <c:v>0.99889850177275419</c:v>
                </c:pt>
                <c:pt idx="11">
                  <c:v>0.99999603555087258</c:v>
                </c:pt>
                <c:pt idx="12">
                  <c:v>0.99999999693089381</c:v>
                </c:pt>
                <c:pt idx="13">
                  <c:v>0.99999999999939337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76-4D7E-85BF-C3BA1DEF9A2D}"/>
            </c:ext>
          </c:extLst>
        </c:ser>
        <c:ser>
          <c:idx val="1"/>
          <c:order val="1"/>
          <c:tx>
            <c:strRef>
              <c:f>Greeks!$AM$23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4">
                <a:shade val="48000"/>
              </a:schemeClr>
            </a:solidFill>
            <a:ln/>
            <a:effectLst/>
            <a:sp3d/>
          </c:spPr>
          <c:cat>
            <c:numRef>
              <c:f>Greeks!$AK$24:$AK$40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Greeks!$AM$24:$AM$40</c:f>
              <c:numCache>
                <c:formatCode>General</c:formatCode>
                <c:ptCount val="17"/>
                <c:pt idx="0">
                  <c:v>3.4889502026674058E-30</c:v>
                </c:pt>
                <c:pt idx="1">
                  <c:v>5.5821144851585946E-22</c:v>
                </c:pt>
                <c:pt idx="2">
                  <c:v>1.3034623767509508E-15</c:v>
                </c:pt>
                <c:pt idx="3">
                  <c:v>9.7210253802256359E-11</c:v>
                </c:pt>
                <c:pt idx="4">
                  <c:v>4.2709800292238633E-7</c:v>
                </c:pt>
                <c:pt idx="5">
                  <c:v>1.8057900763335667E-4</c:v>
                </c:pt>
                <c:pt idx="6">
                  <c:v>1.1044013907594808E-2</c:v>
                </c:pt>
                <c:pt idx="7">
                  <c:v>0.14009983864577799</c:v>
                </c:pt>
                <c:pt idx="8">
                  <c:v>0.5267418038869226</c:v>
                </c:pt>
                <c:pt idx="9">
                  <c:v>0.87658089249568349</c:v>
                </c:pt>
                <c:pt idx="10">
                  <c:v>0.98603550784275051</c:v>
                </c:pt>
                <c:pt idx="11">
                  <c:v>0.99929416451516662</c:v>
                </c:pt>
                <c:pt idx="12">
                  <c:v>0.9999829287565416</c:v>
                </c:pt>
                <c:pt idx="13">
                  <c:v>0.99999978673956835</c:v>
                </c:pt>
                <c:pt idx="14">
                  <c:v>0.99999999851931465</c:v>
                </c:pt>
                <c:pt idx="15">
                  <c:v>0.99999999999389166</c:v>
                </c:pt>
                <c:pt idx="16">
                  <c:v>0.99999999999998412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76-4D7E-85BF-C3BA1DEF9A2D}"/>
            </c:ext>
          </c:extLst>
        </c:ser>
        <c:ser>
          <c:idx val="2"/>
          <c:order val="2"/>
          <c:tx>
            <c:strRef>
              <c:f>Greeks!$AN$23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4">
                <a:shade val="58000"/>
              </a:schemeClr>
            </a:solidFill>
            <a:ln/>
            <a:effectLst/>
            <a:sp3d/>
          </c:spPr>
          <c:cat>
            <c:numRef>
              <c:f>Greeks!$AK$24:$AK$40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Greeks!$AN$24:$AN$40</c:f>
              <c:numCache>
                <c:formatCode>General</c:formatCode>
                <c:ptCount val="17"/>
                <c:pt idx="0">
                  <c:v>1.1850476086013817E-20</c:v>
                </c:pt>
                <c:pt idx="1">
                  <c:v>3.5461176703588463E-15</c:v>
                </c:pt>
                <c:pt idx="2">
                  <c:v>6.3883719199083708E-11</c:v>
                </c:pt>
                <c:pt idx="3">
                  <c:v>1.1693829518833767E-7</c:v>
                </c:pt>
                <c:pt idx="4">
                  <c:v>3.2777591453569817E-5</c:v>
                </c:pt>
                <c:pt idx="5">
                  <c:v>1.9569580318317646E-3</c:v>
                </c:pt>
                <c:pt idx="6">
                  <c:v>3.2777626460407994E-2</c:v>
                </c:pt>
                <c:pt idx="7">
                  <c:v>0.19646253524083446</c:v>
                </c:pt>
                <c:pt idx="8">
                  <c:v>0.53273961671267711</c:v>
                </c:pt>
                <c:pt idx="9">
                  <c:v>0.83470864554501079</c:v>
                </c:pt>
                <c:pt idx="10">
                  <c:v>0.96579345861513155</c:v>
                </c:pt>
                <c:pt idx="11">
                  <c:v>0.99577886954542294</c:v>
                </c:pt>
                <c:pt idx="12">
                  <c:v>0.99967623132709937</c:v>
                </c:pt>
                <c:pt idx="13">
                  <c:v>0.99998381961018046</c:v>
                </c:pt>
                <c:pt idx="14">
                  <c:v>0.99999944833507226</c:v>
                </c:pt>
                <c:pt idx="15">
                  <c:v>0.9999999866108833</c:v>
                </c:pt>
                <c:pt idx="16">
                  <c:v>0.99999999975964071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76-4D7E-85BF-C3BA1DEF9A2D}"/>
            </c:ext>
          </c:extLst>
        </c:ser>
        <c:ser>
          <c:idx val="3"/>
          <c:order val="3"/>
          <c:tx>
            <c:strRef>
              <c:f>Greeks!$AO$23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>
                <a:shade val="67000"/>
              </a:schemeClr>
            </a:solidFill>
            <a:ln/>
            <a:effectLst/>
            <a:sp3d/>
          </c:spPr>
          <c:cat>
            <c:numRef>
              <c:f>Greeks!$AK$24:$AK$40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Greeks!$AO$24:$AO$40</c:f>
              <c:numCache>
                <c:formatCode>General</c:formatCode>
                <c:ptCount val="17"/>
                <c:pt idx="0">
                  <c:v>7.1994037560856956E-16</c:v>
                </c:pt>
                <c:pt idx="1">
                  <c:v>9.3129642843240566E-12</c:v>
                </c:pt>
                <c:pt idx="2">
                  <c:v>1.4726488482514407E-8</c:v>
                </c:pt>
                <c:pt idx="3">
                  <c:v>4.2184867637814504E-6</c:v>
                </c:pt>
                <c:pt idx="4">
                  <c:v>2.9809587513643615E-4</c:v>
                </c:pt>
                <c:pt idx="5">
                  <c:v>6.6658842436191799E-3</c:v>
                </c:pt>
                <c:pt idx="6">
                  <c:v>5.8088107987320343E-2</c:v>
                </c:pt>
                <c:pt idx="7">
                  <c:v>0.236949408121337</c:v>
                </c:pt>
                <c:pt idx="8">
                  <c:v>0.53779029390666466</c:v>
                </c:pt>
                <c:pt idx="9">
                  <c:v>0.80683951354982264</c:v>
                </c:pt>
                <c:pt idx="10">
                  <c:v>0.94540611613468872</c:v>
                </c:pt>
                <c:pt idx="11">
                  <c:v>0.98940827229066197</c:v>
                </c:pt>
                <c:pt idx="12">
                  <c:v>0.99854754541412227</c:v>
                </c:pt>
                <c:pt idx="13">
                  <c:v>0.99985444081884667</c:v>
                </c:pt>
                <c:pt idx="14">
                  <c:v>0.99998898282504689</c:v>
                </c:pt>
                <c:pt idx="15">
                  <c:v>0.99999935060366185</c:v>
                </c:pt>
                <c:pt idx="16">
                  <c:v>0.99999996934905533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76-4D7E-85BF-C3BA1DEF9A2D}"/>
            </c:ext>
          </c:extLst>
        </c:ser>
        <c:ser>
          <c:idx val="4"/>
          <c:order val="4"/>
          <c:tx>
            <c:strRef>
              <c:f>Greeks!$AP$23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4">
                <a:shade val="76000"/>
              </a:schemeClr>
            </a:solidFill>
            <a:ln/>
            <a:effectLst/>
            <a:sp3d/>
          </c:spPr>
          <c:cat>
            <c:numRef>
              <c:f>Greeks!$AK$24:$AK$40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Greeks!$AP$24:$AP$40</c:f>
              <c:numCache>
                <c:formatCode>General</c:formatCode>
                <c:ptCount val="17"/>
                <c:pt idx="0">
                  <c:v>5.4712789718469201E-13</c:v>
                </c:pt>
                <c:pt idx="1">
                  <c:v>1.0745001039870842E-9</c:v>
                </c:pt>
                <c:pt idx="2">
                  <c:v>3.9447858056893467E-7</c:v>
                </c:pt>
                <c:pt idx="3">
                  <c:v>3.7104262232348042E-5</c:v>
                </c:pt>
                <c:pt idx="4">
                  <c:v>1.1455014907192074E-3</c:v>
                </c:pt>
                <c:pt idx="5">
                  <c:v>1.4178971876106394E-2</c:v>
                </c:pt>
                <c:pt idx="6">
                  <c:v>8.3185859132694412E-2</c:v>
                </c:pt>
                <c:pt idx="7">
                  <c:v>0.26784925915213059</c:v>
                </c:pt>
                <c:pt idx="8">
                  <c:v>0.54223501331161406</c:v>
                </c:pt>
                <c:pt idx="9">
                  <c:v>0.78700233026770061</c:v>
                </c:pt>
                <c:pt idx="10">
                  <c:v>0.92702067884803829</c:v>
                </c:pt>
                <c:pt idx="11">
                  <c:v>0.98135607564044858</c:v>
                </c:pt>
                <c:pt idx="12">
                  <c:v>0.99636788743791604</c:v>
                </c:pt>
                <c:pt idx="13">
                  <c:v>0.99944644902317548</c:v>
                </c:pt>
                <c:pt idx="14">
                  <c:v>0.99993230917992704</c:v>
                </c:pt>
                <c:pt idx="15">
                  <c:v>0.99999319889057736</c:v>
                </c:pt>
                <c:pt idx="16">
                  <c:v>0.99999942627332528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76-4D7E-85BF-C3BA1DEF9A2D}"/>
            </c:ext>
          </c:extLst>
        </c:ser>
        <c:ser>
          <c:idx val="5"/>
          <c:order val="5"/>
          <c:tx>
            <c:strRef>
              <c:f>Greeks!$AQ$23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4">
                <a:shade val="86000"/>
              </a:schemeClr>
            </a:solidFill>
            <a:ln/>
            <a:effectLst/>
            <a:sp3d/>
          </c:spPr>
          <c:cat>
            <c:numRef>
              <c:f>Greeks!$AK$24:$AK$40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Greeks!$AQ$24:$AQ$40</c:f>
              <c:numCache>
                <c:formatCode>General</c:formatCode>
                <c:ptCount val="17"/>
                <c:pt idx="0">
                  <c:v>4.6306900470662182E-11</c:v>
                </c:pt>
                <c:pt idx="1">
                  <c:v>2.5874472084445293E-8</c:v>
                </c:pt>
                <c:pt idx="2">
                  <c:v>3.5869233961988961E-6</c:v>
                </c:pt>
                <c:pt idx="3">
                  <c:v>1.6047856986437583E-4</c:v>
                </c:pt>
                <c:pt idx="4">
                  <c:v>2.8497945838167151E-3</c:v>
                </c:pt>
                <c:pt idx="5">
                  <c:v>2.3744049559651273E-2</c:v>
                </c:pt>
                <c:pt idx="6">
                  <c:v>0.10674814223186854</c:v>
                </c:pt>
                <c:pt idx="7">
                  <c:v>0.29253156538610559</c:v>
                </c:pt>
                <c:pt idx="8">
                  <c:v>0.54624882106468031</c:v>
                </c:pt>
                <c:pt idx="9">
                  <c:v>0.77218677368637112</c:v>
                </c:pt>
                <c:pt idx="10">
                  <c:v>0.910951676948353</c:v>
                </c:pt>
                <c:pt idx="11">
                  <c:v>0.97260314455363983</c:v>
                </c:pt>
                <c:pt idx="12">
                  <c:v>0.99324341588079323</c:v>
                </c:pt>
                <c:pt idx="13">
                  <c:v>0.99863656915944365</c:v>
                </c:pt>
                <c:pt idx="14">
                  <c:v>0.99977023212247085</c:v>
                </c:pt>
                <c:pt idx="15">
                  <c:v>0.99996703614043125</c:v>
                </c:pt>
                <c:pt idx="16">
                  <c:v>0.99999590254116577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376-4D7E-85BF-C3BA1DEF9A2D}"/>
            </c:ext>
          </c:extLst>
        </c:ser>
        <c:ser>
          <c:idx val="6"/>
          <c:order val="6"/>
          <c:tx>
            <c:strRef>
              <c:f>Greeks!$AR$23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4">
                <a:shade val="95000"/>
              </a:schemeClr>
            </a:solidFill>
            <a:ln/>
            <a:effectLst/>
            <a:sp3d/>
          </c:spPr>
          <c:cat>
            <c:numRef>
              <c:f>Greeks!$AK$24:$AK$40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Greeks!$AR$24:$AR$40</c:f>
              <c:numCache>
                <c:formatCode>General</c:formatCode>
                <c:ptCount val="17"/>
                <c:pt idx="0">
                  <c:v>1.1154484392717851E-9</c:v>
                </c:pt>
                <c:pt idx="1">
                  <c:v>2.5390046836316418E-7</c:v>
                </c:pt>
                <c:pt idx="2">
                  <c:v>1.7549254029347776E-5</c:v>
                </c:pt>
                <c:pt idx="3">
                  <c:v>4.6157184850289515E-4</c:v>
                </c:pt>
                <c:pt idx="4">
                  <c:v>5.5176887334378597E-3</c:v>
                </c:pt>
                <c:pt idx="5">
                  <c:v>3.4610567414057034E-2</c:v>
                </c:pt>
                <c:pt idx="6">
                  <c:v>0.12843922086837087</c:v>
                </c:pt>
                <c:pt idx="7">
                  <c:v>0.31292611764332445</c:v>
                </c:pt>
                <c:pt idx="8">
                  <c:v>0.54993574324296035</c:v>
                </c:pt>
                <c:pt idx="9">
                  <c:v>0.76073008250523411</c:v>
                </c:pt>
                <c:pt idx="10">
                  <c:v>0.8970058106562373</c:v>
                </c:pt>
                <c:pt idx="11">
                  <c:v>0.96375065198429899</c:v>
                </c:pt>
                <c:pt idx="12">
                  <c:v>0.98940714410148023</c:v>
                </c:pt>
                <c:pt idx="13">
                  <c:v>0.9973854793151351</c:v>
                </c:pt>
                <c:pt idx="14">
                  <c:v>0.99944558802202021</c:v>
                </c:pt>
                <c:pt idx="15">
                  <c:v>0.99989736258573836</c:v>
                </c:pt>
                <c:pt idx="16">
                  <c:v>0.99998316518966346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376-4D7E-85BF-C3BA1DEF9A2D}"/>
            </c:ext>
          </c:extLst>
        </c:ser>
        <c:ser>
          <c:idx val="7"/>
          <c:order val="7"/>
          <c:tx>
            <c:strRef>
              <c:f>Greeks!$AS$23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4">
                <a:tint val="96000"/>
              </a:schemeClr>
            </a:solidFill>
            <a:ln/>
            <a:effectLst/>
            <a:sp3d/>
          </c:spPr>
          <c:cat>
            <c:numRef>
              <c:f>Greeks!$AK$24:$AK$40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Greeks!$AS$24:$AS$40</c:f>
              <c:numCache>
                <c:formatCode>General</c:formatCode>
                <c:ptCount val="17"/>
                <c:pt idx="0">
                  <c:v>1.2232280237899387E-8</c:v>
                </c:pt>
                <c:pt idx="1">
                  <c:v>1.4195096494921114E-6</c:v>
                </c:pt>
                <c:pt idx="2">
                  <c:v>5.8200883657871402E-5</c:v>
                </c:pt>
                <c:pt idx="3">
                  <c:v>1.0273171406440314E-3</c:v>
                </c:pt>
                <c:pt idx="4">
                  <c:v>9.1213054737095019E-3</c:v>
                </c:pt>
                <c:pt idx="5">
                  <c:v>4.6201796215212587E-2</c:v>
                </c:pt>
                <c:pt idx="6">
                  <c:v>0.14828843430084729</c:v>
                </c:pt>
                <c:pt idx="7">
                  <c:v>0.33021760012856716</c:v>
                </c:pt>
                <c:pt idx="8">
                  <c:v>0.55336358492889404</c:v>
                </c:pt>
                <c:pt idx="9">
                  <c:v>0.75163843630541693</c:v>
                </c:pt>
                <c:pt idx="10">
                  <c:v>0.88488455046683934</c:v>
                </c:pt>
                <c:pt idx="11">
                  <c:v>0.95512804158206499</c:v>
                </c:pt>
                <c:pt idx="12">
                  <c:v>0.98509406838389912</c:v>
                </c:pt>
                <c:pt idx="13">
                  <c:v>0.99571799089194879</c:v>
                </c:pt>
                <c:pt idx="14">
                  <c:v>0.99892066116278744</c:v>
                </c:pt>
                <c:pt idx="15">
                  <c:v>0.99975797900363672</c:v>
                </c:pt>
                <c:pt idx="16">
                  <c:v>0.99995111048223762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376-4D7E-85BF-C3BA1DEF9A2D}"/>
            </c:ext>
          </c:extLst>
        </c:ser>
        <c:ser>
          <c:idx val="8"/>
          <c:order val="8"/>
          <c:tx>
            <c:strRef>
              <c:f>Greeks!$AT$23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4">
                <a:tint val="86000"/>
              </a:schemeClr>
            </a:solidFill>
            <a:ln/>
            <a:effectLst/>
            <a:sp3d/>
          </c:spPr>
          <c:cat>
            <c:numRef>
              <c:f>Greeks!$AK$24:$AK$40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Greeks!$AT$24:$AT$40</c:f>
              <c:numCache>
                <c:formatCode>General</c:formatCode>
                <c:ptCount val="17"/>
                <c:pt idx="0">
                  <c:v>7.9305503738124461E-8</c:v>
                </c:pt>
                <c:pt idx="1">
                  <c:v>5.4488726576165433E-6</c:v>
                </c:pt>
                <c:pt idx="2">
                  <c:v>1.4879923588186921E-4</c:v>
                </c:pt>
                <c:pt idx="3">
                  <c:v>1.9253955209529885E-3</c:v>
                </c:pt>
                <c:pt idx="4">
                  <c:v>1.3558236229164239E-2</c:v>
                </c:pt>
                <c:pt idx="5">
                  <c:v>5.8114853573404297E-2</c:v>
                </c:pt>
                <c:pt idx="6">
                  <c:v>0.1664485667707323</c:v>
                </c:pt>
                <c:pt idx="7">
                  <c:v>0.34517641190667869</c:v>
                </c:pt>
                <c:pt idx="8">
                  <c:v>0.55657946195545982</c:v>
                </c:pt>
                <c:pt idx="9">
                  <c:v>0.74427963343394432</c:v>
                </c:pt>
                <c:pt idx="10">
                  <c:v>0.87430092401455395</c:v>
                </c:pt>
                <c:pt idx="11">
                  <c:v>0.94690122807155452</c:v>
                </c:pt>
                <c:pt idx="12">
                  <c:v>0.98049779905589118</c:v>
                </c:pt>
                <c:pt idx="13">
                  <c:v>0.99369223383243865</c:v>
                </c:pt>
                <c:pt idx="14">
                  <c:v>0.99818047109526631</c:v>
                </c:pt>
                <c:pt idx="15">
                  <c:v>0.99952627336039468</c:v>
                </c:pt>
                <c:pt idx="16">
                  <c:v>0.99988744523010076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76-4D7E-85BF-C3BA1DEF9A2D}"/>
            </c:ext>
          </c:extLst>
        </c:ser>
        <c:ser>
          <c:idx val="9"/>
          <c:order val="9"/>
          <c:tx>
            <c:strRef>
              <c:f>Greeks!$AU$23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tint val="77000"/>
              </a:schemeClr>
            </a:solidFill>
            <a:ln/>
            <a:effectLst/>
            <a:sp3d/>
          </c:spPr>
          <c:cat>
            <c:numRef>
              <c:f>Greeks!$AK$24:$AK$40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Greeks!$AU$24:$AU$40</c:f>
              <c:numCache>
                <c:formatCode>General</c:formatCode>
                <c:ptCount val="17"/>
                <c:pt idx="0">
                  <c:v>3.5564355541459468E-7</c:v>
                </c:pt>
                <c:pt idx="1">
                  <c:v>1.6064307266339651E-5</c:v>
                </c:pt>
                <c:pt idx="2">
                  <c:v>3.1686788675612439E-4</c:v>
                </c:pt>
                <c:pt idx="3">
                  <c:v>3.1973886164727121E-3</c:v>
                </c:pt>
                <c:pt idx="4">
                  <c:v>1.8697030468110387E-2</c:v>
                </c:pt>
                <c:pt idx="5">
                  <c:v>7.0080829341433393E-2</c:v>
                </c:pt>
                <c:pt idx="6">
                  <c:v>0.18310240300676622</c:v>
                </c:pt>
                <c:pt idx="7">
                  <c:v>0.35832748828828459</c:v>
                </c:pt>
                <c:pt idx="8">
                  <c:v>0.5596176923702425</c:v>
                </c:pt>
                <c:pt idx="9">
                  <c:v>0.7382311454904813</c:v>
                </c:pt>
                <c:pt idx="10">
                  <c:v>0.86500851994546202</c:v>
                </c:pt>
                <c:pt idx="11">
                  <c:v>0.9391430239591263</c:v>
                </c:pt>
                <c:pt idx="12">
                  <c:v>0.9757644962341846</c:v>
                </c:pt>
                <c:pt idx="13">
                  <c:v>0.9913773450413681</c:v>
                </c:pt>
                <c:pt idx="14">
                  <c:v>0.99722837337629622</c:v>
                </c:pt>
                <c:pt idx="15">
                  <c:v>0.99918656546080542</c:v>
                </c:pt>
                <c:pt idx="16">
                  <c:v>0.99977989302522097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376-4D7E-85BF-C3BA1DEF9A2D}"/>
            </c:ext>
          </c:extLst>
        </c:ser>
        <c:ser>
          <c:idx val="10"/>
          <c:order val="10"/>
          <c:tx>
            <c:strRef>
              <c:f>Greeks!$AV$23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4">
                <a:tint val="68000"/>
              </a:schemeClr>
            </a:solidFill>
            <a:ln/>
            <a:effectLst/>
            <a:sp3d/>
          </c:spPr>
          <c:cat>
            <c:numRef>
              <c:f>Greeks!$AK$24:$AK$40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Greeks!$AV$24:$AV$40</c:f>
              <c:numCache>
                <c:formatCode>General</c:formatCode>
                <c:ptCount val="17"/>
                <c:pt idx="0">
                  <c:v>3.3699015309893697E-4</c:v>
                </c:pt>
                <c:pt idx="1">
                  <c:v>2.2987314592982288E-3</c:v>
                </c:pt>
                <c:pt idx="2">
                  <c:v>1.0445719216560184E-2</c:v>
                </c:pt>
                <c:pt idx="3">
                  <c:v>3.4220862001572698E-2</c:v>
                </c:pt>
                <c:pt idx="4">
                  <c:v>8.6011681908250939E-2</c:v>
                </c:pt>
                <c:pt idx="5">
                  <c:v>0.17436633291241277</c:v>
                </c:pt>
                <c:pt idx="6">
                  <c:v>0.29705856189617319</c:v>
                </c:pt>
                <c:pt idx="7">
                  <c:v>0.44015891222205472</c:v>
                </c:pt>
                <c:pt idx="8">
                  <c:v>0.58399798571368178</c:v>
                </c:pt>
                <c:pt idx="9">
                  <c:v>0.71128089691736807</c:v>
                </c:pt>
                <c:pt idx="10">
                  <c:v>0.81221192244611107</c:v>
                </c:pt>
                <c:pt idx="11">
                  <c:v>0.88500763743571798</c:v>
                </c:pt>
                <c:pt idx="12">
                  <c:v>0.93336619424077227</c:v>
                </c:pt>
                <c:pt idx="13">
                  <c:v>0.9632726598800867</c:v>
                </c:pt>
                <c:pt idx="14">
                  <c:v>0.9806483495408157</c:v>
                </c:pt>
                <c:pt idx="15">
                  <c:v>0.99020716359662175</c:v>
                </c:pt>
                <c:pt idx="16">
                  <c:v>0.99521999012116835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376-4D7E-85BF-C3BA1DEF9A2D}"/>
            </c:ext>
          </c:extLst>
        </c:ser>
        <c:ser>
          <c:idx val="11"/>
          <c:order val="11"/>
          <c:tx>
            <c:strRef>
              <c:f>Greeks!$AW$23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4">
                <a:tint val="58000"/>
              </a:schemeClr>
            </a:solidFill>
            <a:ln/>
            <a:effectLst/>
            <a:sp3d/>
          </c:spPr>
          <c:cat>
            <c:numRef>
              <c:f>Greeks!$AK$24:$AK$40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Greeks!$AW$24:$AW$40</c:f>
              <c:numCache>
                <c:formatCode>General</c:formatCode>
                <c:ptCount val="17"/>
                <c:pt idx="0">
                  <c:v>3.5785417129918732E-3</c:v>
                </c:pt>
                <c:pt idx="1">
                  <c:v>1.296299065751454E-2</c:v>
                </c:pt>
                <c:pt idx="2">
                  <c:v>3.5973278929724198E-2</c:v>
                </c:pt>
                <c:pt idx="3">
                  <c:v>8.0588258967957058E-2</c:v>
                </c:pt>
                <c:pt idx="4">
                  <c:v>0.15185446032881006</c:v>
                </c:pt>
                <c:pt idx="5">
                  <c:v>0.24872867527518139</c:v>
                </c:pt>
                <c:pt idx="6">
                  <c:v>0.36373551072271876</c:v>
                </c:pt>
                <c:pt idx="7">
                  <c:v>0.48550787950516511</c:v>
                </c:pt>
                <c:pt idx="8">
                  <c:v>0.60249391401788088</c:v>
                </c:pt>
                <c:pt idx="9">
                  <c:v>0.70591773123367962</c:v>
                </c:pt>
                <c:pt idx="10">
                  <c:v>0.79105324594553816</c:v>
                </c:pt>
                <c:pt idx="11">
                  <c:v>0.85695166013778001</c:v>
                </c:pt>
                <c:pt idx="12">
                  <c:v>0.90531441414396252</c:v>
                </c:pt>
                <c:pt idx="13">
                  <c:v>0.9392042006984751</c:v>
                </c:pt>
                <c:pt idx="14">
                  <c:v>0.96201541129490264</c:v>
                </c:pt>
                <c:pt idx="15">
                  <c:v>0.97683982081086107</c:v>
                </c:pt>
                <c:pt idx="16">
                  <c:v>0.98618256040797059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376-4D7E-85BF-C3BA1DEF9A2D}"/>
            </c:ext>
          </c:extLst>
        </c:ser>
        <c:ser>
          <c:idx val="12"/>
          <c:order val="12"/>
          <c:tx>
            <c:strRef>
              <c:f>Greeks!$AX$23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4">
                <a:tint val="49000"/>
              </a:schemeClr>
            </a:solidFill>
            <a:ln/>
            <a:effectLst/>
            <a:sp3d/>
          </c:spPr>
          <c:cat>
            <c:numRef>
              <c:f>Greeks!$AK$24:$AK$40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Greeks!$AX$24:$AX$40</c:f>
              <c:numCache>
                <c:formatCode>General</c:formatCode>
                <c:ptCount val="17"/>
                <c:pt idx="0">
                  <c:v>1.2094054588474413E-2</c:v>
                </c:pt>
                <c:pt idx="1">
                  <c:v>3.1875690795675732E-2</c:v>
                </c:pt>
                <c:pt idx="2">
                  <c:v>6.8987440114615495E-2</c:v>
                </c:pt>
                <c:pt idx="3">
                  <c:v>0.127474584567597</c:v>
                </c:pt>
                <c:pt idx="4">
                  <c:v>0.20733079045218472</c:v>
                </c:pt>
                <c:pt idx="5">
                  <c:v>0.30411744905751403</c:v>
                </c:pt>
                <c:pt idx="6">
                  <c:v>0.41028862938032845</c:v>
                </c:pt>
                <c:pt idx="7">
                  <c:v>0.51736188083892132</c:v>
                </c:pt>
                <c:pt idx="8">
                  <c:v>0.61791142218895267</c:v>
                </c:pt>
                <c:pt idx="9">
                  <c:v>0.70676234221741063</c:v>
                </c:pt>
                <c:pt idx="10">
                  <c:v>0.78128810999478626</c:v>
                </c:pt>
                <c:pt idx="11">
                  <c:v>0.84105655977843707</c:v>
                </c:pt>
                <c:pt idx="12">
                  <c:v>0.88716872324765816</c:v>
                </c:pt>
                <c:pt idx="13">
                  <c:v>0.9215709212989972</c:v>
                </c:pt>
                <c:pt idx="14">
                  <c:v>0.94649958655795841</c:v>
                </c:pt>
                <c:pt idx="15">
                  <c:v>0.9641109494110095</c:v>
                </c:pt>
                <c:pt idx="16">
                  <c:v>0.97628058460472156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376-4D7E-85BF-C3BA1DEF9A2D}"/>
            </c:ext>
          </c:extLst>
        </c:ser>
        <c:ser>
          <c:idx val="13"/>
          <c:order val="13"/>
          <c:tx>
            <c:strRef>
              <c:f>Greeks!$AY$23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4">
                <a:tint val="40000"/>
              </a:schemeClr>
            </a:solidFill>
            <a:ln/>
            <a:effectLst/>
            <a:sp3d/>
          </c:spPr>
          <c:cat>
            <c:numRef>
              <c:f>Greeks!$AK$24:$AK$40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Greeks!$AY$24:$AY$40</c:f>
              <c:numCache>
                <c:formatCode>General</c:formatCode>
                <c:ptCount val="17"/>
                <c:pt idx="0">
                  <c:v>2.564344677496205E-2</c:v>
                </c:pt>
                <c:pt idx="1">
                  <c:v>5.5792459445646918E-2</c:v>
                </c:pt>
                <c:pt idx="2">
                  <c:v>0.10389085170754279</c:v>
                </c:pt>
                <c:pt idx="3">
                  <c:v>0.17076585813219761</c:v>
                </c:pt>
                <c:pt idx="4">
                  <c:v>0.25381961865942948</c:v>
                </c:pt>
                <c:pt idx="5">
                  <c:v>0.34775207052445578</c:v>
                </c:pt>
                <c:pt idx="6">
                  <c:v>0.44599904247550076</c:v>
                </c:pt>
                <c:pt idx="7">
                  <c:v>0.54221660354441636</c:v>
                </c:pt>
                <c:pt idx="8">
                  <c:v>0.63134216139179089</c:v>
                </c:pt>
                <c:pt idx="9">
                  <c:v>0.71007589254163683</c:v>
                </c:pt>
                <c:pt idx="10">
                  <c:v>0.77686562090211786</c:v>
                </c:pt>
                <c:pt idx="11">
                  <c:v>0.83158425080253329</c:v>
                </c:pt>
                <c:pt idx="12">
                  <c:v>0.87508800250645269</c:v>
                </c:pt>
                <c:pt idx="13">
                  <c:v>0.90878962693226017</c:v>
                </c:pt>
                <c:pt idx="14">
                  <c:v>0.93431723431540992</c:v>
                </c:pt>
                <c:pt idx="15">
                  <c:v>0.9532794554679479</c:v>
                </c:pt>
                <c:pt idx="16">
                  <c:v>0.96712760884191817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376-4D7E-85BF-C3BA1DEF9A2D}"/>
            </c:ext>
          </c:extLst>
        </c:ser>
        <c:bandFmts>
          <c:bandFmt>
            <c:idx val="0"/>
            <c:spPr>
              <a:solidFill>
                <a:schemeClr val="accent4">
                  <a:shade val="41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4">
                  <a:shade val="53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4">
                  <a:shade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>
                  <a:shade val="7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4">
                  <a:shade val="88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4">
                  <a:tint val="89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4">
                  <a:tint val="7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4">
                  <a:tint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tint val="5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4">
                  <a:tint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4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4">
                  <a:tint val="19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4">
                  <a:tint val="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4">
                  <a:tint val="95000"/>
                </a:schemeClr>
              </a:solidFill>
              <a:ln/>
              <a:effectLst/>
              <a:sp3d/>
            </c:spPr>
          </c:bandFmt>
        </c:bandFmts>
        <c:axId val="517391848"/>
        <c:axId val="517394800"/>
        <c:axId val="331519312"/>
      </c:surface3DChart>
      <c:catAx>
        <c:axId val="517391848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 [$]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517394800"/>
        <c:crosses val="autoZero"/>
        <c:auto val="1"/>
        <c:lblAlgn val="ctr"/>
        <c:lblOffset val="100"/>
        <c:noMultiLvlLbl val="0"/>
      </c:catAx>
      <c:valAx>
        <c:axId val="51739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∆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517391848"/>
        <c:crosses val="autoZero"/>
        <c:crossBetween val="midCat"/>
      </c:valAx>
      <c:serAx>
        <c:axId val="331519312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200" b="0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τ [years]</a:t>
                </a:r>
                <a:endParaRPr lang="it-IT" sz="1200" b="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87220981481481485"/>
              <c:y val="0.6561739898989899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517394800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l-GR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Γ</a:t>
            </a:r>
            <a:r>
              <a:rPr lang="it-IT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 plot for </a:t>
            </a:r>
            <a:r>
              <a:rPr lang="el-GR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σ</a:t>
            </a:r>
            <a:r>
              <a:rPr lang="it-IT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=0,1</a:t>
            </a:r>
            <a:endParaRPr lang="it-IT">
              <a:solidFill>
                <a:sysClr val="windowText" lastClr="000000"/>
              </a:solidFill>
              <a:effectLst/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180"/>
      <c:rAngAx val="0"/>
    </c:view3D>
    <c:floor>
      <c:thickness val="0"/>
      <c:spPr>
        <a:noFill/>
        <a:ln w="635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6594814814814816E-2"/>
          <c:y val="0.1346169191919192"/>
          <c:w val="0.87954388888888901"/>
          <c:h val="0.75504924242424243"/>
        </c:manualLayout>
      </c:layout>
      <c:surface3DChart>
        <c:wireframe val="0"/>
        <c:ser>
          <c:idx val="0"/>
          <c:order val="0"/>
          <c:tx>
            <c:strRef>
              <c:f>Greeks!$AL$47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3">
                <a:shade val="39000"/>
              </a:schemeClr>
            </a:solidFill>
            <a:ln/>
            <a:effectLst/>
            <a:sp3d/>
          </c:spPr>
          <c:cat>
            <c:numRef>
              <c:f>Greeks!$AK$48:$AK$64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Greeks!$AL$48:$AL$64</c:f>
              <c:numCache>
                <c:formatCode>General</c:formatCode>
                <c:ptCount val="17"/>
                <c:pt idx="0">
                  <c:v>9.8181668070315396E-58</c:v>
                </c:pt>
                <c:pt idx="1">
                  <c:v>1.8675541334492263E-41</c:v>
                </c:pt>
                <c:pt idx="2">
                  <c:v>7.2920970083605385E-29</c:v>
                </c:pt>
                <c:pt idx="3">
                  <c:v>2.7634460319906593E-19</c:v>
                </c:pt>
                <c:pt idx="4">
                  <c:v>3.3905822708430672E-12</c:v>
                </c:pt>
                <c:pt idx="5">
                  <c:v>3.4793158250122273E-7</c:v>
                </c:pt>
                <c:pt idx="6">
                  <c:v>6.3723381042931552E-4</c:v>
                </c:pt>
                <c:pt idx="7">
                  <c:v>3.8441261874572016E-2</c:v>
                </c:pt>
                <c:pt idx="8">
                  <c:v>0.12601477970020519</c:v>
                </c:pt>
                <c:pt idx="9">
                  <c:v>3.3926069444668285E-2</c:v>
                </c:pt>
                <c:pt idx="10">
                  <c:v>1.0577125055269184E-3</c:v>
                </c:pt>
                <c:pt idx="11">
                  <c:v>5.0939285700327291E-6</c:v>
                </c:pt>
                <c:pt idx="12">
                  <c:v>4.8333065983837001E-9</c:v>
                </c:pt>
                <c:pt idx="13">
                  <c:v>1.1110259985098477E-12</c:v>
                </c:pt>
                <c:pt idx="14">
                  <c:v>7.3829715398268222E-17</c:v>
                </c:pt>
                <c:pt idx="15">
                  <c:v>1.6508431991277696E-21</c:v>
                </c:pt>
                <c:pt idx="16">
                  <c:v>1.4160803501951788E-26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4D-4553-ACA6-15B07008A249}"/>
            </c:ext>
          </c:extLst>
        </c:ser>
        <c:ser>
          <c:idx val="1"/>
          <c:order val="1"/>
          <c:tx>
            <c:strRef>
              <c:f>Greeks!$AM$47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3">
                <a:shade val="48000"/>
              </a:schemeClr>
            </a:solidFill>
            <a:ln/>
            <a:effectLst/>
            <a:sp3d/>
          </c:spPr>
          <c:cat>
            <c:numRef>
              <c:f>Greeks!$AK$48:$AK$64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Greeks!$AM$48:$AM$64</c:f>
              <c:numCache>
                <c:formatCode>General</c:formatCode>
                <c:ptCount val="17"/>
                <c:pt idx="0">
                  <c:v>1.4877614568192042E-29</c:v>
                </c:pt>
                <c:pt idx="1">
                  <c:v>1.8565304082520432E-21</c:v>
                </c:pt>
                <c:pt idx="2">
                  <c:v>3.3439581371571196E-15</c:v>
                </c:pt>
                <c:pt idx="3">
                  <c:v>1.8884525527510622E-10</c:v>
                </c:pt>
                <c:pt idx="4">
                  <c:v>6.1021351588952594E-7</c:v>
                </c:pt>
                <c:pt idx="5">
                  <c:v>1.812092789174275E-4</c:v>
                </c:pt>
                <c:pt idx="6">
                  <c:v>7.2202698909513228E-3</c:v>
                </c:pt>
                <c:pt idx="7">
                  <c:v>5.2414503254015796E-2</c:v>
                </c:pt>
                <c:pt idx="8">
                  <c:v>8.900571747852265E-2</c:v>
                </c:pt>
                <c:pt idx="9">
                  <c:v>4.3449753071981678E-2</c:v>
                </c:pt>
                <c:pt idx="10">
                  <c:v>7.2385257929532482E-3</c:v>
                </c:pt>
                <c:pt idx="11">
                  <c:v>4.751834300064429E-4</c:v>
                </c:pt>
                <c:pt idx="12">
                  <c:v>1.3878827508435486E-5</c:v>
                </c:pt>
                <c:pt idx="13">
                  <c:v>1.9995476488667826E-7</c:v>
                </c:pt>
                <c:pt idx="14">
                  <c:v>1.5520066218442016E-9</c:v>
                </c:pt>
                <c:pt idx="15">
                  <c:v>7.0007225305255289E-12</c:v>
                </c:pt>
                <c:pt idx="16">
                  <c:v>1.9592554647687471E-14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4D-4553-ACA6-15B07008A249}"/>
            </c:ext>
          </c:extLst>
        </c:ser>
        <c:ser>
          <c:idx val="2"/>
          <c:order val="2"/>
          <c:tx>
            <c:strRef>
              <c:f>Greeks!$AN$47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/>
            <a:effectLst/>
            <a:sp3d/>
          </c:spPr>
          <c:cat>
            <c:numRef>
              <c:f>Greeks!$AK$48:$AK$64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Greeks!$AN$48:$AN$64</c:f>
              <c:numCache>
                <c:formatCode>General</c:formatCode>
                <c:ptCount val="17"/>
                <c:pt idx="0">
                  <c:v>3.3715886606541128E-20</c:v>
                </c:pt>
                <c:pt idx="1">
                  <c:v>7.8761142092033319E-15</c:v>
                </c:pt>
                <c:pt idx="2">
                  <c:v>1.0961347486332762E-10</c:v>
                </c:pt>
                <c:pt idx="3">
                  <c:v>1.5233209793360453E-7</c:v>
                </c:pt>
                <c:pt idx="4">
                  <c:v>3.1551352715495865E-5</c:v>
                </c:pt>
                <c:pt idx="5">
                  <c:v>1.3351896003566924E-3</c:v>
                </c:pt>
                <c:pt idx="6">
                  <c:v>1.4851555899595276E-2</c:v>
                </c:pt>
                <c:pt idx="7">
                  <c:v>5.3227540948401576E-2</c:v>
                </c:pt>
                <c:pt idx="8">
                  <c:v>7.2591153003284115E-2</c:v>
                </c:pt>
                <c:pt idx="9">
                  <c:v>4.3212117686085315E-2</c:v>
                </c:pt>
                <c:pt idx="10">
                  <c:v>1.2585716288856257E-2</c:v>
                </c:pt>
                <c:pt idx="11">
                  <c:v>1.9736239926009683E-3</c:v>
                </c:pt>
                <c:pt idx="12">
                  <c:v>1.8065746203269187E-4</c:v>
                </c:pt>
                <c:pt idx="13">
                  <c:v>1.0338747257813624E-5</c:v>
                </c:pt>
                <c:pt idx="14">
                  <c:v>3.9226661156427158E-7</c:v>
                </c:pt>
                <c:pt idx="15">
                  <c:v>1.0377407251949232E-8</c:v>
                </c:pt>
                <c:pt idx="16">
                  <c:v>1.9993666289338617E-10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4D-4553-ACA6-15B07008A249}"/>
            </c:ext>
          </c:extLst>
        </c:ser>
        <c:ser>
          <c:idx val="3"/>
          <c:order val="3"/>
          <c:tx>
            <c:strRef>
              <c:f>Greeks!$AO$47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3">
                <a:shade val="67000"/>
              </a:schemeClr>
            </a:solidFill>
            <a:ln/>
            <a:effectLst/>
            <a:sp3d/>
          </c:spPr>
          <c:cat>
            <c:numRef>
              <c:f>Greeks!$AK$48:$AK$64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Greeks!$AO$48:$AO$64</c:f>
              <c:numCache>
                <c:formatCode>General</c:formatCode>
                <c:ptCount val="17"/>
                <c:pt idx="0">
                  <c:v>1.5374265651823466E-15</c:v>
                </c:pt>
                <c:pt idx="1">
                  <c:v>1.553910960400279E-11</c:v>
                </c:pt>
                <c:pt idx="2">
                  <c:v>1.9009673521623239E-8</c:v>
                </c:pt>
                <c:pt idx="3">
                  <c:v>4.1442242901485525E-6</c:v>
                </c:pt>
                <c:pt idx="4">
                  <c:v>2.1731776002153894E-4</c:v>
                </c:pt>
                <c:pt idx="5">
                  <c:v>3.4716293491663377E-3</c:v>
                </c:pt>
                <c:pt idx="6">
                  <c:v>2.0402828136932078E-2</c:v>
                </c:pt>
                <c:pt idx="7">
                  <c:v>5.137928103783846E-2</c:v>
                </c:pt>
                <c:pt idx="8">
                  <c:v>6.2795098352771278E-2</c:v>
                </c:pt>
                <c:pt idx="9">
                  <c:v>4.1278492158452362E-2</c:v>
                </c:pt>
                <c:pt idx="10">
                  <c:v>1.5896481134192911E-2</c:v>
                </c:pt>
                <c:pt idx="11">
                  <c:v>3.852788206715317E-3</c:v>
                </c:pt>
                <c:pt idx="12">
                  <c:v>6.2433347878451618E-4</c:v>
                </c:pt>
                <c:pt idx="13">
                  <c:v>7.121068360385758E-5</c:v>
                </c:pt>
                <c:pt idx="14">
                  <c:v>5.9735759091088044E-6</c:v>
                </c:pt>
                <c:pt idx="15">
                  <c:v>3.8271106091862544E-7</c:v>
                </c:pt>
                <c:pt idx="16">
                  <c:v>1.9346494359707465E-8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4D-4553-ACA6-15B07008A249}"/>
            </c:ext>
          </c:extLst>
        </c:ser>
        <c:ser>
          <c:idx val="4"/>
          <c:order val="4"/>
          <c:tx>
            <c:strRef>
              <c:f>Greeks!$AP$47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3">
                <a:shade val="76000"/>
              </a:schemeClr>
            </a:solidFill>
            <a:ln/>
            <a:effectLst/>
            <a:sp3d/>
          </c:spPr>
          <c:cat>
            <c:numRef>
              <c:f>Greeks!$AK$48:$AK$64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Greeks!$AP$48:$AP$64</c:f>
              <c:numCache>
                <c:formatCode>General</c:formatCode>
                <c:ptCount val="17"/>
                <c:pt idx="0">
                  <c:v>9.3540877738933165E-13</c:v>
                </c:pt>
                <c:pt idx="1">
                  <c:v>1.4365666725428593E-9</c:v>
                </c:pt>
                <c:pt idx="2">
                  <c:v>4.0857545005606403E-7</c:v>
                </c:pt>
                <c:pt idx="3">
                  <c:v>2.931335523260756E-5</c:v>
                </c:pt>
                <c:pt idx="4">
                  <c:v>6.7417515498728673E-4</c:v>
                </c:pt>
                <c:pt idx="5">
                  <c:v>6.0028678035567969E-3</c:v>
                </c:pt>
                <c:pt idx="6">
                  <c:v>2.4058724750173604E-2</c:v>
                </c:pt>
                <c:pt idx="7">
                  <c:v>4.9024161779533067E-2</c:v>
                </c:pt>
                <c:pt idx="8">
                  <c:v>5.6102492608372509E-2</c:v>
                </c:pt>
                <c:pt idx="9">
                  <c:v>3.914046415242152E-2</c:v>
                </c:pt>
                <c:pt idx="10">
                  <c:v>1.7823213843019742E-2</c:v>
                </c:pt>
                <c:pt idx="11">
                  <c:v>5.6093527215653801E-3</c:v>
                </c:pt>
                <c:pt idx="12">
                  <c:v>1.2805137235044073E-3</c:v>
                </c:pt>
                <c:pt idx="13">
                  <c:v>2.2091371478623375E-4</c:v>
                </c:pt>
                <c:pt idx="14">
                  <c:v>2.9830284442140869E-5</c:v>
                </c:pt>
                <c:pt idx="15">
                  <c:v>3.249162919518064E-6</c:v>
                </c:pt>
                <c:pt idx="16">
                  <c:v>2.9299443269233378E-7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4D-4553-ACA6-15B07008A249}"/>
            </c:ext>
          </c:extLst>
        </c:ser>
        <c:ser>
          <c:idx val="5"/>
          <c:order val="5"/>
          <c:tx>
            <c:strRef>
              <c:f>Greeks!$AQ$47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/>
            <a:effectLst/>
            <a:sp3d/>
          </c:spPr>
          <c:cat>
            <c:numRef>
              <c:f>Greeks!$AK$48:$AK$64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Greeks!$AQ$48:$AQ$64</c:f>
              <c:numCache>
                <c:formatCode>General</c:formatCode>
                <c:ptCount val="17"/>
                <c:pt idx="0">
                  <c:v>6.60221001258594E-11</c:v>
                </c:pt>
                <c:pt idx="1">
                  <c:v>2.8871903156587706E-8</c:v>
                </c:pt>
                <c:pt idx="2">
                  <c:v>3.1047063387497025E-6</c:v>
                </c:pt>
                <c:pt idx="3">
                  <c:v>1.0617694808839026E-4</c:v>
                </c:pt>
                <c:pt idx="4">
                  <c:v>1.4096380488958409E-3</c:v>
                </c:pt>
                <c:pt idx="5">
                  <c:v>8.5007827825346501E-3</c:v>
                </c:pt>
                <c:pt idx="6">
                  <c:v>2.6396354113062126E-2</c:v>
                </c:pt>
                <c:pt idx="7">
                  <c:v>4.670622857015766E-2</c:v>
                </c:pt>
                <c:pt idx="8">
                  <c:v>5.1156750826999199E-2</c:v>
                </c:pt>
                <c:pt idx="9">
                  <c:v>3.7134472308525499E-2</c:v>
                </c:pt>
                <c:pt idx="10">
                  <c:v>1.8908593172743498E-2</c:v>
                </c:pt>
                <c:pt idx="11">
                  <c:v>7.0830615084530833E-3</c:v>
                </c:pt>
                <c:pt idx="12">
                  <c:v>2.0319475824949786E-3</c:v>
                </c:pt>
                <c:pt idx="13">
                  <c:v>4.6191019586218839E-4</c:v>
                </c:pt>
                <c:pt idx="14">
                  <c:v>8.5668780985105112E-5</c:v>
                </c:pt>
                <c:pt idx="15">
                  <c:v>1.3291938562945965E-5</c:v>
                </c:pt>
                <c:pt idx="16">
                  <c:v>1.762979573893959E-6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94D-4553-ACA6-15B07008A249}"/>
            </c:ext>
          </c:extLst>
        </c:ser>
        <c:ser>
          <c:idx val="6"/>
          <c:order val="6"/>
          <c:tx>
            <c:strRef>
              <c:f>Greeks!$AR$47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3">
                <a:shade val="95000"/>
              </a:schemeClr>
            </a:solidFill>
            <a:ln/>
            <a:effectLst/>
            <a:sp3d/>
          </c:spPr>
          <c:cat>
            <c:numRef>
              <c:f>Greeks!$AK$48:$AK$64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Greeks!$AR$48:$AR$64</c:f>
              <c:numCache>
                <c:formatCode>General</c:formatCode>
                <c:ptCount val="17"/>
                <c:pt idx="0">
                  <c:v>1.3641015888556876E-9</c:v>
                </c:pt>
                <c:pt idx="1">
                  <c:v>2.4319945667214467E-7</c:v>
                </c:pt>
                <c:pt idx="2">
                  <c:v>1.3055468334454291E-5</c:v>
                </c:pt>
                <c:pt idx="3">
                  <c:v>2.630006185665992E-4</c:v>
                </c:pt>
                <c:pt idx="4">
                  <c:v>2.3582196949555518E-3</c:v>
                </c:pt>
                <c:pt idx="5">
                  <c:v>1.0765981199439561E-2</c:v>
                </c:pt>
                <c:pt idx="6">
                  <c:v>2.7859621858699939E-2</c:v>
                </c:pt>
                <c:pt idx="7">
                  <c:v>4.4567221413124185E-2</c:v>
                </c:pt>
                <c:pt idx="8">
                  <c:v>4.7308695923014697E-2</c:v>
                </c:pt>
                <c:pt idx="9">
                  <c:v>3.5328302741473985E-2</c:v>
                </c:pt>
                <c:pt idx="10">
                  <c:v>1.9483332622964505E-2</c:v>
                </c:pt>
                <c:pt idx="11">
                  <c:v>8.2651375479295131E-3</c:v>
                </c:pt>
                <c:pt idx="12">
                  <c:v>2.7913416838140051E-3</c:v>
                </c:pt>
                <c:pt idx="13">
                  <c:v>7.7274142964303433E-4</c:v>
                </c:pt>
                <c:pt idx="14">
                  <c:v>1.7978334895153025E-4</c:v>
                </c:pt>
                <c:pt idx="15">
                  <c:v>3.5914215033327016E-5</c:v>
                </c:pt>
                <c:pt idx="16">
                  <c:v>6.275075552985542E-6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94D-4553-ACA6-15B07008A249}"/>
            </c:ext>
          </c:extLst>
        </c:ser>
        <c:ser>
          <c:idx val="7"/>
          <c:order val="7"/>
          <c:tx>
            <c:strRef>
              <c:f>Greeks!$AS$47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3">
                <a:tint val="96000"/>
              </a:schemeClr>
            </a:solidFill>
            <a:ln/>
            <a:effectLst/>
            <a:sp3d/>
          </c:spPr>
          <c:cat>
            <c:numRef>
              <c:f>Greeks!$AK$48:$AK$64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Greeks!$AS$48:$AS$64</c:f>
              <c:numCache>
                <c:formatCode>General</c:formatCode>
                <c:ptCount val="17"/>
                <c:pt idx="0">
                  <c:v>1.309790020055326E-8</c:v>
                </c:pt>
                <c:pt idx="1">
                  <c:v>1.1914200891051552E-6</c:v>
                </c:pt>
                <c:pt idx="2">
                  <c:v>3.7984667450688734E-5</c:v>
                </c:pt>
                <c:pt idx="3">
                  <c:v>5.1450381124671122E-4</c:v>
                </c:pt>
                <c:pt idx="4">
                  <c:v>3.4369932223750686E-3</c:v>
                </c:pt>
                <c:pt idx="5">
                  <c:v>1.2734636942227621E-2</c:v>
                </c:pt>
                <c:pt idx="6">
                  <c:v>2.8743231871235137E-2</c:v>
                </c:pt>
                <c:pt idx="7">
                  <c:v>4.2631739576590874E-2</c:v>
                </c:pt>
                <c:pt idx="8">
                  <c:v>4.4203475996246966E-2</c:v>
                </c:pt>
                <c:pt idx="9">
                  <c:v>3.3718545937390328E-2</c:v>
                </c:pt>
                <c:pt idx="10">
                  <c:v>1.9742547542846392E-2</c:v>
                </c:pt>
                <c:pt idx="11">
                  <c:v>9.19409140342148E-3</c:v>
                </c:pt>
                <c:pt idx="12">
                  <c:v>3.5093388466936391E-3</c:v>
                </c:pt>
                <c:pt idx="13">
                  <c:v>1.1262339391078582E-3</c:v>
                </c:pt>
                <c:pt idx="14">
                  <c:v>3.1058576900406593E-4</c:v>
                </c:pt>
                <c:pt idx="15">
                  <c:v>7.4991466396696723E-5</c:v>
                </c:pt>
                <c:pt idx="16">
                  <c:v>1.6111450652008537E-5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94D-4553-ACA6-15B07008A249}"/>
            </c:ext>
          </c:extLst>
        </c:ser>
        <c:ser>
          <c:idx val="8"/>
          <c:order val="8"/>
          <c:tx>
            <c:strRef>
              <c:f>Greeks!$AT$47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tint val="86000"/>
              </a:schemeClr>
            </a:solidFill>
            <a:ln/>
            <a:effectLst/>
            <a:sp3d/>
          </c:spPr>
          <c:cat>
            <c:numRef>
              <c:f>Greeks!$AK$48:$AK$64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Greeks!$AT$48:$AT$64</c:f>
              <c:numCache>
                <c:formatCode>General</c:formatCode>
                <c:ptCount val="17"/>
                <c:pt idx="0">
                  <c:v>7.5530633187758123E-8</c:v>
                </c:pt>
                <c:pt idx="1">
                  <c:v>4.0707905271917845E-6</c:v>
                </c:pt>
                <c:pt idx="2">
                  <c:v>8.6540937665519226E-5</c:v>
                </c:pt>
                <c:pt idx="3">
                  <c:v>8.6084583659867787E-4</c:v>
                </c:pt>
                <c:pt idx="4">
                  <c:v>4.573896828554253E-3</c:v>
                </c:pt>
                <c:pt idx="5">
                  <c:v>1.4407206646598534E-2</c:v>
                </c:pt>
                <c:pt idx="6">
                  <c:v>2.9238167534758407E-2</c:v>
                </c:pt>
                <c:pt idx="7">
                  <c:v>4.0888684659269085E-2</c:v>
                </c:pt>
                <c:pt idx="8">
                  <c:v>4.1628578335024279E-2</c:v>
                </c:pt>
                <c:pt idx="9">
                  <c:v>3.2283704705699037E-2</c:v>
                </c:pt>
                <c:pt idx="10">
                  <c:v>1.9803191408745979E-2</c:v>
                </c:pt>
                <c:pt idx="11">
                  <c:v>9.9164315716425786E-3</c:v>
                </c:pt>
                <c:pt idx="12">
                  <c:v>4.1630686520652089E-3</c:v>
                </c:pt>
                <c:pt idx="13">
                  <c:v>1.4987745127806533E-3</c:v>
                </c:pt>
                <c:pt idx="14">
                  <c:v>4.7175720539731364E-4</c:v>
                </c:pt>
                <c:pt idx="15">
                  <c:v>1.3199891273585568E-4</c:v>
                </c:pt>
                <c:pt idx="16">
                  <c:v>3.3305383198972744E-5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94D-4553-ACA6-15B07008A249}"/>
            </c:ext>
          </c:extLst>
        </c:ser>
        <c:ser>
          <c:idx val="9"/>
          <c:order val="9"/>
          <c:tx>
            <c:strRef>
              <c:f>Greeks!$AU$47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3">
                <a:tint val="77000"/>
              </a:schemeClr>
            </a:solidFill>
            <a:ln/>
            <a:effectLst/>
            <a:sp3d/>
          </c:spPr>
          <c:cat>
            <c:numRef>
              <c:f>Greeks!$AK$48:$AK$64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Greeks!$AU$48:$AU$64</c:f>
              <c:numCache>
                <c:formatCode>General</c:formatCode>
                <c:ptCount val="17"/>
                <c:pt idx="0">
                  <c:v>3.0503159925846612E-7</c:v>
                </c:pt>
                <c:pt idx="1">
                  <c:v>1.0815693509621757E-5</c:v>
                </c:pt>
                <c:pt idx="2">
                  <c:v>1.6626343859570735E-4</c:v>
                </c:pt>
                <c:pt idx="3">
                  <c:v>1.2919311227899846E-3</c:v>
                </c:pt>
                <c:pt idx="4">
                  <c:v>5.7155372876400009E-3</c:v>
                </c:pt>
                <c:pt idx="5">
                  <c:v>1.5810256172317044E-2</c:v>
                </c:pt>
                <c:pt idx="6">
                  <c:v>2.9469063817634214E-2</c:v>
                </c:pt>
                <c:pt idx="7">
                  <c:v>3.9317306319057527E-2</c:v>
                </c:pt>
                <c:pt idx="8">
                  <c:v>3.9447933090788895E-2</c:v>
                </c:pt>
                <c:pt idx="9">
                  <c:v>3.0999845988993829E-2</c:v>
                </c:pt>
                <c:pt idx="10">
                  <c:v>1.9737190221859435E-2</c:v>
                </c:pt>
                <c:pt idx="11">
                  <c:v>1.0474112849205517E-2</c:v>
                </c:pt>
                <c:pt idx="12">
                  <c:v>4.7451367772989453E-3</c:v>
                </c:pt>
                <c:pt idx="13">
                  <c:v>1.8728672584138741E-3</c:v>
                </c:pt>
                <c:pt idx="14">
                  <c:v>6.5528870342850616E-4</c:v>
                </c:pt>
                <c:pt idx="15">
                  <c:v>2.063011779914907E-4</c:v>
                </c:pt>
                <c:pt idx="16">
                  <c:v>5.9197424706742969E-5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94D-4553-ACA6-15B07008A249}"/>
            </c:ext>
          </c:extLst>
        </c:ser>
        <c:ser>
          <c:idx val="10"/>
          <c:order val="10"/>
          <c:tx>
            <c:strRef>
              <c:f>Greeks!$AV$47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3">
                <a:tint val="68000"/>
              </a:schemeClr>
            </a:solidFill>
            <a:ln/>
            <a:effectLst/>
            <a:sp3d/>
          </c:spPr>
          <c:cat>
            <c:numRef>
              <c:f>Greeks!$AK$48:$AK$64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Greeks!$AV$48:$AV$64</c:f>
              <c:numCache>
                <c:formatCode>General</c:formatCode>
                <c:ptCount val="17"/>
                <c:pt idx="0">
                  <c:v>1.4524281869372614E-4</c:v>
                </c:pt>
                <c:pt idx="1">
                  <c:v>7.8252244975753993E-4</c:v>
                </c:pt>
                <c:pt idx="2">
                  <c:v>2.7966437332461506E-3</c:v>
                </c:pt>
                <c:pt idx="3">
                  <c:v>7.1516197776597063E-3</c:v>
                </c:pt>
                <c:pt idx="4">
                  <c:v>1.3876417664915328E-2</c:v>
                </c:pt>
                <c:pt idx="5">
                  <c:v>2.139474487152776E-2</c:v>
                </c:pt>
                <c:pt idx="6">
                  <c:v>2.7195143108108638E-2</c:v>
                </c:pt>
                <c:pt idx="7">
                  <c:v>2.9359502161316501E-2</c:v>
                </c:pt>
                <c:pt idx="8">
                  <c:v>2.7581853166270598E-2</c:v>
                </c:pt>
                <c:pt idx="9">
                  <c:v>2.3004058320651034E-2</c:v>
                </c:pt>
                <c:pt idx="10">
                  <c:v>1.7318613598151577E-2</c:v>
                </c:pt>
                <c:pt idx="11">
                  <c:v>1.1934318929118741E-2</c:v>
                </c:pt>
                <c:pt idx="12">
                  <c:v>7.6165645282489083E-3</c:v>
                </c:pt>
                <c:pt idx="13">
                  <c:v>4.5470245404394521E-3</c:v>
                </c:pt>
                <c:pt idx="14">
                  <c:v>2.5609344709387897E-3</c:v>
                </c:pt>
                <c:pt idx="15">
                  <c:v>1.3707080362701776E-3</c:v>
                </c:pt>
                <c:pt idx="16">
                  <c:v>7.0162115948937021E-4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94D-4553-ACA6-15B07008A249}"/>
            </c:ext>
          </c:extLst>
        </c:ser>
        <c:ser>
          <c:idx val="11"/>
          <c:order val="11"/>
          <c:tx>
            <c:strRef>
              <c:f>Greeks!$AW$47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/>
            <a:effectLst/>
            <a:sp3d/>
          </c:spPr>
          <c:cat>
            <c:numRef>
              <c:f>Greeks!$AK$48:$AK$64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Greeks!$AW$48:$AW$64</c:f>
              <c:numCache>
                <c:formatCode>General</c:formatCode>
                <c:ptCount val="17"/>
                <c:pt idx="0">
                  <c:v>1.031684190152515E-3</c:v>
                </c:pt>
                <c:pt idx="1">
                  <c:v>2.9660589498737341E-3</c:v>
                </c:pt>
                <c:pt idx="2">
                  <c:v>6.5180762218455023E-3</c:v>
                </c:pt>
                <c:pt idx="3">
                  <c:v>1.150786954283289E-2</c:v>
                </c:pt>
                <c:pt idx="4">
                  <c:v>1.6964964604488354E-2</c:v>
                </c:pt>
                <c:pt idx="5">
                  <c:v>2.1526099405862077E-2</c:v>
                </c:pt>
                <c:pt idx="6">
                  <c:v>2.4084363839664263E-2</c:v>
                </c:pt>
                <c:pt idx="7">
                  <c:v>2.4229204673908024E-2</c:v>
                </c:pt>
                <c:pt idx="8">
                  <c:v>2.2268553102305574E-2</c:v>
                </c:pt>
                <c:pt idx="9">
                  <c:v>1.8944723118837964E-2</c:v>
                </c:pt>
                <c:pt idx="10">
                  <c:v>1.5081963394812058E-2</c:v>
                </c:pt>
                <c:pt idx="11">
                  <c:v>1.1338612960202376E-2</c:v>
                </c:pt>
                <c:pt idx="12">
                  <c:v>8.1120649104783841E-3</c:v>
                </c:pt>
                <c:pt idx="13">
                  <c:v>5.5590796015987437E-3</c:v>
                </c:pt>
                <c:pt idx="14">
                  <c:v>3.6693507025244649E-3</c:v>
                </c:pt>
                <c:pt idx="15">
                  <c:v>2.3440212104340013E-3</c:v>
                </c:pt>
                <c:pt idx="16">
                  <c:v>1.4551400495073866E-3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94D-4553-ACA6-15B07008A249}"/>
            </c:ext>
          </c:extLst>
        </c:ser>
        <c:ser>
          <c:idx val="12"/>
          <c:order val="12"/>
          <c:tx>
            <c:strRef>
              <c:f>Greeks!$AX$47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3">
                <a:tint val="49000"/>
              </a:schemeClr>
            </a:solidFill>
            <a:ln/>
            <a:effectLst/>
            <a:sp3d/>
          </c:spPr>
          <c:cat>
            <c:numRef>
              <c:f>Greeks!$AK$48:$AK$64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Greeks!$AX$48:$AX$64</c:f>
              <c:numCache>
                <c:formatCode>General</c:formatCode>
                <c:ptCount val="17"/>
                <c:pt idx="0">
                  <c:v>2.6204952010288863E-3</c:v>
                </c:pt>
                <c:pt idx="1">
                  <c:v>5.5034091875470386E-3</c:v>
                </c:pt>
                <c:pt idx="2">
                  <c:v>9.4835539632301003E-3</c:v>
                </c:pt>
                <c:pt idx="3">
                  <c:v>1.3912357420204602E-2</c:v>
                </c:pt>
                <c:pt idx="4">
                  <c:v>1.7877273947675215E-2</c:v>
                </c:pt>
                <c:pt idx="5">
                  <c:v>2.0578086869191912E-2</c:v>
                </c:pt>
                <c:pt idx="6">
                  <c:v>2.1600690529166151E-2</c:v>
                </c:pt>
                <c:pt idx="7">
                  <c:v>2.0977075164115507E-2</c:v>
                </c:pt>
                <c:pt idx="8">
                  <c:v>1.9069390773026208E-2</c:v>
                </c:pt>
                <c:pt idx="9">
                  <c:v>1.638478336147095E-2</c:v>
                </c:pt>
                <c:pt idx="10">
                  <c:v>1.3413459498534529E-2</c:v>
                </c:pt>
                <c:pt idx="11">
                  <c:v>1.053298866360371E-2</c:v>
                </c:pt>
                <c:pt idx="12">
                  <c:v>7.978625905498065E-3</c:v>
                </c:pt>
                <c:pt idx="13">
                  <c:v>5.8580251271742132E-3</c:v>
                </c:pt>
                <c:pt idx="14">
                  <c:v>4.1859606357164706E-3</c:v>
                </c:pt>
                <c:pt idx="15">
                  <c:v>2.9213283025393976E-3</c:v>
                </c:pt>
                <c:pt idx="16">
                  <c:v>1.9971762450752021E-3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94D-4553-ACA6-15B07008A249}"/>
            </c:ext>
          </c:extLst>
        </c:ser>
        <c:ser>
          <c:idx val="13"/>
          <c:order val="13"/>
          <c:tx>
            <c:strRef>
              <c:f>Greeks!$AY$47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3">
                <a:tint val="40000"/>
              </a:schemeClr>
            </a:solidFill>
            <a:ln/>
            <a:effectLst/>
            <a:sp3d/>
          </c:spPr>
          <c:cat>
            <c:numRef>
              <c:f>Greeks!$AK$48:$AK$64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Greeks!$AY$48:$AY$64</c:f>
              <c:numCache>
                <c:formatCode>General</c:formatCode>
                <c:ptCount val="17"/>
                <c:pt idx="0">
                  <c:v>4.4499754398238528E-3</c:v>
                </c:pt>
                <c:pt idx="1">
                  <c:v>7.7406121902881767E-3</c:v>
                </c:pt>
                <c:pt idx="2">
                  <c:v>1.1528012005023357E-2</c:v>
                </c:pt>
                <c:pt idx="3">
                  <c:v>1.5132702486471092E-2</c:v>
                </c:pt>
                <c:pt idx="4">
                  <c:v>1.7906989830010486E-2</c:v>
                </c:pt>
                <c:pt idx="5">
                  <c:v>1.9442006249843848E-2</c:v>
                </c:pt>
                <c:pt idx="6">
                  <c:v>1.964171465053164E-2</c:v>
                </c:pt>
                <c:pt idx="7">
                  <c:v>1.8675003380643759E-2</c:v>
                </c:pt>
                <c:pt idx="8">
                  <c:v>1.6865374880276125E-2</c:v>
                </c:pt>
                <c:pt idx="9">
                  <c:v>1.457754724330231E-2</c:v>
                </c:pt>
                <c:pt idx="10">
                  <c:v>1.2135644435772966E-2</c:v>
                </c:pt>
                <c:pt idx="11">
                  <c:v>9.7818031211006871E-3</c:v>
                </c:pt>
                <c:pt idx="12">
                  <c:v>7.6679346587994858E-3</c:v>
                </c:pt>
                <c:pt idx="13">
                  <c:v>5.8677624274978352E-3</c:v>
                </c:pt>
                <c:pt idx="14">
                  <c:v>4.3973494544828021E-3</c:v>
                </c:pt>
                <c:pt idx="15">
                  <c:v>3.2361150487909911E-3</c:v>
                </c:pt>
                <c:pt idx="16">
                  <c:v>2.3442052804045392E-3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94D-4553-ACA6-15B07008A249}"/>
            </c:ext>
          </c:extLst>
        </c:ser>
        <c:bandFmts>
          <c:bandFmt>
            <c:idx val="0"/>
            <c:spPr>
              <a:solidFill>
                <a:schemeClr val="accent3">
                  <a:shade val="45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3">
                  <a:shade val="61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>
                  <a:shade val="76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3">
                  <a:shade val="92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3">
                  <a:tint val="9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3">
                  <a:tint val="77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3">
                  <a:tint val="62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3">
                  <a:tint val="46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tint val="3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3">
                  <a:tint val="1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3">
                  <a:tint val="99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3">
                  <a:tint val="84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3">
                  <a:tint val="68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3">
                  <a:tint val="53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tint val="37000"/>
                </a:schemeClr>
              </a:solidFill>
              <a:ln/>
              <a:effectLst/>
              <a:sp3d/>
            </c:spPr>
          </c:bandFmt>
        </c:bandFmts>
        <c:axId val="517403656"/>
        <c:axId val="517399392"/>
        <c:axId val="527532136"/>
      </c:surface3DChart>
      <c:catAx>
        <c:axId val="517403656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it-IT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 [$]</a:t>
                </a:r>
              </a:p>
            </c:rich>
          </c:tx>
          <c:layout>
            <c:manualLayout>
              <c:xMode val="edge"/>
              <c:yMode val="edge"/>
              <c:x val="0.44755981481481483"/>
              <c:y val="0.9272719696969696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517399392"/>
        <c:crosses val="autoZero"/>
        <c:auto val="1"/>
        <c:lblAlgn val="ctr"/>
        <c:lblOffset val="100"/>
        <c:noMultiLvlLbl val="0"/>
      </c:catAx>
      <c:valAx>
        <c:axId val="5173993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l-GR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Γ</a:t>
                </a:r>
                <a:endParaRPr lang="it-IT" sz="1200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86413629629629629"/>
              <c:y val="0.349914141414141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517403656"/>
        <c:crosses val="autoZero"/>
        <c:crossBetween val="midCat"/>
      </c:valAx>
      <c:serAx>
        <c:axId val="527532136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l-GR" sz="1200" b="0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τ</a:t>
                </a:r>
                <a:r>
                  <a:rPr lang="it-IT" sz="1200" b="0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[years]</a:t>
                </a:r>
                <a:endParaRPr lang="it-IT" sz="1200" b="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86994259259259255"/>
              <c:y val="0.64620909090909096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517399392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l-GR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ν</a:t>
            </a:r>
            <a:r>
              <a:rPr lang="it-IT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 plot for </a:t>
            </a:r>
            <a:r>
              <a:rPr lang="el-GR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σ</a:t>
            </a:r>
            <a:r>
              <a:rPr lang="it-IT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=0,1</a:t>
            </a:r>
            <a:endParaRPr lang="it-IT">
              <a:solidFill>
                <a:sysClr val="windowText" lastClr="000000"/>
              </a:solidFill>
              <a:effectLst/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 w="635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5671296296296296E-2"/>
          <c:y val="0.1346169191919192"/>
          <c:w val="0.78518962962962968"/>
          <c:h val="0.75923459595959597"/>
        </c:manualLayout>
      </c:layout>
      <c:surface3DChart>
        <c:wireframe val="0"/>
        <c:ser>
          <c:idx val="0"/>
          <c:order val="0"/>
          <c:tx>
            <c:strRef>
              <c:f>Greeks!$AL$71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>
                <a:shade val="39000"/>
              </a:schemeClr>
            </a:solidFill>
            <a:ln/>
            <a:effectLst/>
            <a:sp3d/>
          </c:spPr>
          <c:cat>
            <c:numRef>
              <c:f>Greeks!$AK$72:$AK$88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Greeks!$AL$72:$AL$88</c:f>
              <c:numCache>
                <c:formatCode>General</c:formatCode>
                <c:ptCount val="17"/>
                <c:pt idx="0">
                  <c:v>3.5345400505313539E-56</c:v>
                </c:pt>
                <c:pt idx="1">
                  <c:v>7.8904162138229805E-40</c:v>
                </c:pt>
                <c:pt idx="2">
                  <c:v>3.5731275340966639E-27</c:v>
                </c:pt>
                <c:pt idx="3">
                  <c:v>1.554438392994746E-17</c:v>
                </c:pt>
                <c:pt idx="4">
                  <c:v>2.1699726533395633E-10</c:v>
                </c:pt>
                <c:pt idx="5">
                  <c:v>2.5138056835713343E-5</c:v>
                </c:pt>
                <c:pt idx="6">
                  <c:v>5.161593864477456E-2</c:v>
                </c:pt>
                <c:pt idx="7">
                  <c:v>3.4693238841801244</c:v>
                </c:pt>
                <c:pt idx="8">
                  <c:v>12.60147797002052</c:v>
                </c:pt>
                <c:pt idx="9">
                  <c:v>3.7403491562746787</c:v>
                </c:pt>
                <c:pt idx="10">
                  <c:v>0.12798321316875713</c:v>
                </c:pt>
                <c:pt idx="11">
                  <c:v>6.7367205338682843E-4</c:v>
                </c:pt>
                <c:pt idx="12">
                  <c:v>6.9599615016725279E-7</c:v>
                </c:pt>
                <c:pt idx="13">
                  <c:v>1.735978122671637E-10</c:v>
                </c:pt>
                <c:pt idx="14">
                  <c:v>1.2477221902307329E-14</c:v>
                </c:pt>
                <c:pt idx="15">
                  <c:v>3.0086617304103603E-19</c:v>
                </c:pt>
                <c:pt idx="16">
                  <c:v>2.7755174863825501E-24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E0-4F46-BFBF-9F08C4F12E29}"/>
            </c:ext>
          </c:extLst>
        </c:ser>
        <c:ser>
          <c:idx val="1"/>
          <c:order val="1"/>
          <c:tx>
            <c:strRef>
              <c:f>Greeks!$AM$71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1">
                <a:shade val="48000"/>
              </a:schemeClr>
            </a:solidFill>
            <a:ln/>
            <a:effectLst/>
            <a:sp3d/>
          </c:spPr>
          <c:cat>
            <c:numRef>
              <c:f>Greeks!$AK$72:$AK$88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Greeks!$AM$72:$AM$88</c:f>
              <c:numCache>
                <c:formatCode>General</c:formatCode>
                <c:ptCount val="17"/>
                <c:pt idx="0">
                  <c:v>1.0711882489098269E-27</c:v>
                </c:pt>
                <c:pt idx="1">
                  <c:v>1.5687681949729762E-19</c:v>
                </c:pt>
                <c:pt idx="2">
                  <c:v>3.2770789744139771E-13</c:v>
                </c:pt>
                <c:pt idx="3">
                  <c:v>2.1245091218449445E-8</c:v>
                </c:pt>
                <c:pt idx="4">
                  <c:v>7.8107330033859321E-5</c:v>
                </c:pt>
                <c:pt idx="5">
                  <c:v>2.6184740803568276E-2</c:v>
                </c:pt>
                <c:pt idx="6">
                  <c:v>1.1696837223341143</c:v>
                </c:pt>
                <c:pt idx="7">
                  <c:v>9.4608178373498504</c:v>
                </c:pt>
                <c:pt idx="8">
                  <c:v>17.80114349570453</c:v>
                </c:pt>
                <c:pt idx="9">
                  <c:v>9.5806705523719593</c:v>
                </c:pt>
                <c:pt idx="10">
                  <c:v>1.7517232418946858</c:v>
                </c:pt>
                <c:pt idx="11">
                  <c:v>0.12568601723670414</c:v>
                </c:pt>
                <c:pt idx="12">
                  <c:v>3.9971023224294197E-3</c:v>
                </c:pt>
                <c:pt idx="13">
                  <c:v>6.2485864027086961E-5</c:v>
                </c:pt>
                <c:pt idx="14">
                  <c:v>5.2457823818334003E-7</c:v>
                </c:pt>
                <c:pt idx="15">
                  <c:v>2.5517633623765552E-9</c:v>
                </c:pt>
                <c:pt idx="16">
                  <c:v>7.680281421893489E-12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E0-4F46-BFBF-9F08C4F12E29}"/>
            </c:ext>
          </c:extLst>
        </c:ser>
        <c:ser>
          <c:idx val="2"/>
          <c:order val="2"/>
          <c:tx>
            <c:strRef>
              <c:f>Greeks!$AN$71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/>
            <a:effectLst/>
            <a:sp3d/>
          </c:spPr>
          <c:cat>
            <c:numRef>
              <c:f>Greeks!$AK$72:$AK$88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Greeks!$AN$72:$AN$88</c:f>
              <c:numCache>
                <c:formatCode>General</c:formatCode>
                <c:ptCount val="17"/>
                <c:pt idx="0">
                  <c:v>3.6413157535064409E-18</c:v>
                </c:pt>
                <c:pt idx="1">
                  <c:v>9.9829747601652223E-13</c:v>
                </c:pt>
                <c:pt idx="2">
                  <c:v>1.611318080490916E-8</c:v>
                </c:pt>
                <c:pt idx="3">
                  <c:v>2.5706041526295763E-5</c:v>
                </c:pt>
                <c:pt idx="4">
                  <c:v>6.0578597213752049E-3</c:v>
                </c:pt>
                <c:pt idx="5">
                  <c:v>0.28940234587731301</c:v>
                </c:pt>
                <c:pt idx="6">
                  <c:v>3.6089280836016511</c:v>
                </c:pt>
                <c:pt idx="7">
                  <c:v>14.411356711779723</c:v>
                </c:pt>
                <c:pt idx="8">
                  <c:v>21.777345900985232</c:v>
                </c:pt>
                <c:pt idx="9">
                  <c:v>14.292407924672718</c:v>
                </c:pt>
                <c:pt idx="10">
                  <c:v>4.5686150128548206</c:v>
                </c:pt>
                <c:pt idx="11">
                  <c:v>0.78303531906443402</c:v>
                </c:pt>
                <c:pt idx="12">
                  <c:v>7.8044023598122875E-2</c:v>
                </c:pt>
                <c:pt idx="13">
                  <c:v>4.8462877771001354E-3</c:v>
                </c:pt>
                <c:pt idx="14">
                  <c:v>1.9887917206308568E-4</c:v>
                </c:pt>
                <c:pt idx="15">
                  <c:v>5.6738474150032411E-6</c:v>
                </c:pt>
                <c:pt idx="16">
                  <c:v>1.1756275778131106E-7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E0-4F46-BFBF-9F08C4F12E29}"/>
            </c:ext>
          </c:extLst>
        </c:ser>
        <c:ser>
          <c:idx val="3"/>
          <c:order val="3"/>
          <c:tx>
            <c:strRef>
              <c:f>Greeks!$AO$71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1">
                <a:shade val="67000"/>
              </a:schemeClr>
            </a:solidFill>
            <a:ln/>
            <a:effectLst/>
            <a:sp3d/>
          </c:spPr>
          <c:cat>
            <c:numRef>
              <c:f>Greeks!$AK$72:$AK$88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Greeks!$AO$72:$AO$88</c:f>
              <c:numCache>
                <c:formatCode>General</c:formatCode>
                <c:ptCount val="17"/>
                <c:pt idx="0">
                  <c:v>2.213894253862579E-13</c:v>
                </c:pt>
                <c:pt idx="1">
                  <c:v>2.6261095230764713E-9</c:v>
                </c:pt>
                <c:pt idx="2">
                  <c:v>3.7258960102381547E-6</c:v>
                </c:pt>
                <c:pt idx="3">
                  <c:v>9.3245046528342434E-4</c:v>
                </c:pt>
                <c:pt idx="4">
                  <c:v>5.5633346565513969E-2</c:v>
                </c:pt>
                <c:pt idx="5">
                  <c:v>1.0033008819090716</c:v>
                </c:pt>
                <c:pt idx="6">
                  <c:v>6.6105163163659943</c:v>
                </c:pt>
                <c:pt idx="7">
                  <c:v>18.547920454659685</c:v>
                </c:pt>
                <c:pt idx="8">
                  <c:v>25.118039341108513</c:v>
                </c:pt>
                <c:pt idx="9">
                  <c:v>18.20381504187749</c:v>
                </c:pt>
                <c:pt idx="10">
                  <c:v>7.6938968689493707</c:v>
                </c:pt>
                <c:pt idx="11">
                  <c:v>2.0381249613524028</c:v>
                </c:pt>
                <c:pt idx="12">
                  <c:v>0.3596160837798813</c:v>
                </c:pt>
                <c:pt idx="13">
                  <c:v>4.4506677252410989E-2</c:v>
                </c:pt>
                <c:pt idx="14">
                  <c:v>4.0381373145575517E-3</c:v>
                </c:pt>
                <c:pt idx="15">
                  <c:v>2.78996363409678E-4</c:v>
                </c:pt>
                <c:pt idx="16">
                  <c:v>1.5167651578010651E-5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9E0-4F46-BFBF-9F08C4F12E29}"/>
            </c:ext>
          </c:extLst>
        </c:ser>
        <c:ser>
          <c:idx val="4"/>
          <c:order val="4"/>
          <c:tx>
            <c:strRef>
              <c:f>Greeks!$AP$71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/>
            <a:effectLst/>
            <a:sp3d/>
          </c:spPr>
          <c:cat>
            <c:numRef>
              <c:f>Greeks!$AK$72:$AK$88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Greeks!$AP$72:$AP$88</c:f>
              <c:numCache>
                <c:formatCode>General</c:formatCode>
                <c:ptCount val="17"/>
                <c:pt idx="0">
                  <c:v>1.6837357993007972E-10</c:v>
                </c:pt>
                <c:pt idx="1">
                  <c:v>3.0347470957467907E-7</c:v>
                </c:pt>
                <c:pt idx="2">
                  <c:v>1.0010098526373569E-4</c:v>
                </c:pt>
                <c:pt idx="3">
                  <c:v>8.2443811591708764E-3</c:v>
                </c:pt>
                <c:pt idx="4">
                  <c:v>0.21573604959593176</c:v>
                </c:pt>
                <c:pt idx="5">
                  <c:v>2.1685359940348929</c:v>
                </c:pt>
                <c:pt idx="6">
                  <c:v>9.7437835238203121</c:v>
                </c:pt>
                <c:pt idx="7">
                  <c:v>22.122153003014297</c:v>
                </c:pt>
                <c:pt idx="8">
                  <c:v>28.051246304186257</c:v>
                </c:pt>
                <c:pt idx="9">
                  <c:v>21.576180864022366</c:v>
                </c:pt>
                <c:pt idx="10">
                  <c:v>10.783044375026947</c:v>
                </c:pt>
                <c:pt idx="11">
                  <c:v>3.7091844871351078</c:v>
                </c:pt>
                <c:pt idx="12">
                  <c:v>0.92196988092317333</c:v>
                </c:pt>
                <c:pt idx="13">
                  <c:v>0.17258883967674513</c:v>
                </c:pt>
                <c:pt idx="14">
                  <c:v>2.5206590353609039E-2</c:v>
                </c:pt>
                <c:pt idx="15">
                  <c:v>2.9607997104108361E-3</c:v>
                </c:pt>
                <c:pt idx="16">
                  <c:v>2.8713454403848714E-4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9E0-4F46-BFBF-9F08C4F12E29}"/>
            </c:ext>
          </c:extLst>
        </c:ser>
        <c:ser>
          <c:idx val="5"/>
          <c:order val="5"/>
          <c:tx>
            <c:strRef>
              <c:f>Greeks!$AQ$71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/>
            <a:effectLst/>
            <a:sp3d/>
          </c:spPr>
          <c:cat>
            <c:numRef>
              <c:f>Greeks!$AK$72:$AK$88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Greeks!$AQ$72:$AQ$88</c:f>
              <c:numCache>
                <c:formatCode>General</c:formatCode>
                <c:ptCount val="17"/>
                <c:pt idx="0">
                  <c:v>1.4260773627185632E-8</c:v>
                </c:pt>
                <c:pt idx="1">
                  <c:v>7.3190274501949836E-6</c:v>
                </c:pt>
                <c:pt idx="2">
                  <c:v>9.1278366359241259E-4</c:v>
                </c:pt>
                <c:pt idx="3">
                  <c:v>3.5834719979831717E-2</c:v>
                </c:pt>
                <c:pt idx="4">
                  <c:v>0.54130101077600301</c:v>
                </c:pt>
                <c:pt idx="5">
                  <c:v>3.6850893362287711</c:v>
                </c:pt>
                <c:pt idx="6">
                  <c:v>12.828628098948194</c:v>
                </c:pt>
                <c:pt idx="7">
                  <c:v>25.291422770740372</c:v>
                </c:pt>
                <c:pt idx="8">
                  <c:v>30.69405049619952</c:v>
                </c:pt>
                <c:pt idx="9">
                  <c:v>24.564453432089618</c:v>
                </c:pt>
                <c:pt idx="10">
                  <c:v>13.727638643411783</c:v>
                </c:pt>
                <c:pt idx="11">
                  <c:v>5.6204093069575221</c:v>
                </c:pt>
                <c:pt idx="12">
                  <c:v>1.7556027112756616</c:v>
                </c:pt>
                <c:pt idx="13">
                  <c:v>0.43304080862080163</c:v>
                </c:pt>
                <c:pt idx="14">
                  <c:v>8.6868143918896579E-2</c:v>
                </c:pt>
                <c:pt idx="15">
                  <c:v>1.4534734818581415E-2</c:v>
                </c:pt>
                <c:pt idx="16">
                  <c:v>2.0732639788992959E-3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9E0-4F46-BFBF-9F08C4F12E29}"/>
            </c:ext>
          </c:extLst>
        </c:ser>
        <c:ser>
          <c:idx val="6"/>
          <c:order val="6"/>
          <c:tx>
            <c:strRef>
              <c:f>Greeks!$AR$71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shade val="95000"/>
              </a:schemeClr>
            </a:solidFill>
            <a:ln/>
            <a:effectLst/>
            <a:sp3d/>
          </c:spPr>
          <c:cat>
            <c:numRef>
              <c:f>Greeks!$AK$72:$AK$88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Greeks!$AR$72:$AR$88</c:f>
              <c:numCache>
                <c:formatCode>General</c:formatCode>
                <c:ptCount val="17"/>
                <c:pt idx="0">
                  <c:v>3.4375360039163328E-7</c:v>
                </c:pt>
                <c:pt idx="1">
                  <c:v>7.1926239310786806E-5</c:v>
                </c:pt>
                <c:pt idx="2">
                  <c:v>4.4780256387178217E-3</c:v>
                </c:pt>
                <c:pt idx="3">
                  <c:v>0.10355649356059844</c:v>
                </c:pt>
                <c:pt idx="4">
                  <c:v>1.0564824233400871</c:v>
                </c:pt>
                <c:pt idx="5">
                  <c:v>5.4448949916165592</c:v>
                </c:pt>
                <c:pt idx="6">
                  <c:v>15.796405593882865</c:v>
                </c:pt>
                <c:pt idx="7">
                  <c:v>28.155342127741203</c:v>
                </c:pt>
                <c:pt idx="8">
                  <c:v>33.116087146110289</c:v>
                </c:pt>
                <c:pt idx="9">
                  <c:v>27.264617640732549</c:v>
                </c:pt>
                <c:pt idx="10">
                  <c:v>16.502382731650936</c:v>
                </c:pt>
                <c:pt idx="11">
                  <c:v>7.6514510849957471</c:v>
                </c:pt>
                <c:pt idx="12">
                  <c:v>2.8136724172845171</c:v>
                </c:pt>
                <c:pt idx="13">
                  <c:v>0.84518593867206881</c:v>
                </c:pt>
                <c:pt idx="14">
                  <c:v>0.21268370180966031</c:v>
                </c:pt>
                <c:pt idx="15">
                  <c:v>4.5817559828766945E-2</c:v>
                </c:pt>
                <c:pt idx="16">
                  <c:v>8.6094036586961634E-3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9E0-4F46-BFBF-9F08C4F12E29}"/>
            </c:ext>
          </c:extLst>
        </c:ser>
        <c:ser>
          <c:idx val="7"/>
          <c:order val="7"/>
          <c:tx>
            <c:strRef>
              <c:f>Greeks!$AS$71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1">
                <a:tint val="96000"/>
              </a:schemeClr>
            </a:solidFill>
            <a:ln/>
            <a:effectLst/>
            <a:sp3d/>
          </c:spPr>
          <c:cat>
            <c:numRef>
              <c:f>Greeks!$AK$72:$AK$88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Greeks!$AS$72:$AS$88</c:f>
              <c:numCache>
                <c:formatCode>General</c:formatCode>
                <c:ptCount val="17"/>
                <c:pt idx="0">
                  <c:v>3.7721952577593389E-6</c:v>
                </c:pt>
                <c:pt idx="1">
                  <c:v>4.0269999011754233E-4</c:v>
                </c:pt>
                <c:pt idx="2">
                  <c:v>1.4889989640669983E-2</c:v>
                </c:pt>
                <c:pt idx="3">
                  <c:v>0.23152671506102002</c:v>
                </c:pt>
                <c:pt idx="4">
                  <c:v>1.7597405298560351</c:v>
                </c:pt>
                <c:pt idx="5">
                  <c:v>7.3606201526075647</c:v>
                </c:pt>
                <c:pt idx="6">
                  <c:v>18.625614252560368</c:v>
                </c:pt>
                <c:pt idx="7">
                  <c:v>30.78011597429861</c:v>
                </c:pt>
                <c:pt idx="8">
                  <c:v>35.362780796997576</c:v>
                </c:pt>
                <c:pt idx="9">
                  <c:v>29.739757516778266</c:v>
                </c:pt>
                <c:pt idx="10">
                  <c:v>19.110786021475306</c:v>
                </c:pt>
                <c:pt idx="11">
                  <c:v>9.7273487048199261</c:v>
                </c:pt>
                <c:pt idx="12">
                  <c:v>4.0427583513910719</c:v>
                </c:pt>
                <c:pt idx="13">
                  <c:v>1.407792423884823</c:v>
                </c:pt>
                <c:pt idx="14">
                  <c:v>0.41991195969349704</c:v>
                </c:pt>
                <c:pt idx="15">
                  <c:v>0.10933755800638381</c:v>
                </c:pt>
                <c:pt idx="16">
                  <c:v>2.5262754622349386E-2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9E0-4F46-BFBF-9F08C4F12E29}"/>
            </c:ext>
          </c:extLst>
        </c:ser>
        <c:ser>
          <c:idx val="8"/>
          <c:order val="8"/>
          <c:tx>
            <c:strRef>
              <c:f>Greeks!$AT$71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/>
            <a:effectLst/>
            <a:sp3d/>
          </c:spPr>
          <c:cat>
            <c:numRef>
              <c:f>Greeks!$AK$72:$AK$88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Greeks!$AT$72:$AT$88</c:f>
              <c:numCache>
                <c:formatCode>General</c:formatCode>
                <c:ptCount val="17"/>
                <c:pt idx="0">
                  <c:v>2.4471925152833628E-5</c:v>
                </c:pt>
                <c:pt idx="1">
                  <c:v>1.5479180979646758E-3</c:v>
                </c:pt>
                <c:pt idx="2">
                  <c:v>3.8164553510493977E-2</c:v>
                </c:pt>
                <c:pt idx="3">
                  <c:v>0.43580320477808066</c:v>
                </c:pt>
                <c:pt idx="4">
                  <c:v>2.6345645732472498</c:v>
                </c:pt>
                <c:pt idx="5">
                  <c:v>9.3682861219506979</c:v>
                </c:pt>
                <c:pt idx="6">
                  <c:v>21.314624132838873</c:v>
                </c:pt>
                <c:pt idx="7">
                  <c:v>33.21183411449131</c:v>
                </c:pt>
                <c:pt idx="8">
                  <c:v>37.465720501521851</c:v>
                </c:pt>
                <c:pt idx="9">
                  <c:v>32.03350599422987</c:v>
                </c:pt>
                <c:pt idx="10">
                  <c:v>21.56567544412437</c:v>
                </c:pt>
                <c:pt idx="11">
                  <c:v>11.803032678147579</c:v>
                </c:pt>
                <c:pt idx="12">
                  <c:v>5.3953369730765104</c:v>
                </c:pt>
                <c:pt idx="13">
                  <c:v>2.1076516585977934</c:v>
                </c:pt>
                <c:pt idx="14">
                  <c:v>0.71754270940931397</c:v>
                </c:pt>
                <c:pt idx="15">
                  <c:v>0.21651121661498729</c:v>
                </c:pt>
                <c:pt idx="16">
                  <c:v>5.8750695962987917E-2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9E0-4F46-BFBF-9F08C4F12E29}"/>
            </c:ext>
          </c:extLst>
        </c:ser>
        <c:ser>
          <c:idx val="9"/>
          <c:order val="9"/>
          <c:tx>
            <c:strRef>
              <c:f>Greeks!$AU$71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/>
            <a:effectLst/>
            <a:sp3d/>
          </c:spPr>
          <c:cat>
            <c:numRef>
              <c:f>Greeks!$AK$72:$AK$88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Greeks!$AU$72:$AU$88</c:f>
              <c:numCache>
                <c:formatCode>General</c:formatCode>
                <c:ptCount val="17"/>
                <c:pt idx="0">
                  <c:v>1.0981137573304779E-4</c:v>
                </c:pt>
                <c:pt idx="1">
                  <c:v>4.5696305078151925E-3</c:v>
                </c:pt>
                <c:pt idx="2">
                  <c:v>8.1469084911896597E-2</c:v>
                </c:pt>
                <c:pt idx="3">
                  <c:v>0.7267112565693663</c:v>
                </c:pt>
                <c:pt idx="4">
                  <c:v>3.6579438640896007</c:v>
                </c:pt>
                <c:pt idx="5">
                  <c:v>11.422910084499065</c:v>
                </c:pt>
                <c:pt idx="6">
                  <c:v>23.869941692283714</c:v>
                </c:pt>
                <c:pt idx="7">
                  <c:v>35.483868952949422</c:v>
                </c:pt>
                <c:pt idx="8">
                  <c:v>39.447933090788894</c:v>
                </c:pt>
                <c:pt idx="9">
                  <c:v>34.177330202865697</c:v>
                </c:pt>
                <c:pt idx="10">
                  <c:v>23.882000168449917</c:v>
                </c:pt>
                <c:pt idx="11">
                  <c:v>13.852014243074295</c:v>
                </c:pt>
                <c:pt idx="12">
                  <c:v>6.8329969593104805</c:v>
                </c:pt>
                <c:pt idx="13">
                  <c:v>2.9263550912716783</c:v>
                </c:pt>
                <c:pt idx="14">
                  <c:v>1.1074379087941755</c:v>
                </c:pt>
                <c:pt idx="15">
                  <c:v>0.3759838968894918</c:v>
                </c:pt>
                <c:pt idx="16">
                  <c:v>0.11602695242521623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9E0-4F46-BFBF-9F08C4F12E29}"/>
            </c:ext>
          </c:extLst>
        </c:ser>
        <c:ser>
          <c:idx val="10"/>
          <c:order val="10"/>
          <c:tx>
            <c:strRef>
              <c:f>Greeks!$AV$71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1">
                <a:tint val="68000"/>
              </a:schemeClr>
            </a:solidFill>
            <a:ln/>
            <a:effectLst/>
            <a:sp3d/>
          </c:spPr>
          <c:cat>
            <c:numRef>
              <c:f>Greeks!$AK$72:$AK$88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Greeks!$AV$72:$AV$88</c:f>
              <c:numCache>
                <c:formatCode>General</c:formatCode>
                <c:ptCount val="17"/>
                <c:pt idx="0">
                  <c:v>0.10457482945948283</c:v>
                </c:pt>
                <c:pt idx="1">
                  <c:v>0.66123147004512139</c:v>
                </c:pt>
                <c:pt idx="2">
                  <c:v>2.7407108585812279</c:v>
                </c:pt>
                <c:pt idx="3">
                  <c:v>8.0455722498671705</c:v>
                </c:pt>
                <c:pt idx="4">
                  <c:v>17.761814611091623</c:v>
                </c:pt>
                <c:pt idx="5">
                  <c:v>30.915406339357617</c:v>
                </c:pt>
                <c:pt idx="6">
                  <c:v>44.056131835136</c:v>
                </c:pt>
                <c:pt idx="7">
                  <c:v>52.993901401176288</c:v>
                </c:pt>
                <c:pt idx="8">
                  <c:v>55.163706332541196</c:v>
                </c:pt>
                <c:pt idx="9">
                  <c:v>50.723948597035537</c:v>
                </c:pt>
                <c:pt idx="10">
                  <c:v>41.911044907526822</c:v>
                </c:pt>
                <c:pt idx="11">
                  <c:v>31.566273567519072</c:v>
                </c:pt>
                <c:pt idx="12">
                  <c:v>21.93570584135686</c:v>
                </c:pt>
                <c:pt idx="13">
                  <c:v>14.209451688873289</c:v>
                </c:pt>
                <c:pt idx="14">
                  <c:v>8.655958511773111</c:v>
                </c:pt>
                <c:pt idx="15">
                  <c:v>4.9962307922047975</c:v>
                </c:pt>
                <c:pt idx="16">
                  <c:v>2.7503549451983313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9E0-4F46-BFBF-9F08C4F12E29}"/>
            </c:ext>
          </c:extLst>
        </c:ser>
        <c:ser>
          <c:idx val="11"/>
          <c:order val="11"/>
          <c:tx>
            <c:strRef>
              <c:f>Greeks!$AW$71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/>
            <a:effectLst/>
            <a:sp3d/>
          </c:spPr>
          <c:cat>
            <c:numRef>
              <c:f>Greeks!$AK$72:$AK$88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Greeks!$AW$72:$AW$88</c:f>
              <c:numCache>
                <c:formatCode>General</c:formatCode>
                <c:ptCount val="17"/>
                <c:pt idx="0">
                  <c:v>1.1142189253647161</c:v>
                </c:pt>
                <c:pt idx="1">
                  <c:v>3.7594797189649576</c:v>
                </c:pt>
                <c:pt idx="2">
                  <c:v>9.5815720461128873</c:v>
                </c:pt>
                <c:pt idx="3">
                  <c:v>19.419529853530502</c:v>
                </c:pt>
                <c:pt idx="4">
                  <c:v>32.57273204061763</c:v>
                </c:pt>
                <c:pt idx="5">
                  <c:v>46.657820462206054</c:v>
                </c:pt>
                <c:pt idx="6">
                  <c:v>58.525004130384154</c:v>
                </c:pt>
                <c:pt idx="7">
                  <c:v>65.600571654605972</c:v>
                </c:pt>
                <c:pt idx="8">
                  <c:v>66.805659306916709</c:v>
                </c:pt>
                <c:pt idx="9">
                  <c:v>62.659671715556563</c:v>
                </c:pt>
                <c:pt idx="10">
                  <c:v>54.747527123167771</c:v>
                </c:pt>
                <c:pt idx="11">
                  <c:v>44.985946919602924</c:v>
                </c:pt>
                <c:pt idx="12">
                  <c:v>35.044120413266619</c:v>
                </c:pt>
                <c:pt idx="13">
                  <c:v>26.058185632494105</c:v>
                </c:pt>
                <c:pt idx="14">
                  <c:v>18.603608061799033</c:v>
                </c:pt>
                <c:pt idx="15">
                  <c:v>12.815935968047901</c:v>
                </c:pt>
                <c:pt idx="16">
                  <c:v>8.5562234911034327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9E0-4F46-BFBF-9F08C4F12E29}"/>
            </c:ext>
          </c:extLst>
        </c:ser>
        <c:ser>
          <c:idx val="12"/>
          <c:order val="12"/>
          <c:tx>
            <c:strRef>
              <c:f>Greeks!$AX$71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tint val="49000"/>
              </a:schemeClr>
            </a:solidFill>
            <a:ln/>
            <a:effectLst/>
            <a:sp3d/>
          </c:spPr>
          <c:cat>
            <c:numRef>
              <c:f>Greeks!$AK$72:$AK$88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Greeks!$AX$72:$AX$88</c:f>
              <c:numCache>
                <c:formatCode>General</c:formatCode>
                <c:ptCount val="17"/>
                <c:pt idx="0">
                  <c:v>3.7735130894815958</c:v>
                </c:pt>
                <c:pt idx="1">
                  <c:v>9.3007615269544957</c:v>
                </c:pt>
                <c:pt idx="2">
                  <c:v>18.587765767930996</c:v>
                </c:pt>
                <c:pt idx="3">
                  <c:v>31.302804195460354</c:v>
                </c:pt>
                <c:pt idx="4">
                  <c:v>45.765821306048551</c:v>
                </c:pt>
                <c:pt idx="5">
                  <c:v>59.470671051964629</c:v>
                </c:pt>
                <c:pt idx="6">
                  <c:v>69.986237314498325</c:v>
                </c:pt>
                <c:pt idx="7">
                  <c:v>75.727241342456978</c:v>
                </c:pt>
                <c:pt idx="8">
                  <c:v>76.277563092104828</c:v>
                </c:pt>
                <c:pt idx="9">
                  <c:v>72.256894624086897</c:v>
                </c:pt>
                <c:pt idx="10">
                  <c:v>64.921143972907117</c:v>
                </c:pt>
                <c:pt idx="11">
                  <c:v>55.719510030463624</c:v>
                </c:pt>
                <c:pt idx="12">
                  <c:v>45.956885215668855</c:v>
                </c:pt>
                <c:pt idx="13">
                  <c:v>36.612657044838834</c:v>
                </c:pt>
                <c:pt idx="14">
                  <c:v>28.297093897443343</c:v>
                </c:pt>
                <c:pt idx="15">
                  <c:v>21.296483325512209</c:v>
                </c:pt>
                <c:pt idx="16">
                  <c:v>15.657861761389583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9E0-4F46-BFBF-9F08C4F12E29}"/>
            </c:ext>
          </c:extLst>
        </c:ser>
        <c:ser>
          <c:idx val="13"/>
          <c:order val="13"/>
          <c:tx>
            <c:strRef>
              <c:f>Greeks!$AY$71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1">
                <a:tint val="40000"/>
              </a:schemeClr>
            </a:solidFill>
            <a:ln/>
            <a:effectLst/>
            <a:sp3d/>
          </c:spPr>
          <c:cat>
            <c:numRef>
              <c:f>Greeks!$AK$72:$AK$88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Greeks!$AY$72:$AY$88</c:f>
              <c:numCache>
                <c:formatCode>General</c:formatCode>
                <c:ptCount val="17"/>
                <c:pt idx="0">
                  <c:v>8.0099557916829376</c:v>
                </c:pt>
                <c:pt idx="1">
                  <c:v>16.352043251983776</c:v>
                </c:pt>
                <c:pt idx="2">
                  <c:v>28.243629412307229</c:v>
                </c:pt>
                <c:pt idx="3">
                  <c:v>42.560725743199953</c:v>
                </c:pt>
                <c:pt idx="4">
                  <c:v>57.302367456033558</c:v>
                </c:pt>
                <c:pt idx="5">
                  <c:v>70.234247577560907</c:v>
                </c:pt>
                <c:pt idx="6">
                  <c:v>79.548944334653157</c:v>
                </c:pt>
                <c:pt idx="7">
                  <c:v>84.270952755154966</c:v>
                </c:pt>
                <c:pt idx="8">
                  <c:v>84.326874401380636</c:v>
                </c:pt>
                <c:pt idx="9">
                  <c:v>80.358729178703982</c:v>
                </c:pt>
                <c:pt idx="10">
                  <c:v>73.420648836426452</c:v>
                </c:pt>
                <c:pt idx="11">
                  <c:v>64.682173138278316</c:v>
                </c:pt>
                <c:pt idx="12">
                  <c:v>55.209129543356312</c:v>
                </c:pt>
                <c:pt idx="13">
                  <c:v>45.841893964826838</c:v>
                </c:pt>
                <c:pt idx="14">
                  <c:v>37.157602890379685</c:v>
                </c:pt>
                <c:pt idx="15">
                  <c:v>29.489098382107908</c:v>
                </c:pt>
                <c:pt idx="16">
                  <c:v>22.973211747964488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9E0-4F46-BFBF-9F08C4F12E29}"/>
            </c:ext>
          </c:extLst>
        </c:ser>
        <c:bandFmts>
          <c:bandFmt>
            <c:idx val="0"/>
            <c:spPr>
              <a:solidFill>
                <a:schemeClr val="accent1">
                  <a:shade val="42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1">
                  <a:shade val="55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1">
                  <a:shade val="68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1">
                  <a:shade val="80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1">
                  <a:shade val="9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1">
                  <a:tint val="94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tint val="81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1">
                  <a:tint val="69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1">
                  <a:tint val="56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1">
                  <a:tint val="43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1">
                  <a:tint val="3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1">
                  <a:tint val="18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tint val="5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1">
                  <a:tint val="92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1">
                  <a:tint val="80000"/>
                </a:schemeClr>
              </a:solidFill>
              <a:ln/>
              <a:effectLst/>
              <a:sp3d/>
            </c:spPr>
          </c:bandFmt>
        </c:bandFmts>
        <c:axId val="443362968"/>
        <c:axId val="443358704"/>
        <c:axId val="444223064"/>
      </c:surface3DChart>
      <c:catAx>
        <c:axId val="443362968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it-IT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 [$]</a:t>
                </a:r>
              </a:p>
            </c:rich>
          </c:tx>
          <c:layout>
            <c:manualLayout>
              <c:xMode val="edge"/>
              <c:yMode val="edge"/>
              <c:x val="0.4077951851851852"/>
              <c:y val="0.9072631313131311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443358704"/>
        <c:crosses val="autoZero"/>
        <c:auto val="1"/>
        <c:lblAlgn val="ctr"/>
        <c:lblOffset val="100"/>
        <c:noMultiLvlLbl val="0"/>
      </c:catAx>
      <c:valAx>
        <c:axId val="44335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l-GR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ν</a:t>
                </a:r>
                <a:endParaRPr lang="it-IT" sz="1200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443362968"/>
        <c:crosses val="autoZero"/>
        <c:crossBetween val="midCat"/>
      </c:valAx>
      <c:serAx>
        <c:axId val="444223064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l-GR" sz="1200" b="0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τ</a:t>
                </a:r>
                <a:r>
                  <a:rPr lang="it-IT" sz="1200" b="0" i="0" baseline="0">
                    <a:effectLst/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[years]</a:t>
                </a:r>
                <a:endParaRPr lang="it-IT" sz="1200" b="0">
                  <a:effectLst/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443358704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l-GR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ϴ</a:t>
            </a:r>
            <a:r>
              <a:rPr lang="it-IT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 plot for </a:t>
            </a:r>
            <a:r>
              <a:rPr lang="el-GR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σ</a:t>
            </a:r>
            <a:r>
              <a:rPr lang="it-IT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=0,1</a:t>
            </a:r>
            <a:endParaRPr lang="it-IT">
              <a:solidFill>
                <a:sysClr val="windowText" lastClr="000000"/>
              </a:solidFill>
              <a:effectLst/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180"/>
      <c:rAngAx val="0"/>
    </c:view3D>
    <c:floor>
      <c:thickness val="0"/>
      <c:spPr>
        <a:noFill/>
        <a:ln w="635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587037037037037E-2"/>
          <c:y val="0.13052777777777777"/>
          <c:w val="0.90525574074074078"/>
          <c:h val="0.77466287878787876"/>
        </c:manualLayout>
      </c:layout>
      <c:surface3DChart>
        <c:wireframe val="0"/>
        <c:ser>
          <c:idx val="0"/>
          <c:order val="0"/>
          <c:tx>
            <c:strRef>
              <c:f>Greeks!$AL$95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6">
                <a:shade val="39000"/>
              </a:schemeClr>
            </a:solidFill>
            <a:ln/>
            <a:effectLst/>
            <a:sp3d/>
          </c:spPr>
          <c:cat>
            <c:numRef>
              <c:f>Greeks!$AK$96:$AK$112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Greeks!$AL$96:$AL$112</c:f>
              <c:numCache>
                <c:formatCode>General</c:formatCode>
                <c:ptCount val="17"/>
                <c:pt idx="0">
                  <c:v>-1.7741697800085733E-56</c:v>
                </c:pt>
                <c:pt idx="1">
                  <c:v>-3.9634483638267011E-40</c:v>
                </c:pt>
                <c:pt idx="2">
                  <c:v>-1.7965184339350717E-27</c:v>
                </c:pt>
                <c:pt idx="3">
                  <c:v>-7.8256854812150232E-18</c:v>
                </c:pt>
                <c:pt idx="4">
                  <c:v>-1.0945469496445877E-10</c:v>
                </c:pt>
                <c:pt idx="5">
                  <c:v>-1.2718845568899485E-5</c:v>
                </c:pt>
                <c:pt idx="6">
                  <c:v>-2.6264123680401839E-2</c:v>
                </c:pt>
                <c:pt idx="7">
                  <c:v>-1.7887200978989348</c:v>
                </c:pt>
                <c:pt idx="8">
                  <c:v>-6.8065404989997935</c:v>
                </c:pt>
                <c:pt idx="9">
                  <c:v>-2.8096999170641368</c:v>
                </c:pt>
                <c:pt idx="10">
                  <c:v>-1.0617696856203676</c:v>
                </c:pt>
                <c:pt idx="11">
                  <c:v>-0.99933274691414908</c:v>
                </c:pt>
                <c:pt idx="12">
                  <c:v>-0.9990008441294318</c:v>
                </c:pt>
                <c:pt idx="13">
                  <c:v>-0.99900049991941242</c:v>
                </c:pt>
                <c:pt idx="14">
                  <c:v>-0.99900049983338124</c:v>
                </c:pt>
                <c:pt idx="15">
                  <c:v>-0.99900049983337502</c:v>
                </c:pt>
                <c:pt idx="16">
                  <c:v>-0.99900049983337502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79-4445-BF25-4392825DC2DF}"/>
            </c:ext>
          </c:extLst>
        </c:ser>
        <c:ser>
          <c:idx val="1"/>
          <c:order val="1"/>
          <c:tx>
            <c:strRef>
              <c:f>Greeks!$AM$95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6">
                <a:shade val="48000"/>
              </a:schemeClr>
            </a:solidFill>
            <a:ln/>
            <a:effectLst/>
            <a:sp3d/>
          </c:spPr>
          <c:cat>
            <c:numRef>
              <c:f>Greeks!$AK$96:$AK$112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Greeks!$AM$96:$AM$112</c:f>
              <c:numCache>
                <c:formatCode>General</c:formatCode>
                <c:ptCount val="17"/>
                <c:pt idx="0">
                  <c:v>-2.6988234224663945E-28</c:v>
                </c:pt>
                <c:pt idx="1">
                  <c:v>-3.9580388650882416E-20</c:v>
                </c:pt>
                <c:pt idx="2">
                  <c:v>-8.2834418456166403E-14</c:v>
                </c:pt>
                <c:pt idx="3">
                  <c:v>-5.3836941160189032E-9</c:v>
                </c:pt>
                <c:pt idx="4">
                  <c:v>-1.9865645367966133E-5</c:v>
                </c:pt>
                <c:pt idx="5">
                  <c:v>-6.6979952562465309E-3</c:v>
                </c:pt>
                <c:pt idx="6">
                  <c:v>-0.30221040224718798</c:v>
                </c:pt>
                <c:pt idx="7">
                  <c:v>-2.4953248875877767</c:v>
                </c:pt>
                <c:pt idx="8">
                  <c:v>-4.9581889285846295</c:v>
                </c:pt>
                <c:pt idx="9">
                  <c:v>-3.260654127826319</c:v>
                </c:pt>
                <c:pt idx="10">
                  <c:v>-1.4203267482624213</c:v>
                </c:pt>
                <c:pt idx="11">
                  <c:v>-1.028601874488156</c:v>
                </c:pt>
                <c:pt idx="12">
                  <c:v>-0.99898058615091334</c:v>
                </c:pt>
                <c:pt idx="13">
                  <c:v>-0.99801735133849157</c:v>
                </c:pt>
                <c:pt idx="14">
                  <c:v>-0.99800212787312359</c:v>
                </c:pt>
                <c:pt idx="15">
                  <c:v>-0.99800199929697497</c:v>
                </c:pt>
                <c:pt idx="16">
                  <c:v>-0.99800199866923067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79-4445-BF25-4392825DC2DF}"/>
            </c:ext>
          </c:extLst>
        </c:ser>
        <c:ser>
          <c:idx val="2"/>
          <c:order val="2"/>
          <c:tx>
            <c:strRef>
              <c:f>Greeks!$AN$95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6">
                <a:shade val="58000"/>
              </a:schemeClr>
            </a:solidFill>
            <a:ln/>
            <a:effectLst/>
            <a:sp3d/>
          </c:spPr>
          <c:cat>
            <c:numRef>
              <c:f>Greeks!$AK$96:$AK$112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Greeks!$AN$96:$AN$112</c:f>
              <c:numCache>
                <c:formatCode>General</c:formatCode>
                <c:ptCount val="17"/>
                <c:pt idx="0">
                  <c:v>-6.1395528345081252E-19</c:v>
                </c:pt>
                <c:pt idx="1">
                  <c:v>-1.6867226881517839E-13</c:v>
                </c:pt>
                <c:pt idx="2">
                  <c:v>-2.7298872158421394E-9</c:v>
                </c:pt>
                <c:pt idx="3">
                  <c:v>-4.3711823606206652E-6</c:v>
                </c:pt>
                <c:pt idx="4">
                  <c:v>-1.0355445943207977E-3</c:v>
                </c:pt>
                <c:pt idx="5">
                  <c:v>-4.9870979006304723E-2</c:v>
                </c:pt>
                <c:pt idx="6">
                  <c:v>-0.63036640408252664</c:v>
                </c:pt>
                <c:pt idx="7">
                  <c:v>-2.5829981117216718</c:v>
                </c:pt>
                <c:pt idx="8">
                  <c:v>-4.1389512934429913</c:v>
                </c:pt>
                <c:pt idx="9">
                  <c:v>-3.200344164763647</c:v>
                </c:pt>
                <c:pt idx="10">
                  <c:v>-1.7199839414945775</c:v>
                </c:pt>
                <c:pt idx="11">
                  <c:v>-1.1225720045313203</c:v>
                </c:pt>
                <c:pt idx="12">
                  <c:v>-1.0096177769693249</c:v>
                </c:pt>
                <c:pt idx="13">
                  <c:v>-0.99779173974481894</c:v>
                </c:pt>
                <c:pt idx="14">
                  <c:v>-0.99703691729741384</c:v>
                </c:pt>
                <c:pt idx="15">
                  <c:v>-0.99700542289973981</c:v>
                </c:pt>
                <c:pt idx="16">
                  <c:v>-0.99700451475781493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79-4445-BF25-4392825DC2DF}"/>
            </c:ext>
          </c:extLst>
        </c:ser>
        <c:ser>
          <c:idx val="3"/>
          <c:order val="3"/>
          <c:tx>
            <c:strRef>
              <c:f>Greeks!$AO$95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6">
                <a:shade val="67000"/>
              </a:schemeClr>
            </a:solidFill>
            <a:ln/>
            <a:effectLst/>
            <a:sp3d/>
          </c:spPr>
          <c:cat>
            <c:numRef>
              <c:f>Greeks!$AK$96:$AK$112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Greeks!$AO$96:$AO$112</c:f>
              <c:numCache>
                <c:formatCode>General</c:formatCode>
                <c:ptCount val="17"/>
                <c:pt idx="0">
                  <c:v>-2.8102344602630784E-14</c:v>
                </c:pt>
                <c:pt idx="1">
                  <c:v>-3.3426288111375925E-10</c:v>
                </c:pt>
                <c:pt idx="2">
                  <c:v>-4.7593574640757318E-7</c:v>
                </c:pt>
                <c:pt idx="3">
                  <c:v>-1.1967943915051099E-4</c:v>
                </c:pt>
                <c:pt idx="4">
                  <c:v>-7.1888534884936945E-3</c:v>
                </c:pt>
                <c:pt idx="5">
                  <c:v>-0.13096432610230183</c:v>
                </c:pt>
                <c:pt idx="6">
                  <c:v>-0.87721128897693912</c:v>
                </c:pt>
                <c:pt idx="7">
                  <c:v>-2.535493714857286</c:v>
                </c:pt>
                <c:pt idx="8">
                  <c:v>-3.6503221191583921</c:v>
                </c:pt>
                <c:pt idx="9">
                  <c:v>-3.0613579018839219</c:v>
                </c:pt>
                <c:pt idx="10">
                  <c:v>-1.8960425172476052</c:v>
                </c:pt>
                <c:pt idx="11">
                  <c:v>-1.2383251335713354</c:v>
                </c:pt>
                <c:pt idx="12">
                  <c:v>-1.0391851328459318</c:v>
                </c:pt>
                <c:pt idx="13">
                  <c:v>-1.0013865187230782</c:v>
                </c:pt>
                <c:pt idx="14">
                  <c:v>-0.99649823707064344</c:v>
                </c:pt>
                <c:pt idx="15">
                  <c:v>-0.9960419764388363</c:v>
                </c:pt>
                <c:pt idx="16">
                  <c:v>-0.99600984191230002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579-4445-BF25-4392825DC2DF}"/>
            </c:ext>
          </c:extLst>
        </c:ser>
        <c:ser>
          <c:idx val="4"/>
          <c:order val="4"/>
          <c:tx>
            <c:strRef>
              <c:f>Greeks!$AP$95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/>
            <a:effectLst/>
            <a:sp3d/>
          </c:spPr>
          <c:cat>
            <c:numRef>
              <c:f>Greeks!$AK$96:$AK$112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Greeks!$AP$96:$AP$112</c:f>
              <c:numCache>
                <c:formatCode>General</c:formatCode>
                <c:ptCount val="17"/>
                <c:pt idx="0">
                  <c:v>-1.7162520567190197E-11</c:v>
                </c:pt>
                <c:pt idx="1">
                  <c:v>-3.1038137892502407E-8</c:v>
                </c:pt>
                <c:pt idx="2">
                  <c:v>-1.0282598965756016E-5</c:v>
                </c:pt>
                <c:pt idx="3">
                  <c:v>-8.5182568362664841E-4</c:v>
                </c:pt>
                <c:pt idx="4">
                  <c:v>-2.2472217520036059E-2</c:v>
                </c:pt>
                <c:pt idx="5">
                  <c:v>-0.22861221391938027</c:v>
                </c:pt>
                <c:pt idx="6">
                  <c:v>-1.0468955445219887</c:v>
                </c:pt>
                <c:pt idx="7">
                  <c:v>-2.4560770189035495</c:v>
                </c:pt>
                <c:pt idx="8">
                  <c:v>-3.3166623386379701</c:v>
                </c:pt>
                <c:pt idx="9">
                  <c:v>-2.9196803178708119</c:v>
                </c:pt>
                <c:pt idx="10">
                  <c:v>-1.9904374474546116</c:v>
                </c:pt>
                <c:pt idx="11">
                  <c:v>-1.3439253423365596</c:v>
                </c:pt>
                <c:pt idx="12">
                  <c:v>-1.0827543537359843</c:v>
                </c:pt>
                <c:pt idx="13">
                  <c:v>-1.0115661918947982</c:v>
                </c:pt>
                <c:pt idx="14">
                  <c:v>-0.99744365762636944</c:v>
                </c:pt>
                <c:pt idx="15">
                  <c:v>-0.99529923915443264</c:v>
                </c:pt>
                <c:pt idx="16">
                  <c:v>-0.99504037843585647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579-4445-BF25-4392825DC2DF}"/>
            </c:ext>
          </c:extLst>
        </c:ser>
        <c:ser>
          <c:idx val="5"/>
          <c:order val="5"/>
          <c:tx>
            <c:strRef>
              <c:f>Greeks!$AQ$95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>
                <a:shade val="86000"/>
              </a:schemeClr>
            </a:solidFill>
            <a:ln/>
            <a:effectLst/>
            <a:sp3d/>
          </c:spPr>
          <c:cat>
            <c:numRef>
              <c:f>Greeks!$AK$96:$AK$112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Greeks!$AQ$96:$AQ$112</c:f>
              <c:numCache>
                <c:formatCode>General</c:formatCode>
                <c:ptCount val="17"/>
                <c:pt idx="0">
                  <c:v>-1.2158674907426928E-9</c:v>
                </c:pt>
                <c:pt idx="1">
                  <c:v>-6.2651495243948387E-7</c:v>
                </c:pt>
                <c:pt idx="2">
                  <c:v>-7.8536926900978952E-5</c:v>
                </c:pt>
                <c:pt idx="3">
                  <c:v>-3.104333626753534E-3</c:v>
                </c:pt>
                <c:pt idx="4">
                  <c:v>-4.7336296245838107E-2</c:v>
                </c:pt>
                <c:pt idx="5">
                  <c:v>-0.32670165900473036</c:v>
                </c:pt>
                <c:pt idx="6">
                  <c:v>-1.1616675668261593</c:v>
                </c:pt>
                <c:pt idx="7">
                  <c:v>-2.3725143203716335</c:v>
                </c:pt>
                <c:pt idx="8">
                  <c:v>-3.0702012244401988</c:v>
                </c:pt>
                <c:pt idx="9">
                  <c:v>-2.7906897238971711</c:v>
                </c:pt>
                <c:pt idx="10">
                  <c:v>-2.0364105259898482</c:v>
                </c:pt>
                <c:pt idx="11">
                  <c:v>-1.429919838791941</c:v>
                </c:pt>
                <c:pt idx="12">
                  <c:v>-1.1320010239830693</c:v>
                </c:pt>
                <c:pt idx="13">
                  <c:v>-1.0283622213237376</c:v>
                </c:pt>
                <c:pt idx="14">
                  <c:v>-1.0009523562627152</c:v>
                </c:pt>
                <c:pt idx="15">
                  <c:v>-0.995183898248726</c:v>
                </c:pt>
                <c:pt idx="16">
                  <c:v>-0.99418490669914983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579-4445-BF25-4392825DC2DF}"/>
            </c:ext>
          </c:extLst>
        </c:ser>
        <c:ser>
          <c:idx val="6"/>
          <c:order val="6"/>
          <c:tx>
            <c:strRef>
              <c:f>Greeks!$AR$95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6">
                <a:shade val="95000"/>
              </a:schemeClr>
            </a:solidFill>
            <a:ln/>
            <a:effectLst/>
            <a:sp3d/>
          </c:spPr>
          <c:cat>
            <c:numRef>
              <c:f>Greeks!$AK$96:$AK$112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Greeks!$AR$96:$AR$112</c:f>
              <c:numCache>
                <c:formatCode>General</c:formatCode>
                <c:ptCount val="17"/>
                <c:pt idx="0">
                  <c:v>-2.5214310778111725E-8</c:v>
                </c:pt>
                <c:pt idx="1">
                  <c:v>-5.3000972168500081E-6</c:v>
                </c:pt>
                <c:pt idx="2">
                  <c:v>-3.3192191194745917E-4</c:v>
                </c:pt>
                <c:pt idx="3">
                  <c:v>-7.7356243656453586E-3</c:v>
                </c:pt>
                <c:pt idx="4">
                  <c:v>-7.9762193439246287E-2</c:v>
                </c:pt>
                <c:pt idx="5">
                  <c:v>-0.4173956577474226</c:v>
                </c:pt>
                <c:pt idx="6">
                  <c:v>-1.2392488993142485</c:v>
                </c:pt>
                <c:pt idx="7">
                  <c:v>-2.2930341537550012</c:v>
                </c:pt>
                <c:pt idx="8">
                  <c:v>-2.8785147234306048</c:v>
                </c:pt>
                <c:pt idx="9">
                  <c:v>-2.6763627640522563</c:v>
                </c:pt>
                <c:pt idx="10">
                  <c:v>-2.0537948974504801</c:v>
                </c:pt>
                <c:pt idx="11">
                  <c:v>-1.496439554663743</c:v>
                </c:pt>
                <c:pt idx="12">
                  <c:v>-1.1809172145111855</c:v>
                </c:pt>
                <c:pt idx="13">
                  <c:v>-1.0500431643391011</c:v>
                </c:pt>
                <c:pt idx="14">
                  <c:v>-1.0074790359176999</c:v>
                </c:pt>
                <c:pt idx="15">
                  <c:v>-0.99615573102822086</c:v>
                </c:pt>
                <c:pt idx="16">
                  <c:v>-0.99361539216943362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579-4445-BF25-4392825DC2DF}"/>
            </c:ext>
          </c:extLst>
        </c:ser>
        <c:ser>
          <c:idx val="7"/>
          <c:order val="7"/>
          <c:tx>
            <c:strRef>
              <c:f>Greeks!$AS$95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6">
                <a:tint val="96000"/>
              </a:schemeClr>
            </a:solidFill>
            <a:ln/>
            <a:effectLst/>
            <a:sp3d/>
          </c:spPr>
          <c:cat>
            <c:numRef>
              <c:f>Greeks!$AK$96:$AK$112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Greeks!$AS$96:$AS$112</c:f>
              <c:numCache>
                <c:formatCode>General</c:formatCode>
                <c:ptCount val="17"/>
                <c:pt idx="0">
                  <c:v>-2.4299205821700299E-7</c:v>
                </c:pt>
                <c:pt idx="1">
                  <c:v>-2.6075407589769726E-5</c:v>
                </c:pt>
                <c:pt idx="2">
                  <c:v>-9.7053380389574802E-4</c:v>
                </c:pt>
                <c:pt idx="3">
                  <c:v>-1.5222227650521194E-2</c:v>
                </c:pt>
                <c:pt idx="4">
                  <c:v>-0.11706772368302551</c:v>
                </c:pt>
                <c:pt idx="5">
                  <c:v>-0.49790735381044754</c:v>
                </c:pt>
                <c:pt idx="6">
                  <c:v>-1.2916322354704772</c:v>
                </c:pt>
                <c:pt idx="7">
                  <c:v>-2.2198665455734687</c:v>
                </c:pt>
                <c:pt idx="8">
                  <c:v>-2.723882939939362</c:v>
                </c:pt>
                <c:pt idx="9">
                  <c:v>-2.5754538253346819</c:v>
                </c:pt>
                <c:pt idx="10">
                  <c:v>-2.0540889827989868</c:v>
                </c:pt>
                <c:pt idx="11">
                  <c:v>-1.5464279552807736</c:v>
                </c:pt>
                <c:pt idx="12">
                  <c:v>-1.2262333639660803</c:v>
                </c:pt>
                <c:pt idx="13">
                  <c:v>-1.0745132791188534</c:v>
                </c:pt>
                <c:pt idx="14">
                  <c:v>-1.0168374934730982</c:v>
                </c:pt>
                <c:pt idx="15">
                  <c:v>-0.99853125871027337</c:v>
                </c:pt>
                <c:pt idx="16">
                  <c:v>-0.9935409518245053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579-4445-BF25-4392825DC2DF}"/>
            </c:ext>
          </c:extLst>
        </c:ser>
        <c:ser>
          <c:idx val="8"/>
          <c:order val="8"/>
          <c:tx>
            <c:strRef>
              <c:f>Greeks!$AT$95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6">
                <a:tint val="86000"/>
              </a:schemeClr>
            </a:solidFill>
            <a:ln/>
            <a:effectLst/>
            <a:sp3d/>
          </c:spPr>
          <c:cat>
            <c:numRef>
              <c:f>Greeks!$AK$96:$AK$112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Greeks!$AT$96:$AT$112</c:f>
              <c:numCache>
                <c:formatCode>General</c:formatCode>
                <c:ptCount val="17"/>
                <c:pt idx="0">
                  <c:v>-1.4063402814141336E-6</c:v>
                </c:pt>
                <c:pt idx="1">
                  <c:v>-8.9468527081001923E-5</c:v>
                </c:pt>
                <c:pt idx="2">
                  <c:v>-2.2220452297081021E-3</c:v>
                </c:pt>
                <c:pt idx="3">
                  <c:v>-2.5616471772711976E-2</c:v>
                </c:pt>
                <c:pt idx="4">
                  <c:v>-0.15686134166460777</c:v>
                </c:pt>
                <c:pt idx="5">
                  <c:v>-0.56792126563834433</c:v>
                </c:pt>
                <c:pt idx="6">
                  <c:v>-1.3267108853063547</c:v>
                </c:pt>
                <c:pt idx="7">
                  <c:v>-2.1532360436750415</c:v>
                </c:pt>
                <c:pt idx="8">
                  <c:v>-2.5956960223579779</c:v>
                </c:pt>
                <c:pt idx="9">
                  <c:v>-2.4861015674692988</c:v>
                </c:pt>
                <c:pt idx="10">
                  <c:v>-2.0440662109919514</c:v>
                </c:pt>
                <c:pt idx="11">
                  <c:v>-1.5831660900795126</c:v>
                </c:pt>
                <c:pt idx="12">
                  <c:v>-1.2665395567741544</c:v>
                </c:pt>
                <c:pt idx="13">
                  <c:v>-1.0999985828858836</c:v>
                </c:pt>
                <c:pt idx="14">
                  <c:v>-1.0284717400341259</c:v>
                </c:pt>
                <c:pt idx="15">
                  <c:v>-1.0024129120202085</c:v>
                </c:pt>
                <c:pt idx="16">
                  <c:v>-0.99414304615918159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579-4445-BF25-4392825DC2DF}"/>
            </c:ext>
          </c:extLst>
        </c:ser>
        <c:ser>
          <c:idx val="9"/>
          <c:order val="9"/>
          <c:tx>
            <c:strRef>
              <c:f>Greeks!$AU$95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/>
            <a:effectLst/>
            <a:sp3d/>
          </c:spPr>
          <c:cat>
            <c:numRef>
              <c:f>Greeks!$AK$96:$AK$112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Greeks!$AU$96:$AU$112</c:f>
              <c:numCache>
                <c:formatCode>General</c:formatCode>
                <c:ptCount val="17"/>
                <c:pt idx="0">
                  <c:v>-5.7000176182014149E-6</c:v>
                </c:pt>
                <c:pt idx="1">
                  <c:v>-2.3869990869464263E-4</c:v>
                </c:pt>
                <c:pt idx="2">
                  <c:v>-4.2897137822304234E-3</c:v>
                </c:pt>
                <c:pt idx="3">
                  <c:v>-3.8662805619377225E-2</c:v>
                </c:pt>
                <c:pt idx="4">
                  <c:v>-0.1973277731270941</c:v>
                </c:pt>
                <c:pt idx="5">
                  <c:v>-0.62817868988970182</c:v>
                </c:pt>
                <c:pt idx="6">
                  <c:v>-1.3497115868103298</c:v>
                </c:pt>
                <c:pt idx="7">
                  <c:v>-2.0926986337310773</c:v>
                </c:pt>
                <c:pt idx="8">
                  <c:v>-2.4871619828194662</c:v>
                </c:pt>
                <c:pt idx="9">
                  <c:v>-2.4065323741515643</c:v>
                </c:pt>
                <c:pt idx="10">
                  <c:v>-2.0278151582380417</c:v>
                </c:pt>
                <c:pt idx="11">
                  <c:v>-1.6095237247485614</c:v>
                </c:pt>
                <c:pt idx="12">
                  <c:v>-1.3014840422351661</c:v>
                </c:pt>
                <c:pt idx="13">
                  <c:v>-1.1252182962653507</c:v>
                </c:pt>
                <c:pt idx="14">
                  <c:v>-1.0417074404828752</c:v>
                </c:pt>
                <c:pt idx="15">
                  <c:v>-1.0077201455991194</c:v>
                </c:pt>
                <c:pt idx="16">
                  <c:v>-0.9955351225434268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579-4445-BF25-4392825DC2DF}"/>
            </c:ext>
          </c:extLst>
        </c:ser>
        <c:ser>
          <c:idx val="10"/>
          <c:order val="10"/>
          <c:tx>
            <c:strRef>
              <c:f>Greeks!$AV$95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6">
                <a:tint val="68000"/>
              </a:schemeClr>
            </a:solidFill>
            <a:ln/>
            <a:effectLst/>
            <a:sp3d/>
          </c:spPr>
          <c:cat>
            <c:numRef>
              <c:f>Greeks!$AK$96:$AK$112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Greeks!$AV$96:$AV$112</c:f>
              <c:numCache>
                <c:formatCode>General</c:formatCode>
                <c:ptCount val="17"/>
                <c:pt idx="0">
                  <c:v>-2.8094557668136805E-3</c:v>
                </c:pt>
                <c:pt idx="1">
                  <c:v>-1.7964922720805208E-2</c:v>
                </c:pt>
                <c:pt idx="2">
                  <c:v>-7.5492705019145762E-2</c:v>
                </c:pt>
                <c:pt idx="3">
                  <c:v>-0.2254419047382171</c:v>
                </c:pt>
                <c:pt idx="4">
                  <c:v>-0.50862652486936444</c:v>
                </c:pt>
                <c:pt idx="5">
                  <c:v>-0.91051647528102519</c:v>
                </c:pt>
                <c:pt idx="6">
                  <c:v>-1.3465118625798755</c:v>
                </c:pt>
                <c:pt idx="7">
                  <c:v>-1.702369113260277</c:v>
                </c:pt>
                <c:pt idx="8">
                  <c:v>-1.8968198638910643</c:v>
                </c:pt>
                <c:pt idx="9">
                  <c:v>-1.9161949128158462</c:v>
                </c:pt>
                <c:pt idx="10">
                  <c:v>-1.8042542243457567</c:v>
                </c:pt>
                <c:pt idx="11">
                  <c:v>-1.627417685412567</c:v>
                </c:pt>
                <c:pt idx="12">
                  <c:v>-1.4433847901174373</c:v>
                </c:pt>
                <c:pt idx="13">
                  <c:v>-1.2867999738466063</c:v>
                </c:pt>
                <c:pt idx="14">
                  <c:v>-1.1700753766787488</c:v>
                </c:pt>
                <c:pt idx="15">
                  <c:v>-1.0912229131042803</c:v>
                </c:pt>
                <c:pt idx="16">
                  <c:v>-1.0419547864254615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579-4445-BF25-4392825DC2DF}"/>
            </c:ext>
          </c:extLst>
        </c:ser>
        <c:ser>
          <c:idx val="11"/>
          <c:order val="11"/>
          <c:tx>
            <c:strRef>
              <c:f>Greeks!$AW$95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tint val="58000"/>
              </a:schemeClr>
            </a:solidFill>
            <a:ln/>
            <a:effectLst/>
            <a:sp3d/>
          </c:spPr>
          <c:cat>
            <c:numRef>
              <c:f>Greeks!$AK$96:$AK$112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Greeks!$AW$96:$AW$112</c:f>
              <c:numCache>
                <c:formatCode>General</c:formatCode>
                <c:ptCount val="17"/>
                <c:pt idx="0">
                  <c:v>-2.0608802214615154E-2</c:v>
                </c:pt>
                <c:pt idx="1">
                  <c:v>-7.0601881338426944E-2</c:v>
                </c:pt>
                <c:pt idx="2">
                  <c:v>-0.18324275378839761</c:v>
                </c:pt>
                <c:pt idx="3">
                  <c:v>-0.37965888564532541</c:v>
                </c:pt>
                <c:pt idx="4">
                  <c:v>-0.65422441810309706</c:v>
                </c:pt>
                <c:pt idx="5">
                  <c:v>-0.96899254465018148</c:v>
                </c:pt>
                <c:pt idx="6">
                  <c:v>-1.2674633598458167</c:v>
                </c:pt>
                <c:pt idx="7">
                  <c:v>-1.4980318249102007</c:v>
                </c:pt>
                <c:pt idx="8">
                  <c:v>-1.6321368840120556</c:v>
                </c:pt>
                <c:pt idx="9">
                  <c:v>-1.6689769613820471</c:v>
                </c:pt>
                <c:pt idx="10">
                  <c:v>-1.628547857138261</c:v>
                </c:pt>
                <c:pt idx="11">
                  <c:v>-1.539912446389601</c:v>
                </c:pt>
                <c:pt idx="12">
                  <c:v>-1.4309743027329573</c:v>
                </c:pt>
                <c:pt idx="13">
                  <c:v>-1.3226705310119193</c:v>
                </c:pt>
                <c:pt idx="14">
                  <c:v>-1.2274725322142057</c:v>
                </c:pt>
                <c:pt idx="15">
                  <c:v>-1.1506261079389193</c:v>
                </c:pt>
                <c:pt idx="16">
                  <c:v>-1.0924586913900254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579-4445-BF25-4392825DC2DF}"/>
            </c:ext>
          </c:extLst>
        </c:ser>
        <c:ser>
          <c:idx val="12"/>
          <c:order val="12"/>
          <c:tx>
            <c:strRef>
              <c:f>Greeks!$AX$95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6">
                <a:tint val="49000"/>
              </a:schemeClr>
            </a:solidFill>
            <a:ln/>
            <a:effectLst/>
            <a:sp3d/>
          </c:spPr>
          <c:cat>
            <c:numRef>
              <c:f>Greeks!$AK$96:$AK$112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Greeks!$AX$96:$AX$112</c:f>
              <c:numCache>
                <c:formatCode>General</c:formatCode>
                <c:ptCount val="17"/>
                <c:pt idx="0">
                  <c:v>-5.3953367537049227E-2</c:v>
                </c:pt>
                <c:pt idx="1">
                  <c:v>-0.13546760228116439</c:v>
                </c:pt>
                <c:pt idx="2">
                  <c:v>-0.27668874124441334</c:v>
                </c:pt>
                <c:pt idx="3">
                  <c:v>-0.47812250038049475</c:v>
                </c:pt>
                <c:pt idx="4">
                  <c:v>-0.72088166490353678</c:v>
                </c:pt>
                <c:pt idx="5">
                  <c:v>-0.97209769273009516</c:v>
                </c:pt>
                <c:pt idx="6">
                  <c:v>-1.1964633419513619</c:v>
                </c:pt>
                <c:pt idx="7">
                  <c:v>-1.3672555247453544</c:v>
                </c:pt>
                <c:pt idx="8">
                  <c:v>-1.4721304236675186</c:v>
                </c:pt>
                <c:pt idx="9">
                  <c:v>-1.5128881577790412</c:v>
                </c:pt>
                <c:pt idx="10">
                  <c:v>-1.5012444403505649</c:v>
                </c:pt>
                <c:pt idx="11">
                  <c:v>-1.4534034312700119</c:v>
                </c:pt>
                <c:pt idx="12">
                  <c:v>-1.3854991612799537</c:v>
                </c:pt>
                <c:pt idx="13">
                  <c:v>-1.3107948188691811</c:v>
                </c:pt>
                <c:pt idx="14">
                  <c:v>-1.2385995084565897</c:v>
                </c:pt>
                <c:pt idx="15">
                  <c:v>-1.1744006095766661</c:v>
                </c:pt>
                <c:pt idx="16">
                  <c:v>-1.1206318608312233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579-4445-BF25-4392825DC2DF}"/>
            </c:ext>
          </c:extLst>
        </c:ser>
        <c:ser>
          <c:idx val="13"/>
          <c:order val="13"/>
          <c:tx>
            <c:strRef>
              <c:f>Greeks!$AY$95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6">
                <a:tint val="40000"/>
              </a:schemeClr>
            </a:solidFill>
            <a:ln/>
            <a:effectLst/>
            <a:sp3d/>
          </c:spPr>
          <c:cat>
            <c:numRef>
              <c:f>Greeks!$AK$96:$AK$112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Greeks!$AY$96:$AY$112</c:f>
              <c:numCache>
                <c:formatCode>General</c:formatCode>
                <c:ptCount val="17"/>
                <c:pt idx="0">
                  <c:v>-9.4275036889958794E-2</c:v>
                </c:pt>
                <c:pt idx="1">
                  <c:v>-0.19660776291550636</c:v>
                </c:pt>
                <c:pt idx="2">
                  <c:v>-0.34806918998601771</c:v>
                </c:pt>
                <c:pt idx="3">
                  <c:v>-0.53979986371556854</c:v>
                </c:pt>
                <c:pt idx="4">
                  <c:v>-0.7516408875146191</c:v>
                </c:pt>
                <c:pt idx="5">
                  <c:v>-0.95848597221824339</c:v>
                </c:pt>
                <c:pt idx="6">
                  <c:v>-1.1376031377479858</c:v>
                </c:pt>
                <c:pt idx="7">
                  <c:v>-1.2738042093903825</c:v>
                </c:pt>
                <c:pt idx="8">
                  <c:v>-1.3612230144410415</c:v>
                </c:pt>
                <c:pt idx="9">
                  <c:v>-1.4021958595339319</c:v>
                </c:pt>
                <c:pt idx="10">
                  <c:v>-1.404563056818029</c:v>
                </c:pt>
                <c:pt idx="11">
                  <c:v>-1.378687667880929</c:v>
                </c:pt>
                <c:pt idx="12">
                  <c:v>-1.3350300764661558</c:v>
                </c:pt>
                <c:pt idx="13">
                  <c:v>-1.282604702240145</c:v>
                </c:pt>
                <c:pt idx="14">
                  <c:v>-1.228278865103833</c:v>
                </c:pt>
                <c:pt idx="15">
                  <c:v>-1.1766945849622656</c:v>
                </c:pt>
                <c:pt idx="16">
                  <c:v>-1.130558364559004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579-4445-BF25-4392825DC2DF}"/>
            </c:ext>
          </c:extLst>
        </c:ser>
        <c:bandFmts>
          <c:bandFmt>
            <c:idx val="0"/>
            <c:spPr>
              <a:solidFill>
                <a:schemeClr val="accent6">
                  <a:shade val="45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6">
                  <a:shade val="61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6">
                  <a:shade val="76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6">
                  <a:shade val="92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6">
                  <a:tint val="93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>
                  <a:tint val="77000"/>
                </a:schemeClr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6">
                  <a:tint val="62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6">
                  <a:tint val="46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6">
                  <a:tint val="3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6">
                  <a:tint val="15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6">
                  <a:tint val="99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tint val="84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6">
                  <a:tint val="68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6">
                  <a:tint val="53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6">
                  <a:tint val="37000"/>
                </a:schemeClr>
              </a:solidFill>
              <a:ln/>
              <a:effectLst/>
              <a:sp3d/>
            </c:spPr>
          </c:bandFmt>
        </c:bandFmts>
        <c:axId val="436615864"/>
        <c:axId val="436613568"/>
        <c:axId val="513058216"/>
      </c:surface3DChart>
      <c:catAx>
        <c:axId val="436615864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it-IT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 [$]</a:t>
                </a:r>
              </a:p>
            </c:rich>
          </c:tx>
          <c:layout>
            <c:manualLayout>
              <c:xMode val="edge"/>
              <c:yMode val="edge"/>
              <c:x val="0.38415055555555555"/>
              <c:y val="0.1175820707070707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436613568"/>
        <c:crosses val="autoZero"/>
        <c:auto val="1"/>
        <c:lblAlgn val="ctr"/>
        <c:lblOffset val="100"/>
        <c:noMultiLvlLbl val="0"/>
      </c:catAx>
      <c:valAx>
        <c:axId val="4366135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l-GR"/>
                  <a:t>ϴ</a:t>
                </a:r>
                <a:endParaRPr lang="it-IT"/>
              </a:p>
            </c:rich>
          </c:tx>
          <c:layout>
            <c:manualLayout>
              <c:xMode val="edge"/>
              <c:yMode val="edge"/>
              <c:x val="0.8586287037037037"/>
              <c:y val="0.493414898989899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436615864"/>
        <c:crosses val="autoZero"/>
        <c:crossBetween val="midCat"/>
      </c:valAx>
      <c:serAx>
        <c:axId val="513058216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el-GR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τ</a:t>
                </a:r>
                <a:r>
                  <a:rPr lang="it-IT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[years]</a:t>
                </a:r>
                <a:endParaRPr lang="en-US" sz="1200" b="0"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85232722222222224"/>
              <c:y val="0.25325833333333331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436613568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l-GR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ρ</a:t>
            </a:r>
            <a:r>
              <a:rPr lang="it-IT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 plot for </a:t>
            </a:r>
            <a:r>
              <a:rPr lang="el-GR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σ</a:t>
            </a:r>
            <a:r>
              <a:rPr lang="it-IT" sz="1800" b="0" i="0" baseline="0">
                <a:solidFill>
                  <a:sysClr val="windowText" lastClr="000000"/>
                </a:solidFill>
                <a:effectLst/>
                <a:latin typeface="Times New Roman" panose="02020603050405020304" pitchFamily="18" charset="0"/>
                <a:cs typeface="Times New Roman" panose="02020603050405020304" pitchFamily="18" charset="0"/>
              </a:rPr>
              <a:t>=0,1</a:t>
            </a:r>
            <a:endParaRPr lang="it-IT">
              <a:solidFill>
                <a:sysClr val="windowText" lastClr="000000"/>
              </a:solidFill>
              <a:effectLst/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20"/>
      <c:rAngAx val="0"/>
    </c:view3D>
    <c:floor>
      <c:thickness val="0"/>
      <c:spPr>
        <a:noFill/>
        <a:ln w="6350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5295000000000005E-2"/>
          <c:y val="0.13052777777777777"/>
          <c:w val="0.80087648148148149"/>
          <c:h val="0.79669343434343431"/>
        </c:manualLayout>
      </c:layout>
      <c:surface3DChart>
        <c:wireframe val="0"/>
        <c:ser>
          <c:idx val="0"/>
          <c:order val="0"/>
          <c:tx>
            <c:strRef>
              <c:f>Greeks!$AL$119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2">
                <a:shade val="39000"/>
              </a:schemeClr>
            </a:solidFill>
            <a:ln/>
            <a:effectLst/>
            <a:sp3d/>
          </c:spPr>
          <c:cat>
            <c:numRef>
              <c:f>Greeks!$AK$120:$AK$136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Greeks!$AL$120:$AL$136</c:f>
              <c:numCache>
                <c:formatCode>General</c:formatCode>
                <c:ptCount val="17"/>
                <c:pt idx="0">
                  <c:v>6.8997547428964834E-58</c:v>
                </c:pt>
                <c:pt idx="1">
                  <c:v>1.8240256915210587E-41</c:v>
                </c:pt>
                <c:pt idx="2">
                  <c:v>9.9546668867391585E-29</c:v>
                </c:pt>
                <c:pt idx="3">
                  <c:v>5.3493516241294035E-19</c:v>
                </c:pt>
                <c:pt idx="4">
                  <c:v>9.5606229748062578E-12</c:v>
                </c:pt>
                <c:pt idx="5">
                  <c:v>1.4981715104281291E-6</c:v>
                </c:pt>
                <c:pt idx="6">
                  <c:v>4.5615435801455873E-3</c:v>
                </c:pt>
                <c:pt idx="7">
                  <c:v>0.54058155808872665</c:v>
                </c:pt>
                <c:pt idx="8">
                  <c:v>5.058015139895339</c:v>
                </c:pt>
                <c:pt idx="9">
                  <c:v>9.3952533892679782</c:v>
                </c:pt>
                <c:pt idx="10">
                  <c:v>9.9777807903598905</c:v>
                </c:pt>
                <c:pt idx="11">
                  <c:v>9.9899591088745563</c:v>
                </c:pt>
                <c:pt idx="12">
                  <c:v>9.9900049613135682</c:v>
                </c:pt>
                <c:pt idx="13">
                  <c:v>9.9900049983261354</c:v>
                </c:pt>
                <c:pt idx="14">
                  <c:v>9.9900049983337507</c:v>
                </c:pt>
                <c:pt idx="15">
                  <c:v>9.9900049983337507</c:v>
                </c:pt>
                <c:pt idx="16">
                  <c:v>9.9900049983337507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84-4DF7-AEF4-16DF9E109452}"/>
            </c:ext>
          </c:extLst>
        </c:ser>
        <c:ser>
          <c:idx val="1"/>
          <c:order val="1"/>
          <c:tx>
            <c:strRef>
              <c:f>Greeks!$AM$119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>
                <a:shade val="48000"/>
              </a:schemeClr>
            </a:solidFill>
            <a:ln/>
            <a:effectLst/>
            <a:sp3d/>
          </c:spPr>
          <c:cat>
            <c:numRef>
              <c:f>Greeks!$AK$120:$AK$136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Greeks!$AM$120:$AM$136</c:f>
              <c:numCache>
                <c:formatCode>General</c:formatCode>
                <c:ptCount val="17"/>
                <c:pt idx="0">
                  <c:v>4.1705600383653552E-29</c:v>
                </c:pt>
                <c:pt idx="1">
                  <c:v>7.2236755311601065E-21</c:v>
                </c:pt>
                <c:pt idx="2">
                  <c:v>1.8148881916339139E-14</c:v>
                </c:pt>
                <c:pt idx="3">
                  <c:v>1.4484262281308252E-9</c:v>
                </c:pt>
                <c:pt idx="4">
                  <c:v>6.7762571900260917E-6</c:v>
                </c:pt>
                <c:pt idx="5">
                  <c:v>3.0362011070892195E-3</c:v>
                </c:pt>
                <c:pt idx="6">
                  <c:v>0.19578943327318746</c:v>
                </c:pt>
                <c:pt idx="7">
                  <c:v>2.6024085650062818</c:v>
                </c:pt>
                <c:pt idx="8">
                  <c:v>10.158061093169938</c:v>
                </c:pt>
                <c:pt idx="9">
                  <c:v>17.309729794666577</c:v>
                </c:pt>
                <c:pt idx="10">
                  <c:v>19.647918755774995</c:v>
                </c:pt>
                <c:pt idx="11">
                  <c:v>19.943607403579598</c:v>
                </c:pt>
                <c:pt idx="12">
                  <c:v>19.959626211406121</c:v>
                </c:pt>
                <c:pt idx="13">
                  <c:v>19.960034597449695</c:v>
                </c:pt>
                <c:pt idx="14">
                  <c:v>19.960039934571277</c:v>
                </c:pt>
                <c:pt idx="15">
                  <c:v>19.960039973180681</c:v>
                </c:pt>
                <c:pt idx="16">
                  <c:v>19.960039973346213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84-4DF7-AEF4-16DF9E109452}"/>
            </c:ext>
          </c:extLst>
        </c:ser>
        <c:ser>
          <c:idx val="2"/>
          <c:order val="2"/>
          <c:tx>
            <c:strRef>
              <c:f>Greeks!$AN$119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/>
            <a:effectLst/>
            <a:sp3d/>
          </c:spPr>
          <c:cat>
            <c:numRef>
              <c:f>Greeks!$AK$120:$AK$136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Greeks!$AN$120:$AN$136</c:f>
              <c:numCache>
                <c:formatCode>General</c:formatCode>
                <c:ptCount val="17"/>
                <c:pt idx="0">
                  <c:v>2.1207973599216751E-19</c:v>
                </c:pt>
                <c:pt idx="1">
                  <c:v>6.8680684372739574E-14</c:v>
                </c:pt>
                <c:pt idx="2">
                  <c:v>1.3307124507183836E-9</c:v>
                </c:pt>
                <c:pt idx="3">
                  <c:v>2.6052631871411219E-6</c:v>
                </c:pt>
                <c:pt idx="4">
                  <c:v>7.770392227479004E-4</c:v>
                </c:pt>
                <c:pt idx="5">
                  <c:v>4.9117640802576266E-2</c:v>
                </c:pt>
                <c:pt idx="6">
                  <c:v>0.86635170446754073</c:v>
                </c:pt>
                <c:pt idx="7">
                  <c:v>5.4331597927515309</c:v>
                </c:pt>
                <c:pt idx="8">
                  <c:v>15.281809298363573</c:v>
                </c:pt>
                <c:pt idx="9">
                  <c:v>24.548285319545805</c:v>
                </c:pt>
                <c:pt idx="10">
                  <c:v>28.75644318056322</c:v>
                </c:pt>
                <c:pt idx="11">
                  <c:v>29.761983540617443</c:v>
                </c:pt>
                <c:pt idx="12">
                  <c:v>29.898313191089137</c:v>
                </c:pt>
                <c:pt idx="13">
                  <c:v>29.90952075345907</c:v>
                </c:pt>
                <c:pt idx="14">
                  <c:v>29.910113123062104</c:v>
                </c:pt>
                <c:pt idx="15">
                  <c:v>29.910134317755119</c:v>
                </c:pt>
                <c:pt idx="16">
                  <c:v>29.91013485492066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E84-4DF7-AEF4-16DF9E109452}"/>
            </c:ext>
          </c:extLst>
        </c:ser>
        <c:ser>
          <c:idx val="3"/>
          <c:order val="3"/>
          <c:tx>
            <c:strRef>
              <c:f>Greeks!$AO$119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2">
                <a:shade val="67000"/>
              </a:schemeClr>
            </a:solidFill>
            <a:ln/>
            <a:effectLst/>
            <a:sp3d/>
          </c:spPr>
          <c:cat>
            <c:numRef>
              <c:f>Greeks!$AK$120:$AK$136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Greeks!$AO$120:$AO$136</c:f>
              <c:numCache>
                <c:formatCode>General</c:formatCode>
                <c:ptCount val="17"/>
                <c:pt idx="0">
                  <c:v>1.7146657173941719E-14</c:v>
                </c:pt>
                <c:pt idx="1">
                  <c:v>2.3996762916801387E-10</c:v>
                </c:pt>
                <c:pt idx="2">
                  <c:v>4.0794980511215175E-7</c:v>
                </c:pt>
                <c:pt idx="3">
                  <c:v>1.2492523960331802E-4</c:v>
                </c:pt>
                <c:pt idx="4">
                  <c:v>9.3874067121779408E-3</c:v>
                </c:pt>
                <c:pt idx="5">
                  <c:v>0.22206863454671463</c:v>
                </c:pt>
                <c:pt idx="6">
                  <c:v>2.0358699772475957</c:v>
                </c:pt>
                <c:pt idx="7">
                  <c:v>8.6801463209930212</c:v>
                </c:pt>
                <c:pt idx="8">
                  <c:v>20.42268806079311</c:v>
                </c:pt>
                <c:pt idx="9">
                  <c:v>31.435240865969416</c:v>
                </c:pt>
                <c:pt idx="10">
                  <c:v>37.372216345157348</c:v>
                </c:pt>
                <c:pt idx="11">
                  <c:v>39.342380536091397</c:v>
                </c:pt>
                <c:pt idx="12">
                  <c:v>39.769324894937867</c:v>
                </c:pt>
                <c:pt idx="13">
                  <c:v>39.832927362661067</c:v>
                </c:pt>
                <c:pt idx="14">
                  <c:v>39.839738796252945</c:v>
                </c:pt>
                <c:pt idx="15">
                  <c:v>39.840284075736399</c:v>
                </c:pt>
                <c:pt idx="16">
                  <c:v>39.840317838234107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E84-4DF7-AEF4-16DF9E109452}"/>
            </c:ext>
          </c:extLst>
        </c:ser>
        <c:ser>
          <c:idx val="4"/>
          <c:order val="4"/>
          <c:tx>
            <c:strRef>
              <c:f>Greeks!$AP$119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/>
            <a:effectLst/>
            <a:sp3d/>
          </c:spPr>
          <c:cat>
            <c:numRef>
              <c:f>Greeks!$AK$120:$AK$136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Greeks!$AP$120:$AP$136</c:f>
              <c:numCache>
                <c:formatCode>General</c:formatCode>
                <c:ptCount val="17"/>
                <c:pt idx="0">
                  <c:v>1.6258128709111472E-11</c:v>
                </c:pt>
                <c:pt idx="1">
                  <c:v>3.4533346751725237E-8</c:v>
                </c:pt>
                <c:pt idx="2">
                  <c:v>1.3625021969122365E-5</c:v>
                </c:pt>
                <c:pt idx="3">
                  <c:v>1.3693783854780402E-3</c:v>
                </c:pt>
                <c:pt idx="4">
                  <c:v>4.4930628022144245E-2</c:v>
                </c:pt>
                <c:pt idx="5">
                  <c:v>0.58793072579454853</c:v>
                </c:pt>
                <c:pt idx="6">
                  <c:v>3.6258596069978886</c:v>
                </c:pt>
                <c:pt idx="7">
                  <c:v>12.193085930105976</c:v>
                </c:pt>
                <c:pt idx="8">
                  <c:v>25.576885410967218</c:v>
                </c:pt>
                <c:pt idx="9">
                  <c:v>38.103111573428784</c:v>
                </c:pt>
                <c:pt idx="10">
                  <c:v>45.606650497595851</c:v>
                </c:pt>
                <c:pt idx="11">
                  <c:v>48.65034468115244</c:v>
                </c:pt>
                <c:pt idx="12">
                  <c:v>49.527868282183348</c:v>
                </c:pt>
                <c:pt idx="13">
                  <c:v>49.715365396356191</c:v>
                </c:pt>
                <c:pt idx="14">
                  <c:v>49.746149929550427</c:v>
                </c:pt>
                <c:pt idx="15">
                  <c:v>49.750157959169577</c:v>
                </c:pt>
                <c:pt idx="16">
                  <c:v>49.750583249072633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E84-4DF7-AEF4-16DF9E109452}"/>
            </c:ext>
          </c:extLst>
        </c:ser>
        <c:ser>
          <c:idx val="5"/>
          <c:order val="5"/>
          <c:tx>
            <c:strRef>
              <c:f>Greeks!$AQ$119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/>
            <a:effectLst/>
            <a:sp3d/>
          </c:spPr>
          <c:cat>
            <c:numRef>
              <c:f>Greeks!$AK$120:$AK$136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Greeks!$AQ$120:$AQ$136</c:f>
              <c:numCache>
                <c:formatCode>General</c:formatCode>
                <c:ptCount val="17"/>
                <c:pt idx="0">
                  <c:v>1.6481813086334282E-9</c:v>
                </c:pt>
                <c:pt idx="1">
                  <c:v>9.9575989539411422E-7</c:v>
                </c:pt>
                <c:pt idx="2">
                  <c:v>1.4829729609667369E-4</c:v>
                </c:pt>
                <c:pt idx="3">
                  <c:v>7.0864177060534416E-3</c:v>
                </c:pt>
                <c:pt idx="4">
                  <c:v>0.13367272087027193</c:v>
                </c:pt>
                <c:pt idx="5">
                  <c:v>1.1766528591399656</c:v>
                </c:pt>
                <c:pt idx="6">
                  <c:v>5.5569135148285991</c:v>
                </c:pt>
                <c:pt idx="7">
                  <c:v>15.893745368596148</c:v>
                </c:pt>
                <c:pt idx="8">
                  <c:v>30.741820985414318</c:v>
                </c:pt>
                <c:pt idx="9">
                  <c:v>44.619116273382176</c:v>
                </c:pt>
                <c:pt idx="10">
                  <c:v>53.546438342331996</c:v>
                </c:pt>
                <c:pt idx="11">
                  <c:v>57.693143792728854</c:v>
                </c:pt>
                <c:pt idx="12">
                  <c:v>59.142047882605851</c:v>
                </c:pt>
                <c:pt idx="13">
                  <c:v>59.536529236320241</c:v>
                </c:pt>
                <c:pt idx="14">
                  <c:v>59.622800656168437</c:v>
                </c:pt>
                <c:pt idx="15">
                  <c:v>59.638360220830656</c:v>
                </c:pt>
                <c:pt idx="16">
                  <c:v>59.640728082054494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E84-4DF7-AEF4-16DF9E109452}"/>
            </c:ext>
          </c:extLst>
        </c:ser>
        <c:ser>
          <c:idx val="6"/>
          <c:order val="6"/>
          <c:tx>
            <c:strRef>
              <c:f>Greeks!$AR$119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2">
                <a:shade val="95000"/>
              </a:schemeClr>
            </a:solidFill>
            <a:ln/>
            <a:effectLst/>
            <a:sp3d/>
          </c:spPr>
          <c:cat>
            <c:numRef>
              <c:f>Greeks!$AK$120:$AK$136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Greeks!$AR$120:$AR$136</c:f>
              <c:numCache>
                <c:formatCode>General</c:formatCode>
                <c:ptCount val="17"/>
                <c:pt idx="0">
                  <c:v>4.6233752509654261E-8</c:v>
                </c:pt>
                <c:pt idx="1">
                  <c:v>1.1375608625566544E-5</c:v>
                </c:pt>
                <c:pt idx="2">
                  <c:v>8.444056427330352E-4</c:v>
                </c:pt>
                <c:pt idx="3">
                  <c:v>2.371123779218293E-2</c:v>
                </c:pt>
                <c:pt idx="4">
                  <c:v>0.30094142404680357</c:v>
                </c:pt>
                <c:pt idx="5">
                  <c:v>1.9932210842367937</c:v>
                </c:pt>
                <c:pt idx="6">
                  <c:v>7.7653949825830599</c:v>
                </c:pt>
                <c:pt idx="7">
                  <c:v>19.735680124144061</c:v>
                </c:pt>
                <c:pt idx="8">
                  <c:v>35.915594909590865</c:v>
                </c:pt>
                <c:pt idx="9">
                  <c:v>51.022305279995173</c:v>
                </c:pt>
                <c:pt idx="10">
                  <c:v>61.253729163278905</c:v>
                </c:pt>
                <c:pt idx="11">
                  <c:v>66.49351340148327</c:v>
                </c:pt>
                <c:pt idx="12">
                  <c:v>68.595842929360387</c:v>
                </c:pt>
                <c:pt idx="13">
                  <c:v>69.277091810376731</c:v>
                </c:pt>
                <c:pt idx="14">
                  <c:v>69.460114005190704</c:v>
                </c:pt>
                <c:pt idx="15">
                  <c:v>69.501813372831634</c:v>
                </c:pt>
                <c:pt idx="16">
                  <c:v>69.510030433566882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E84-4DF7-AEF4-16DF9E109452}"/>
            </c:ext>
          </c:extLst>
        </c:ser>
        <c:ser>
          <c:idx val="7"/>
          <c:order val="7"/>
          <c:tx>
            <c:strRef>
              <c:f>Greeks!$AS$119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tint val="96000"/>
              </a:schemeClr>
            </a:solidFill>
            <a:ln/>
            <a:effectLst/>
            <a:sp3d/>
          </c:spPr>
          <c:cat>
            <c:numRef>
              <c:f>Greeks!$AK$120:$AK$136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Greeks!$AS$120:$AS$136</c:f>
              <c:numCache>
                <c:formatCode>General</c:formatCode>
                <c:ptCount val="17"/>
                <c:pt idx="0">
                  <c:v>5.7838836856354668E-7</c:v>
                </c:pt>
                <c:pt idx="1">
                  <c:v>7.2532656593866099E-5</c:v>
                </c:pt>
                <c:pt idx="2">
                  <c:v>3.1927561083099211E-3</c:v>
                </c:pt>
                <c:pt idx="3">
                  <c:v>6.0144636736595494E-2</c:v>
                </c:pt>
                <c:pt idx="4">
                  <c:v>0.56671524536186413</c:v>
                </c:pt>
                <c:pt idx="5">
                  <c:v>3.0294875417979759</c:v>
                </c:pt>
                <c:pt idx="6">
                  <c:v>10.202507574836329</c:v>
                </c:pt>
                <c:pt idx="7">
                  <c:v>23.688743774384431</c:v>
                </c:pt>
                <c:pt idx="8">
                  <c:v>41.096731210161039</c:v>
                </c:pt>
                <c:pt idx="9">
                  <c:v>57.337518442883201</c:v>
                </c:pt>
                <c:pt idx="10">
                  <c:v>68.773188516542405</c:v>
                </c:pt>
                <c:pt idx="11">
                  <c:v>75.077492898362252</c:v>
                </c:pt>
                <c:pt idx="12">
                  <c:v>77.88487736033106</c:v>
                </c:pt>
                <c:pt idx="13">
                  <c:v>78.922100210084153</c:v>
                </c:pt>
                <c:pt idx="14">
                  <c:v>79.247439679380349</c:v>
                </c:pt>
                <c:pt idx="15">
                  <c:v>79.33581290678994</c:v>
                </c:pt>
                <c:pt idx="16">
                  <c:v>79.35696237284867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E84-4DF7-AEF4-16DF9E109452}"/>
            </c:ext>
          </c:extLst>
        </c:ser>
        <c:ser>
          <c:idx val="8"/>
          <c:order val="8"/>
          <c:tx>
            <c:strRef>
              <c:f>Greeks!$AT$119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/>
            <a:effectLst/>
            <a:sp3d/>
          </c:spPr>
          <c:cat>
            <c:numRef>
              <c:f>Greeks!$AK$120:$AK$136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Greeks!$AT$120:$AT$136</c:f>
              <c:numCache>
                <c:formatCode>General</c:formatCode>
                <c:ptCount val="17"/>
                <c:pt idx="0">
                  <c:v>4.2109995631038558E-6</c:v>
                </c:pt>
                <c:pt idx="1">
                  <c:v>3.1257694746679188E-4</c:v>
                </c:pt>
                <c:pt idx="2">
                  <c:v>9.161303121259309E-3</c:v>
                </c:pt>
                <c:pt idx="3">
                  <c:v>0.12646643565367435</c:v>
                </c:pt>
                <c:pt idx="4">
                  <c:v>0.94469788357844986</c:v>
                </c:pt>
                <c:pt idx="5">
                  <c:v>4.2714832976975066</c:v>
                </c:pt>
                <c:pt idx="6">
                  <c:v>12.830859013377559</c:v>
                </c:pt>
                <c:pt idx="7">
                  <c:v>27.732073358297111</c:v>
                </c:pt>
                <c:pt idx="8">
                  <c:v>46.284039504608735</c:v>
                </c:pt>
                <c:pt idx="9">
                  <c:v>63.581611101087546</c:v>
                </c:pt>
                <c:pt idx="10">
                  <c:v>76.137581768653774</c:v>
                </c:pt>
                <c:pt idx="11">
                  <c:v>83.469784716418218</c:v>
                </c:pt>
                <c:pt idx="12">
                  <c:v>87.011875244291346</c:v>
                </c:pt>
                <c:pt idx="13">
                  <c:v>88.461614166740546</c:v>
                </c:pt>
                <c:pt idx="14">
                  <c:v>88.974743056024749</c:v>
                </c:pt>
                <c:pt idx="15">
                  <c:v>89.134605998743822</c:v>
                </c:pt>
                <c:pt idx="16">
                  <c:v>89.179120674511395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E84-4DF7-AEF4-16DF9E109452}"/>
            </c:ext>
          </c:extLst>
        </c:ser>
        <c:ser>
          <c:idx val="9"/>
          <c:order val="9"/>
          <c:tx>
            <c:strRef>
              <c:f>Greeks!$AU$119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/>
            <a:effectLst/>
            <a:sp3d/>
          </c:spPr>
          <c:cat>
            <c:numRef>
              <c:f>Greeks!$AK$120:$AK$136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Greeks!$AU$120:$AU$136</c:f>
              <c:numCache>
                <c:formatCode>General</c:formatCode>
                <c:ptCount val="17"/>
                <c:pt idx="0">
                  <c:v>2.0944883154902441E-5</c:v>
                </c:pt>
                <c:pt idx="1">
                  <c:v>1.0218383303882987E-3</c:v>
                </c:pt>
                <c:pt idx="2">
                  <c:v>2.1625953663559377E-2</c:v>
                </c:pt>
                <c:pt idx="3">
                  <c:v>0.23272427909089094</c:v>
                </c:pt>
                <c:pt idx="4">
                  <c:v>1.4430579922614029</c:v>
                </c:pt>
                <c:pt idx="5">
                  <c:v>5.7033185664748594</c:v>
                </c:pt>
                <c:pt idx="6">
                  <c:v>15.62145021961441</c:v>
                </c:pt>
                <c:pt idx="7">
                  <c:v>31.850518608360616</c:v>
                </c:pt>
                <c:pt idx="8">
                  <c:v>51.476532828002163</c:v>
                </c:pt>
                <c:pt idx="9">
                  <c:v>69.766586400827933</c:v>
                </c:pt>
                <c:pt idx="10">
                  <c:v>83.371514981554554</c:v>
                </c:pt>
                <c:pt idx="11">
                  <c:v>91.692301259484637</c:v>
                </c:pt>
                <c:pt idx="12">
                  <c:v>95.983419426964204</c:v>
                </c:pt>
                <c:pt idx="13">
                  <c:v>97.890054170176683</c:v>
                </c:pt>
                <c:pt idx="14">
                  <c:v>98.633554504316649</c:v>
                </c:pt>
                <c:pt idx="15">
                  <c:v>98.892095075464468</c:v>
                </c:pt>
                <c:pt idx="16">
                  <c:v>98.973377492216585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E84-4DF7-AEF4-16DF9E109452}"/>
            </c:ext>
          </c:extLst>
        </c:ser>
        <c:ser>
          <c:idx val="10"/>
          <c:order val="10"/>
          <c:tx>
            <c:strRef>
              <c:f>Greeks!$AV$119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>
                <a:tint val="68000"/>
              </a:schemeClr>
            </a:solidFill>
            <a:ln/>
            <a:effectLst/>
            <a:sp3d/>
          </c:spPr>
          <c:cat>
            <c:numRef>
              <c:f>Greeks!$AK$120:$AK$136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Greeks!$AV$120:$AV$136</c:f>
              <c:numCache>
                <c:formatCode>General</c:formatCode>
                <c:ptCount val="17"/>
                <c:pt idx="0">
                  <c:v>3.9017006065321998E-2</c:v>
                </c:pt>
                <c:pt idx="1">
                  <c:v>0.28682719393543493</c:v>
                </c:pt>
                <c:pt idx="2">
                  <c:v>1.3949867109230143</c:v>
                </c:pt>
                <c:pt idx="3">
                  <c:v>4.8605196983075762</c:v>
                </c:pt>
                <c:pt idx="4">
                  <c:v>12.916231918414782</c:v>
                </c:pt>
                <c:pt idx="5">
                  <c:v>27.526263359416991</c:v>
                </c:pt>
                <c:pt idx="6">
                  <c:v>49.021713340295129</c:v>
                </c:pt>
                <c:pt idx="7">
                  <c:v>75.504315646173964</c:v>
                </c:pt>
                <c:pt idx="8">
                  <c:v>103.54544111550688</c:v>
                </c:pt>
                <c:pt idx="9">
                  <c:v>129.61923957799161</c:v>
                </c:pt>
                <c:pt idx="10">
                  <c:v>151.29562033151717</c:v>
                </c:pt>
                <c:pt idx="11">
                  <c:v>167.65216924491807</c:v>
                </c:pt>
                <c:pt idx="12">
                  <c:v>178.99842881670318</c:v>
                </c:pt>
                <c:pt idx="13">
                  <c:v>186.31273632495481</c:v>
                </c:pt>
                <c:pt idx="14">
                  <c:v>190.73528277688422</c:v>
                </c:pt>
                <c:pt idx="15">
                  <c:v>193.26342865983207</c:v>
                </c:pt>
                <c:pt idx="16">
                  <c:v>194.63918255910062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E84-4DF7-AEF4-16DF9E109452}"/>
            </c:ext>
          </c:extLst>
        </c:ser>
        <c:ser>
          <c:idx val="11"/>
          <c:order val="11"/>
          <c:tx>
            <c:strRef>
              <c:f>Greeks!$AW$119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/>
            <a:effectLst/>
            <a:sp3d/>
          </c:spPr>
          <c:cat>
            <c:numRef>
              <c:f>Greeks!$AK$120:$AK$136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Greeks!$AW$120:$AW$136</c:f>
              <c:numCache>
                <c:formatCode>General</c:formatCode>
                <c:ptCount val="17"/>
                <c:pt idx="0">
                  <c:v>0.61154603756096471</c:v>
                </c:pt>
                <c:pt idx="1">
                  <c:v>2.3831658067032904</c:v>
                </c:pt>
                <c:pt idx="2">
                  <c:v>7.064965905954832</c:v>
                </c:pt>
                <c:pt idx="3">
                  <c:v>16.800016425945095</c:v>
                </c:pt>
                <c:pt idx="4">
                  <c:v>33.403665227840925</c:v>
                </c:pt>
                <c:pt idx="5">
                  <c:v>57.408661084024153</c:v>
                </c:pt>
                <c:pt idx="6">
                  <c:v>87.613987301824238</c:v>
                </c:pt>
                <c:pt idx="7">
                  <c:v>121.40668920003027</c:v>
                </c:pt>
                <c:pt idx="8">
                  <c:v>155.6127686690331</c:v>
                </c:pt>
                <c:pt idx="9">
                  <c:v>187.3947298368312</c:v>
                </c:pt>
                <c:pt idx="10">
                  <c:v>214.82672152563936</c:v>
                </c:pt>
                <c:pt idx="11">
                  <c:v>237.04399931886559</c:v>
                </c:pt>
                <c:pt idx="12">
                  <c:v>254.07168875355401</c:v>
                </c:pt>
                <c:pt idx="13">
                  <c:v>266.51023114110518</c:v>
                </c:pt>
                <c:pt idx="14">
                  <c:v>275.2237193552665</c:v>
                </c:pt>
                <c:pt idx="15">
                  <c:v>281.10815254143625</c:v>
                </c:pt>
                <c:pt idx="16">
                  <c:v>284.95648996149043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E84-4DF7-AEF4-16DF9E109452}"/>
            </c:ext>
          </c:extLst>
        </c:ser>
        <c:ser>
          <c:idx val="12"/>
          <c:order val="12"/>
          <c:tx>
            <c:strRef>
              <c:f>Greeks!$AX$119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2">
                <a:tint val="49000"/>
              </a:schemeClr>
            </a:solidFill>
            <a:ln/>
            <a:effectLst/>
            <a:sp3d/>
          </c:spPr>
          <c:cat>
            <c:numRef>
              <c:f>Greeks!$AK$120:$AK$136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Greeks!$AX$120:$AX$136</c:f>
              <c:numCache>
                <c:formatCode>General</c:formatCode>
                <c:ptCount val="17"/>
                <c:pt idx="0">
                  <c:v>2.7137815674117114</c:v>
                </c:pt>
                <c:pt idx="1">
                  <c:v>7.6832332776932759</c:v>
                </c:pt>
                <c:pt idx="2">
                  <c:v>17.736667658110342</c:v>
                </c:pt>
                <c:pt idx="3">
                  <c:v>34.734979174896125</c:v>
                </c:pt>
                <c:pt idx="4">
                  <c:v>59.523559431171975</c:v>
                </c:pt>
                <c:pt idx="5">
                  <c:v>91.485721832214878</c:v>
                </c:pt>
                <c:pt idx="6">
                  <c:v>128.6541502080531</c:v>
                </c:pt>
                <c:pt idx="7">
                  <c:v>168.26600318585682</c:v>
                </c:pt>
                <c:pt idx="8">
                  <c:v>207.46435400648329</c:v>
                </c:pt>
                <c:pt idx="9">
                  <c:v>243.87078999118199</c:v>
                </c:pt>
                <c:pt idx="10">
                  <c:v>275.89205627569038</c:v>
                </c:pt>
                <c:pt idx="11">
                  <c:v>302.76382235568667</c:v>
                </c:pt>
                <c:pt idx="12">
                  <c:v>324.41523843363723</c:v>
                </c:pt>
                <c:pt idx="13">
                  <c:v>341.25464232347827</c:v>
                </c:pt>
                <c:pt idx="14">
                  <c:v>353.95433389541915</c:v>
                </c:pt>
                <c:pt idx="15">
                  <c:v>363.2778272031054</c:v>
                </c:pt>
                <c:pt idx="16">
                  <c:v>369.9634355255414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E84-4DF7-AEF4-16DF9E109452}"/>
            </c:ext>
          </c:extLst>
        </c:ser>
        <c:ser>
          <c:idx val="13"/>
          <c:order val="13"/>
          <c:tx>
            <c:strRef>
              <c:f>Greeks!$AY$119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tint val="40000"/>
              </a:schemeClr>
            </a:solidFill>
            <a:ln/>
            <a:effectLst/>
            <a:sp3d/>
          </c:spPr>
          <c:cat>
            <c:numRef>
              <c:f>Greeks!$AK$120:$AK$136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Greeks!$AY$120:$AY$136</c:f>
              <c:numCache>
                <c:formatCode>General</c:formatCode>
                <c:ptCount val="17"/>
                <c:pt idx="0">
                  <c:v>7.087739486564721</c:v>
                </c:pt>
                <c:pt idx="1">
                  <c:v>16.543665197834301</c:v>
                </c:pt>
                <c:pt idx="2">
                  <c:v>32.816447931472723</c:v>
                </c:pt>
                <c:pt idx="3">
                  <c:v>57.09630314178446</c:v>
                </c:pt>
                <c:pt idx="4">
                  <c:v>89.308606477141765</c:v>
                </c:pt>
                <c:pt idx="5">
                  <c:v>128.07174822131722</c:v>
                </c:pt>
                <c:pt idx="6">
                  <c:v>171.05684720072716</c:v>
                </c:pt>
                <c:pt idx="7">
                  <c:v>215.54734091941634</c:v>
                </c:pt>
                <c:pt idx="8">
                  <c:v>258.97713521361754</c:v>
                </c:pt>
                <c:pt idx="9">
                  <c:v>299.30428387344614</c:v>
                </c:pt>
                <c:pt idx="10">
                  <c:v>335.17828422688217</c:v>
                </c:pt>
                <c:pt idx="11">
                  <c:v>365.93296824907293</c:v>
                </c:pt>
                <c:pt idx="12">
                  <c:v>391.46939051629636</c:v>
                </c:pt>
                <c:pt idx="13">
                  <c:v>412.0928812959383</c:v>
                </c:pt>
                <c:pt idx="14">
                  <c:v>428.35141810001801</c:v>
                </c:pt>
                <c:pt idx="15">
                  <c:v>440.9018005705932</c:v>
                </c:pt>
                <c:pt idx="16">
                  <c:v>450.41312353967959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E84-4DF7-AEF4-16DF9E109452}"/>
            </c:ext>
          </c:extLst>
        </c:ser>
        <c:bandFmts>
          <c:bandFmt>
            <c:idx val="0"/>
            <c:spPr>
              <a:solidFill>
                <a:schemeClr val="accent2">
                  <a:shade val="41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>
                  <a:shade val="53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2">
                  <a:shade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2">
                  <a:shade val="76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2">
                  <a:shade val="88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2">
                  <a:tint val="89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tint val="77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2">
                  <a:tint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2">
                  <a:tint val="54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2">
                  <a:tint val="42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2">
                  <a:tint val="3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2">
                  <a:tint val="19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tint val="7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2">
                  <a:tint val="95000"/>
                </a:schemeClr>
              </a:solidFill>
              <a:ln/>
              <a:effectLst/>
              <a:sp3d/>
            </c:spPr>
          </c:bandFmt>
        </c:bandFmts>
        <c:axId val="334053984"/>
        <c:axId val="523102784"/>
        <c:axId val="444213432"/>
      </c:surface3DChart>
      <c:catAx>
        <c:axId val="334053984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 [$]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523102784"/>
        <c:crosses val="autoZero"/>
        <c:auto val="1"/>
        <c:lblAlgn val="ctr"/>
        <c:lblOffset val="100"/>
        <c:noMultiLvlLbl val="0"/>
      </c:catAx>
      <c:valAx>
        <c:axId val="52310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l-GR"/>
                  <a:t>ρ</a:t>
                </a:r>
                <a:endParaRPr lang="it-IT"/>
              </a:p>
            </c:rich>
          </c:tx>
          <c:layout>
            <c:manualLayout>
              <c:xMode val="edge"/>
              <c:yMode val="edge"/>
              <c:x val="2.3518518518518518E-2"/>
              <c:y val="0.4559535353535352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334053984"/>
        <c:crosses val="autoZero"/>
        <c:crossBetween val="midCat"/>
      </c:valAx>
      <c:serAx>
        <c:axId val="444213432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l-GR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τ</a:t>
                </a:r>
                <a:r>
                  <a:rPr lang="it-IT" sz="1200" b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[years]</a:t>
                </a:r>
              </a:p>
            </c:rich>
          </c:tx>
          <c:layout>
            <c:manualLayout>
              <c:xMode val="edge"/>
              <c:yMode val="edge"/>
              <c:x val="0.86137851851851854"/>
              <c:y val="0.78650934343434342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523102784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80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Volatility comparison,</a:t>
            </a:r>
            <a:r>
              <a:rPr lang="en-US" sz="1800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T ≈ </a:t>
            </a:r>
            <a:r>
              <a:rPr lang="en-US" sz="180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1 month </a:t>
            </a:r>
          </a:p>
        </c:rich>
      </c:tx>
      <c:layout>
        <c:manualLayout>
          <c:xMode val="edge"/>
          <c:yMode val="edge"/>
          <c:x val="0.19558203703703703"/>
          <c:y val="2.24494949494949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9.4541859237703987E-2"/>
          <c:y val="0.12878472222222223"/>
          <c:w val="0.73884407407407404"/>
          <c:h val="0.76883858881531297"/>
        </c:manualLayout>
      </c:layout>
      <c:scatterChart>
        <c:scatterStyle val="lineMarker"/>
        <c:varyColors val="0"/>
        <c:ser>
          <c:idx val="0"/>
          <c:order val="0"/>
          <c:tx>
            <c:v>Implied volatility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9"/>
            <c:marker>
              <c:symbol val="triangle"/>
              <c:size val="8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1B2-4C13-9079-2B4B09FF5AB9}"/>
              </c:ext>
            </c:extLst>
          </c:dPt>
          <c:dLbls>
            <c:dLbl>
              <c:idx val="19"/>
              <c:layout>
                <c:manualLayout>
                  <c:x val="-5.0764814814814818E-2"/>
                  <c:y val="-5.449621212121211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1B2-4C13-9079-2B4B09FF5A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'T=1m'!$C$2:$C$50</c:f>
              <c:numCache>
                <c:formatCode>General</c:formatCode>
                <c:ptCount val="49"/>
                <c:pt idx="0">
                  <c:v>45</c:v>
                </c:pt>
                <c:pt idx="1">
                  <c:v>55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99</c:v>
                </c:pt>
                <c:pt idx="9">
                  <c:v>100</c:v>
                </c:pt>
                <c:pt idx="10">
                  <c:v>101</c:v>
                </c:pt>
                <c:pt idx="11">
                  <c:v>102</c:v>
                </c:pt>
                <c:pt idx="12">
                  <c:v>103</c:v>
                </c:pt>
                <c:pt idx="13">
                  <c:v>104</c:v>
                </c:pt>
                <c:pt idx="14">
                  <c:v>105</c:v>
                </c:pt>
                <c:pt idx="15">
                  <c:v>107</c:v>
                </c:pt>
                <c:pt idx="16">
                  <c:v>108</c:v>
                </c:pt>
                <c:pt idx="17">
                  <c:v>109</c:v>
                </c:pt>
                <c:pt idx="18">
                  <c:v>110</c:v>
                </c:pt>
                <c:pt idx="19">
                  <c:v>111</c:v>
                </c:pt>
                <c:pt idx="20">
                  <c:v>112</c:v>
                </c:pt>
                <c:pt idx="21">
                  <c:v>113</c:v>
                </c:pt>
                <c:pt idx="22">
                  <c:v>114</c:v>
                </c:pt>
                <c:pt idx="23">
                  <c:v>115</c:v>
                </c:pt>
                <c:pt idx="24">
                  <c:v>116</c:v>
                </c:pt>
                <c:pt idx="25">
                  <c:v>117</c:v>
                </c:pt>
                <c:pt idx="26">
                  <c:v>118</c:v>
                </c:pt>
                <c:pt idx="27">
                  <c:v>119</c:v>
                </c:pt>
                <c:pt idx="28">
                  <c:v>120</c:v>
                </c:pt>
                <c:pt idx="29">
                  <c:v>121</c:v>
                </c:pt>
                <c:pt idx="30">
                  <c:v>122</c:v>
                </c:pt>
                <c:pt idx="31">
                  <c:v>123</c:v>
                </c:pt>
                <c:pt idx="32">
                  <c:v>124</c:v>
                </c:pt>
                <c:pt idx="33">
                  <c:v>125</c:v>
                </c:pt>
                <c:pt idx="34">
                  <c:v>126</c:v>
                </c:pt>
                <c:pt idx="35">
                  <c:v>127</c:v>
                </c:pt>
                <c:pt idx="36">
                  <c:v>128</c:v>
                </c:pt>
                <c:pt idx="37">
                  <c:v>130</c:v>
                </c:pt>
                <c:pt idx="38">
                  <c:v>135</c:v>
                </c:pt>
                <c:pt idx="39">
                  <c:v>140</c:v>
                </c:pt>
                <c:pt idx="40">
                  <c:v>145</c:v>
                </c:pt>
                <c:pt idx="41">
                  <c:v>150</c:v>
                </c:pt>
                <c:pt idx="42">
                  <c:v>155</c:v>
                </c:pt>
                <c:pt idx="43">
                  <c:v>160</c:v>
                </c:pt>
                <c:pt idx="44">
                  <c:v>165</c:v>
                </c:pt>
                <c:pt idx="45">
                  <c:v>170</c:v>
                </c:pt>
                <c:pt idx="46">
                  <c:v>175</c:v>
                </c:pt>
                <c:pt idx="47">
                  <c:v>180</c:v>
                </c:pt>
                <c:pt idx="48">
                  <c:v>185</c:v>
                </c:pt>
              </c:numCache>
            </c:numRef>
          </c:xVal>
          <c:yVal>
            <c:numRef>
              <c:f>'T=1m'!$K$2:$K$50</c:f>
              <c:numCache>
                <c:formatCode>0.0000</c:formatCode>
                <c:ptCount val="49"/>
                <c:pt idx="0">
                  <c:v>1.5995999999999999</c:v>
                </c:pt>
                <c:pt idx="1">
                  <c:v>1.2070000000000001</c:v>
                </c:pt>
                <c:pt idx="2">
                  <c:v>0.91800000000000004</c:v>
                </c:pt>
                <c:pt idx="3">
                  <c:v>0.89059999999999995</c:v>
                </c:pt>
                <c:pt idx="4">
                  <c:v>0.80759999999999998</c:v>
                </c:pt>
                <c:pt idx="5">
                  <c:v>0.73409999999999997</c:v>
                </c:pt>
                <c:pt idx="6">
                  <c:v>0.70750000000000002</c:v>
                </c:pt>
                <c:pt idx="7">
                  <c:v>0.70650000000000002</c:v>
                </c:pt>
                <c:pt idx="8">
                  <c:v>0.64829999999999999</c:v>
                </c:pt>
                <c:pt idx="9">
                  <c:v>0.63549999999999995</c:v>
                </c:pt>
                <c:pt idx="10">
                  <c:v>0.63780000000000003</c:v>
                </c:pt>
                <c:pt idx="11">
                  <c:v>0.63839999999999997</c:v>
                </c:pt>
                <c:pt idx="12">
                  <c:v>0.63719999999999999</c:v>
                </c:pt>
                <c:pt idx="13">
                  <c:v>0.62380000000000002</c:v>
                </c:pt>
                <c:pt idx="14">
                  <c:v>0.626</c:v>
                </c:pt>
                <c:pt idx="15">
                  <c:v>0.61729999999999996</c:v>
                </c:pt>
                <c:pt idx="16">
                  <c:v>0.61670000000000003</c:v>
                </c:pt>
                <c:pt idx="17">
                  <c:v>0.60099999999999998</c:v>
                </c:pt>
                <c:pt idx="18">
                  <c:v>0.6069</c:v>
                </c:pt>
                <c:pt idx="19">
                  <c:v>0.60189999999999999</c:v>
                </c:pt>
                <c:pt idx="20">
                  <c:v>0.60489999999999999</c:v>
                </c:pt>
                <c:pt idx="21">
                  <c:v>0.59860000000000002</c:v>
                </c:pt>
                <c:pt idx="22">
                  <c:v>0.59670000000000001</c:v>
                </c:pt>
                <c:pt idx="23">
                  <c:v>0.59330000000000005</c:v>
                </c:pt>
                <c:pt idx="24">
                  <c:v>0.59989999999999999</c:v>
                </c:pt>
                <c:pt idx="25">
                  <c:v>0.59919999999999995</c:v>
                </c:pt>
                <c:pt idx="26">
                  <c:v>0.60109999999999997</c:v>
                </c:pt>
                <c:pt idx="27">
                  <c:v>0.58789999999999998</c:v>
                </c:pt>
                <c:pt idx="28">
                  <c:v>0.60099999999999998</c:v>
                </c:pt>
                <c:pt idx="29">
                  <c:v>0.59060000000000001</c:v>
                </c:pt>
                <c:pt idx="30">
                  <c:v>0.59109999999999996</c:v>
                </c:pt>
                <c:pt idx="31">
                  <c:v>0.58609999999999995</c:v>
                </c:pt>
                <c:pt idx="32">
                  <c:v>0.59250000000000003</c:v>
                </c:pt>
                <c:pt idx="33">
                  <c:v>0.59119999999999995</c:v>
                </c:pt>
                <c:pt idx="34">
                  <c:v>0.58909999999999996</c:v>
                </c:pt>
                <c:pt idx="35">
                  <c:v>0.58940000000000003</c:v>
                </c:pt>
                <c:pt idx="36">
                  <c:v>0.59379999999999999</c:v>
                </c:pt>
                <c:pt idx="37">
                  <c:v>0.59809999999999997</c:v>
                </c:pt>
                <c:pt idx="38">
                  <c:v>0.62549999999999994</c:v>
                </c:pt>
                <c:pt idx="39">
                  <c:v>0.61770000000000003</c:v>
                </c:pt>
                <c:pt idx="40">
                  <c:v>0.63770000000000004</c:v>
                </c:pt>
                <c:pt idx="41">
                  <c:v>0.63480000000000003</c:v>
                </c:pt>
                <c:pt idx="42">
                  <c:v>0.63529999999999998</c:v>
                </c:pt>
                <c:pt idx="43">
                  <c:v>0.67479999999999996</c:v>
                </c:pt>
                <c:pt idx="44">
                  <c:v>0.6885</c:v>
                </c:pt>
                <c:pt idx="45">
                  <c:v>0.70609999999999995</c:v>
                </c:pt>
                <c:pt idx="46">
                  <c:v>0.71189999999999998</c:v>
                </c:pt>
                <c:pt idx="47">
                  <c:v>0.69730000000000003</c:v>
                </c:pt>
                <c:pt idx="48">
                  <c:v>0.752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5B-4FEB-B03D-66AE8E83851F}"/>
            </c:ext>
          </c:extLst>
        </c:ser>
        <c:ser>
          <c:idx val="1"/>
          <c:order val="1"/>
          <c:tx>
            <c:v>Historical volatility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45"/>
              <c:layout>
                <c:manualLayout>
                  <c:x val="-0.11388259259259267"/>
                  <c:y val="5.93068181818181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it-IT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DC0-4B96-A249-E00930812E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'T=1m'!$C$2:$C$50</c:f>
              <c:numCache>
                <c:formatCode>General</c:formatCode>
                <c:ptCount val="49"/>
                <c:pt idx="0">
                  <c:v>45</c:v>
                </c:pt>
                <c:pt idx="1">
                  <c:v>55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99</c:v>
                </c:pt>
                <c:pt idx="9">
                  <c:v>100</c:v>
                </c:pt>
                <c:pt idx="10">
                  <c:v>101</c:v>
                </c:pt>
                <c:pt idx="11">
                  <c:v>102</c:v>
                </c:pt>
                <c:pt idx="12">
                  <c:v>103</c:v>
                </c:pt>
                <c:pt idx="13">
                  <c:v>104</c:v>
                </c:pt>
                <c:pt idx="14">
                  <c:v>105</c:v>
                </c:pt>
                <c:pt idx="15">
                  <c:v>107</c:v>
                </c:pt>
                <c:pt idx="16">
                  <c:v>108</c:v>
                </c:pt>
                <c:pt idx="17">
                  <c:v>109</c:v>
                </c:pt>
                <c:pt idx="18">
                  <c:v>110</c:v>
                </c:pt>
                <c:pt idx="19">
                  <c:v>111</c:v>
                </c:pt>
                <c:pt idx="20">
                  <c:v>112</c:v>
                </c:pt>
                <c:pt idx="21">
                  <c:v>113</c:v>
                </c:pt>
                <c:pt idx="22">
                  <c:v>114</c:v>
                </c:pt>
                <c:pt idx="23">
                  <c:v>115</c:v>
                </c:pt>
                <c:pt idx="24">
                  <c:v>116</c:v>
                </c:pt>
                <c:pt idx="25">
                  <c:v>117</c:v>
                </c:pt>
                <c:pt idx="26">
                  <c:v>118</c:v>
                </c:pt>
                <c:pt idx="27">
                  <c:v>119</c:v>
                </c:pt>
                <c:pt idx="28">
                  <c:v>120</c:v>
                </c:pt>
                <c:pt idx="29">
                  <c:v>121</c:v>
                </c:pt>
                <c:pt idx="30">
                  <c:v>122</c:v>
                </c:pt>
                <c:pt idx="31">
                  <c:v>123</c:v>
                </c:pt>
                <c:pt idx="32">
                  <c:v>124</c:v>
                </c:pt>
                <c:pt idx="33">
                  <c:v>125</c:v>
                </c:pt>
                <c:pt idx="34">
                  <c:v>126</c:v>
                </c:pt>
                <c:pt idx="35">
                  <c:v>127</c:v>
                </c:pt>
                <c:pt idx="36">
                  <c:v>128</c:v>
                </c:pt>
                <c:pt idx="37">
                  <c:v>130</c:v>
                </c:pt>
                <c:pt idx="38">
                  <c:v>135</c:v>
                </c:pt>
                <c:pt idx="39">
                  <c:v>140</c:v>
                </c:pt>
                <c:pt idx="40">
                  <c:v>145</c:v>
                </c:pt>
                <c:pt idx="41">
                  <c:v>150</c:v>
                </c:pt>
                <c:pt idx="42">
                  <c:v>155</c:v>
                </c:pt>
                <c:pt idx="43">
                  <c:v>160</c:v>
                </c:pt>
                <c:pt idx="44">
                  <c:v>165</c:v>
                </c:pt>
                <c:pt idx="45">
                  <c:v>170</c:v>
                </c:pt>
                <c:pt idx="46">
                  <c:v>175</c:v>
                </c:pt>
                <c:pt idx="47">
                  <c:v>180</c:v>
                </c:pt>
                <c:pt idx="48">
                  <c:v>185</c:v>
                </c:pt>
              </c:numCache>
            </c:numRef>
          </c:xVal>
          <c:yVal>
            <c:numRef>
              <c:f>'T=1m'!$R$2:$R$50</c:f>
              <c:numCache>
                <c:formatCode>General</c:formatCode>
                <c:ptCount val="49"/>
                <c:pt idx="0">
                  <c:v>1.3085581661057932</c:v>
                </c:pt>
                <c:pt idx="1">
                  <c:v>1.3085581661057932</c:v>
                </c:pt>
                <c:pt idx="2">
                  <c:v>1.3085581661057932</c:v>
                </c:pt>
                <c:pt idx="3">
                  <c:v>1.3085581661057932</c:v>
                </c:pt>
                <c:pt idx="4">
                  <c:v>1.3085581661057932</c:v>
                </c:pt>
                <c:pt idx="5">
                  <c:v>1.3085581661057932</c:v>
                </c:pt>
                <c:pt idx="6">
                  <c:v>1.3085581661057932</c:v>
                </c:pt>
                <c:pt idx="7">
                  <c:v>1.3085581661057932</c:v>
                </c:pt>
                <c:pt idx="8">
                  <c:v>1.3085581661057932</c:v>
                </c:pt>
                <c:pt idx="9">
                  <c:v>1.3085581661057932</c:v>
                </c:pt>
                <c:pt idx="10">
                  <c:v>1.3085581661057932</c:v>
                </c:pt>
                <c:pt idx="11">
                  <c:v>1.3085581661057932</c:v>
                </c:pt>
                <c:pt idx="12">
                  <c:v>1.3085581661057932</c:v>
                </c:pt>
                <c:pt idx="13">
                  <c:v>1.3085581661057932</c:v>
                </c:pt>
                <c:pt idx="14">
                  <c:v>1.3085581661057932</c:v>
                </c:pt>
                <c:pt idx="15">
                  <c:v>1.3085581661057932</c:v>
                </c:pt>
                <c:pt idx="16">
                  <c:v>1.3085581661057932</c:v>
                </c:pt>
                <c:pt idx="17">
                  <c:v>1.3085581661057932</c:v>
                </c:pt>
                <c:pt idx="18">
                  <c:v>1.3085581661057932</c:v>
                </c:pt>
                <c:pt idx="19">
                  <c:v>1.3085581661057932</c:v>
                </c:pt>
                <c:pt idx="20">
                  <c:v>1.3085581661057932</c:v>
                </c:pt>
                <c:pt idx="21">
                  <c:v>1.3085581661057932</c:v>
                </c:pt>
                <c:pt idx="22">
                  <c:v>1.3085581661057932</c:v>
                </c:pt>
                <c:pt idx="23">
                  <c:v>1.3085581661057932</c:v>
                </c:pt>
                <c:pt idx="24">
                  <c:v>1.3085581661057932</c:v>
                </c:pt>
                <c:pt idx="25">
                  <c:v>1.3085581661057932</c:v>
                </c:pt>
                <c:pt idx="26">
                  <c:v>1.3085581661057932</c:v>
                </c:pt>
                <c:pt idx="27">
                  <c:v>1.3085581661057932</c:v>
                </c:pt>
                <c:pt idx="28">
                  <c:v>1.3085581661057932</c:v>
                </c:pt>
                <c:pt idx="29">
                  <c:v>1.3085581661057932</c:v>
                </c:pt>
                <c:pt idx="30">
                  <c:v>1.3085581661057932</c:v>
                </c:pt>
                <c:pt idx="31">
                  <c:v>1.3085581661057932</c:v>
                </c:pt>
                <c:pt idx="32">
                  <c:v>1.3085581661057932</c:v>
                </c:pt>
                <c:pt idx="33">
                  <c:v>1.3085581661057932</c:v>
                </c:pt>
                <c:pt idx="34">
                  <c:v>1.3085581661057932</c:v>
                </c:pt>
                <c:pt idx="35">
                  <c:v>1.3085581661057932</c:v>
                </c:pt>
                <c:pt idx="36">
                  <c:v>1.3085581661057932</c:v>
                </c:pt>
                <c:pt idx="37">
                  <c:v>1.3085581661057932</c:v>
                </c:pt>
                <c:pt idx="38">
                  <c:v>1.3085581661057932</c:v>
                </c:pt>
                <c:pt idx="39">
                  <c:v>1.3085581661057932</c:v>
                </c:pt>
                <c:pt idx="40">
                  <c:v>1.3085581661057932</c:v>
                </c:pt>
                <c:pt idx="41">
                  <c:v>1.3085581661057932</c:v>
                </c:pt>
                <c:pt idx="42">
                  <c:v>1.3085581661057932</c:v>
                </c:pt>
                <c:pt idx="43">
                  <c:v>1.3085581661057932</c:v>
                </c:pt>
                <c:pt idx="44">
                  <c:v>1.3085581661057932</c:v>
                </c:pt>
                <c:pt idx="45">
                  <c:v>1.3085581661057932</c:v>
                </c:pt>
                <c:pt idx="46">
                  <c:v>1.3085581661057932</c:v>
                </c:pt>
                <c:pt idx="47">
                  <c:v>1.3085581661057932</c:v>
                </c:pt>
                <c:pt idx="48">
                  <c:v>1.3085581661057932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B2-4C13-9079-2B4B09FF5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557848"/>
        <c:axId val="561557520"/>
      </c:scatterChart>
      <c:valAx>
        <c:axId val="561557848"/>
        <c:scaling>
          <c:orientation val="minMax"/>
          <c:max val="190"/>
          <c:min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it-IT" sz="12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K [$]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561557520"/>
        <c:crosses val="autoZero"/>
        <c:crossBetween val="midCat"/>
      </c:valAx>
      <c:valAx>
        <c:axId val="561557520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l-GR" sz="12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σ</a:t>
                </a:r>
                <a:endParaRPr lang="it-IT" sz="120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it-IT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561557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547129629629635"/>
          <c:y val="0.37132822148400768"/>
          <c:w val="0.16144907407407405"/>
          <c:h val="0.238716097987751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it-IT" sz="180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Volatility comparison, T ≈ 3</a:t>
            </a:r>
            <a:r>
              <a:rPr lang="it-IT" sz="1800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months</a:t>
            </a:r>
            <a:endParaRPr lang="it-IT" sz="18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18233537037037034"/>
          <c:y val="3.84848484848484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9.5257117786962844E-2"/>
          <c:y val="0.14227080935941697"/>
          <c:w val="0.74709981481481469"/>
          <c:h val="0.76160732323232339"/>
        </c:manualLayout>
      </c:layout>
      <c:scatterChart>
        <c:scatterStyle val="lineMarker"/>
        <c:varyColors val="0"/>
        <c:ser>
          <c:idx val="0"/>
          <c:order val="0"/>
          <c:tx>
            <c:v>Implied volatility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4"/>
            <c:marker>
              <c:symbol val="triangle"/>
              <c:size val="8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237-48C9-8DA4-666BD0CB3F09}"/>
              </c:ext>
            </c:extLst>
          </c:dPt>
          <c:dLbls>
            <c:dLbl>
              <c:idx val="14"/>
              <c:layout>
                <c:manualLayout>
                  <c:x val="-3.9664074074074115E-2"/>
                  <c:y val="-5.449621212121211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237-48C9-8DA4-666BD0CB3F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'T=3m'!$C$2:$C$48</c:f>
              <c:numCache>
                <c:formatCode>General</c:formatCode>
                <c:ptCount val="47"/>
                <c:pt idx="0">
                  <c:v>40</c:v>
                </c:pt>
                <c:pt idx="1">
                  <c:v>45</c:v>
                </c:pt>
                <c:pt idx="2">
                  <c:v>50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  <c:pt idx="6">
                  <c:v>70</c:v>
                </c:pt>
                <c:pt idx="7">
                  <c:v>75</c:v>
                </c:pt>
                <c:pt idx="8">
                  <c:v>80</c:v>
                </c:pt>
                <c:pt idx="9">
                  <c:v>85</c:v>
                </c:pt>
                <c:pt idx="10">
                  <c:v>90</c:v>
                </c:pt>
                <c:pt idx="11">
                  <c:v>95</c:v>
                </c:pt>
                <c:pt idx="12">
                  <c:v>100</c:v>
                </c:pt>
                <c:pt idx="13">
                  <c:v>105</c:v>
                </c:pt>
                <c:pt idx="14">
                  <c:v>110</c:v>
                </c:pt>
                <c:pt idx="15">
                  <c:v>115</c:v>
                </c:pt>
                <c:pt idx="16">
                  <c:v>120</c:v>
                </c:pt>
                <c:pt idx="17">
                  <c:v>125</c:v>
                </c:pt>
                <c:pt idx="18">
                  <c:v>130</c:v>
                </c:pt>
                <c:pt idx="19">
                  <c:v>135</c:v>
                </c:pt>
                <c:pt idx="20">
                  <c:v>140</c:v>
                </c:pt>
                <c:pt idx="21">
                  <c:v>145</c:v>
                </c:pt>
                <c:pt idx="22">
                  <c:v>150</c:v>
                </c:pt>
                <c:pt idx="23">
                  <c:v>155</c:v>
                </c:pt>
                <c:pt idx="24">
                  <c:v>160</c:v>
                </c:pt>
                <c:pt idx="25">
                  <c:v>165</c:v>
                </c:pt>
                <c:pt idx="26">
                  <c:v>170</c:v>
                </c:pt>
                <c:pt idx="27">
                  <c:v>175</c:v>
                </c:pt>
                <c:pt idx="28">
                  <c:v>180</c:v>
                </c:pt>
                <c:pt idx="29">
                  <c:v>185</c:v>
                </c:pt>
                <c:pt idx="30">
                  <c:v>190</c:v>
                </c:pt>
                <c:pt idx="31">
                  <c:v>195</c:v>
                </c:pt>
                <c:pt idx="32">
                  <c:v>200</c:v>
                </c:pt>
                <c:pt idx="33">
                  <c:v>205</c:v>
                </c:pt>
                <c:pt idx="34">
                  <c:v>210</c:v>
                </c:pt>
                <c:pt idx="35">
                  <c:v>215</c:v>
                </c:pt>
                <c:pt idx="36">
                  <c:v>220</c:v>
                </c:pt>
                <c:pt idx="37">
                  <c:v>225</c:v>
                </c:pt>
                <c:pt idx="38">
                  <c:v>230</c:v>
                </c:pt>
                <c:pt idx="39">
                  <c:v>235</c:v>
                </c:pt>
                <c:pt idx="40">
                  <c:v>240</c:v>
                </c:pt>
                <c:pt idx="41">
                  <c:v>245</c:v>
                </c:pt>
                <c:pt idx="42">
                  <c:v>250</c:v>
                </c:pt>
                <c:pt idx="43">
                  <c:v>255</c:v>
                </c:pt>
                <c:pt idx="44">
                  <c:v>260</c:v>
                </c:pt>
                <c:pt idx="45">
                  <c:v>265</c:v>
                </c:pt>
                <c:pt idx="46">
                  <c:v>270</c:v>
                </c:pt>
              </c:numCache>
            </c:numRef>
          </c:xVal>
          <c:yVal>
            <c:numRef>
              <c:f>'T=3m'!$K$2:$K$48</c:f>
              <c:numCache>
                <c:formatCode>0.00000</c:formatCode>
                <c:ptCount val="47"/>
                <c:pt idx="0">
                  <c:v>0.99119999999999997</c:v>
                </c:pt>
                <c:pt idx="1">
                  <c:v>0.86040000000000005</c:v>
                </c:pt>
                <c:pt idx="2">
                  <c:v>0.85109999999999997</c:v>
                </c:pt>
                <c:pt idx="3">
                  <c:v>0.74409999999999998</c:v>
                </c:pt>
                <c:pt idx="4">
                  <c:v>0.74950000000000006</c:v>
                </c:pt>
                <c:pt idx="5">
                  <c:v>0.73099999999999998</c:v>
                </c:pt>
                <c:pt idx="6">
                  <c:v>0.71660000000000001</c:v>
                </c:pt>
                <c:pt idx="7">
                  <c:v>0.65700000000000003</c:v>
                </c:pt>
                <c:pt idx="8">
                  <c:v>0.65659999999999996</c:v>
                </c:pt>
                <c:pt idx="9">
                  <c:v>0.62670000000000003</c:v>
                </c:pt>
                <c:pt idx="10">
                  <c:v>0.61429999999999996</c:v>
                </c:pt>
                <c:pt idx="11">
                  <c:v>0.58950000000000002</c:v>
                </c:pt>
                <c:pt idx="12">
                  <c:v>0.57850000000000001</c:v>
                </c:pt>
                <c:pt idx="13">
                  <c:v>0.56999999999999995</c:v>
                </c:pt>
                <c:pt idx="14">
                  <c:v>0.56140000000000001</c:v>
                </c:pt>
                <c:pt idx="15">
                  <c:v>0.56299999999999994</c:v>
                </c:pt>
                <c:pt idx="16">
                  <c:v>0.55679999999999996</c:v>
                </c:pt>
                <c:pt idx="17">
                  <c:v>0.55840000000000001</c:v>
                </c:pt>
                <c:pt idx="18">
                  <c:v>0.55179999999999996</c:v>
                </c:pt>
                <c:pt idx="19">
                  <c:v>0.55120000000000002</c:v>
                </c:pt>
                <c:pt idx="20">
                  <c:v>0.55079999999999996</c:v>
                </c:pt>
                <c:pt idx="21">
                  <c:v>0.55120000000000002</c:v>
                </c:pt>
                <c:pt idx="22">
                  <c:v>0.55369999999999997</c:v>
                </c:pt>
                <c:pt idx="23">
                  <c:v>0.55569999999999997</c:v>
                </c:pt>
                <c:pt idx="24">
                  <c:v>0.55930000000000002</c:v>
                </c:pt>
                <c:pt idx="25">
                  <c:v>0.5625</c:v>
                </c:pt>
                <c:pt idx="26">
                  <c:v>0.56620000000000004</c:v>
                </c:pt>
                <c:pt idx="27">
                  <c:v>0.5706</c:v>
                </c:pt>
                <c:pt idx="28">
                  <c:v>0.57809999999999995</c:v>
                </c:pt>
                <c:pt idx="29">
                  <c:v>0.57669999999999999</c:v>
                </c:pt>
                <c:pt idx="30">
                  <c:v>0.59670000000000001</c:v>
                </c:pt>
                <c:pt idx="31">
                  <c:v>0.59379999999999999</c:v>
                </c:pt>
                <c:pt idx="32">
                  <c:v>0.61329999999999996</c:v>
                </c:pt>
                <c:pt idx="33">
                  <c:v>0.62209999999999999</c:v>
                </c:pt>
                <c:pt idx="34">
                  <c:v>0.625</c:v>
                </c:pt>
                <c:pt idx="35">
                  <c:v>0.62790000000000001</c:v>
                </c:pt>
                <c:pt idx="36">
                  <c:v>0.6431</c:v>
                </c:pt>
                <c:pt idx="37">
                  <c:v>0.65039999999999998</c:v>
                </c:pt>
                <c:pt idx="38">
                  <c:v>0.65139999999999998</c:v>
                </c:pt>
                <c:pt idx="39">
                  <c:v>0.6714</c:v>
                </c:pt>
                <c:pt idx="40">
                  <c:v>0.69430000000000003</c:v>
                </c:pt>
                <c:pt idx="41">
                  <c:v>0.70750000000000002</c:v>
                </c:pt>
                <c:pt idx="42">
                  <c:v>0.6895</c:v>
                </c:pt>
                <c:pt idx="43">
                  <c:v>0.69820000000000004</c:v>
                </c:pt>
                <c:pt idx="44">
                  <c:v>0.74709999999999999</c:v>
                </c:pt>
                <c:pt idx="45">
                  <c:v>0.72170000000000001</c:v>
                </c:pt>
                <c:pt idx="46">
                  <c:v>0.71289999999999998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37-48C9-8DA4-666BD0CB3F09}"/>
            </c:ext>
          </c:extLst>
        </c:ser>
        <c:ser>
          <c:idx val="1"/>
          <c:order val="1"/>
          <c:tx>
            <c:v>Historical volatility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44"/>
              <c:layout>
                <c:manualLayout>
                  <c:x val="-0.12799370370370369"/>
                  <c:y val="5.609974747474741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it-IT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DAD-4D1F-BDBC-EC3A481E44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'T=3m'!$C$2:$C$48</c:f>
              <c:numCache>
                <c:formatCode>General</c:formatCode>
                <c:ptCount val="47"/>
                <c:pt idx="0">
                  <c:v>40</c:v>
                </c:pt>
                <c:pt idx="1">
                  <c:v>45</c:v>
                </c:pt>
                <c:pt idx="2">
                  <c:v>50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  <c:pt idx="6">
                  <c:v>70</c:v>
                </c:pt>
                <c:pt idx="7">
                  <c:v>75</c:v>
                </c:pt>
                <c:pt idx="8">
                  <c:v>80</c:v>
                </c:pt>
                <c:pt idx="9">
                  <c:v>85</c:v>
                </c:pt>
                <c:pt idx="10">
                  <c:v>90</c:v>
                </c:pt>
                <c:pt idx="11">
                  <c:v>95</c:v>
                </c:pt>
                <c:pt idx="12">
                  <c:v>100</c:v>
                </c:pt>
                <c:pt idx="13">
                  <c:v>105</c:v>
                </c:pt>
                <c:pt idx="14">
                  <c:v>110</c:v>
                </c:pt>
                <c:pt idx="15">
                  <c:v>115</c:v>
                </c:pt>
                <c:pt idx="16">
                  <c:v>120</c:v>
                </c:pt>
                <c:pt idx="17">
                  <c:v>125</c:v>
                </c:pt>
                <c:pt idx="18">
                  <c:v>130</c:v>
                </c:pt>
                <c:pt idx="19">
                  <c:v>135</c:v>
                </c:pt>
                <c:pt idx="20">
                  <c:v>140</c:v>
                </c:pt>
                <c:pt idx="21">
                  <c:v>145</c:v>
                </c:pt>
                <c:pt idx="22">
                  <c:v>150</c:v>
                </c:pt>
                <c:pt idx="23">
                  <c:v>155</c:v>
                </c:pt>
                <c:pt idx="24">
                  <c:v>160</c:v>
                </c:pt>
                <c:pt idx="25">
                  <c:v>165</c:v>
                </c:pt>
                <c:pt idx="26">
                  <c:v>170</c:v>
                </c:pt>
                <c:pt idx="27">
                  <c:v>175</c:v>
                </c:pt>
                <c:pt idx="28">
                  <c:v>180</c:v>
                </c:pt>
                <c:pt idx="29">
                  <c:v>185</c:v>
                </c:pt>
                <c:pt idx="30">
                  <c:v>190</c:v>
                </c:pt>
                <c:pt idx="31">
                  <c:v>195</c:v>
                </c:pt>
                <c:pt idx="32">
                  <c:v>200</c:v>
                </c:pt>
                <c:pt idx="33">
                  <c:v>205</c:v>
                </c:pt>
                <c:pt idx="34">
                  <c:v>210</c:v>
                </c:pt>
                <c:pt idx="35">
                  <c:v>215</c:v>
                </c:pt>
                <c:pt idx="36">
                  <c:v>220</c:v>
                </c:pt>
                <c:pt idx="37">
                  <c:v>225</c:v>
                </c:pt>
                <c:pt idx="38">
                  <c:v>230</c:v>
                </c:pt>
                <c:pt idx="39">
                  <c:v>235</c:v>
                </c:pt>
                <c:pt idx="40">
                  <c:v>240</c:v>
                </c:pt>
                <c:pt idx="41">
                  <c:v>245</c:v>
                </c:pt>
                <c:pt idx="42">
                  <c:v>250</c:v>
                </c:pt>
                <c:pt idx="43">
                  <c:v>255</c:v>
                </c:pt>
                <c:pt idx="44">
                  <c:v>260</c:v>
                </c:pt>
                <c:pt idx="45">
                  <c:v>265</c:v>
                </c:pt>
                <c:pt idx="46">
                  <c:v>270</c:v>
                </c:pt>
              </c:numCache>
            </c:numRef>
          </c:xVal>
          <c:yVal>
            <c:numRef>
              <c:f>'T=3m'!$R$2:$R$48</c:f>
              <c:numCache>
                <c:formatCode>General</c:formatCode>
                <c:ptCount val="47"/>
                <c:pt idx="0">
                  <c:v>0.85765720200196605</c:v>
                </c:pt>
                <c:pt idx="1">
                  <c:v>0.85765720200196605</c:v>
                </c:pt>
                <c:pt idx="2">
                  <c:v>0.85765720200196605</c:v>
                </c:pt>
                <c:pt idx="3">
                  <c:v>0.85765720200196605</c:v>
                </c:pt>
                <c:pt idx="4">
                  <c:v>0.85765720200196605</c:v>
                </c:pt>
                <c:pt idx="5">
                  <c:v>0.85765720200196605</c:v>
                </c:pt>
                <c:pt idx="6">
                  <c:v>0.85765720200196605</c:v>
                </c:pt>
                <c:pt idx="7">
                  <c:v>0.85765720200196605</c:v>
                </c:pt>
                <c:pt idx="8">
                  <c:v>0.85765720200196605</c:v>
                </c:pt>
                <c:pt idx="9">
                  <c:v>0.85765720200196605</c:v>
                </c:pt>
                <c:pt idx="10">
                  <c:v>0.85765720200196605</c:v>
                </c:pt>
                <c:pt idx="11">
                  <c:v>0.85765720200196605</c:v>
                </c:pt>
                <c:pt idx="12">
                  <c:v>0.85765720200196605</c:v>
                </c:pt>
                <c:pt idx="13">
                  <c:v>0.85765720200196605</c:v>
                </c:pt>
                <c:pt idx="14">
                  <c:v>0.85765720200196605</c:v>
                </c:pt>
                <c:pt idx="15">
                  <c:v>0.85765720200196605</c:v>
                </c:pt>
                <c:pt idx="16">
                  <c:v>0.85765720200196605</c:v>
                </c:pt>
                <c:pt idx="17">
                  <c:v>0.85765720200196605</c:v>
                </c:pt>
                <c:pt idx="18">
                  <c:v>0.85765720200196605</c:v>
                </c:pt>
                <c:pt idx="19">
                  <c:v>0.85765720200196605</c:v>
                </c:pt>
                <c:pt idx="20">
                  <c:v>0.85765720200196605</c:v>
                </c:pt>
                <c:pt idx="21">
                  <c:v>0.85765720200196605</c:v>
                </c:pt>
                <c:pt idx="22">
                  <c:v>0.85765720200196605</c:v>
                </c:pt>
                <c:pt idx="23">
                  <c:v>0.85765720200196605</c:v>
                </c:pt>
                <c:pt idx="24">
                  <c:v>0.85765720200196605</c:v>
                </c:pt>
                <c:pt idx="25">
                  <c:v>0.85765720200196605</c:v>
                </c:pt>
                <c:pt idx="26">
                  <c:v>0.85765720200196605</c:v>
                </c:pt>
                <c:pt idx="27">
                  <c:v>0.85765720200196605</c:v>
                </c:pt>
                <c:pt idx="28">
                  <c:v>0.85765720200196605</c:v>
                </c:pt>
                <c:pt idx="29">
                  <c:v>0.85765720200196605</c:v>
                </c:pt>
                <c:pt idx="30">
                  <c:v>0.85765720200196605</c:v>
                </c:pt>
                <c:pt idx="31">
                  <c:v>0.85765720200196605</c:v>
                </c:pt>
                <c:pt idx="32">
                  <c:v>0.85765720200196605</c:v>
                </c:pt>
                <c:pt idx="33">
                  <c:v>0.85765720200196605</c:v>
                </c:pt>
                <c:pt idx="34">
                  <c:v>0.85765720200196605</c:v>
                </c:pt>
                <c:pt idx="35">
                  <c:v>0.85765720200196605</c:v>
                </c:pt>
                <c:pt idx="36">
                  <c:v>0.85765720200196605</c:v>
                </c:pt>
                <c:pt idx="37">
                  <c:v>0.85765720200196605</c:v>
                </c:pt>
                <c:pt idx="38">
                  <c:v>0.85765720200196605</c:v>
                </c:pt>
                <c:pt idx="39">
                  <c:v>0.85765720200196605</c:v>
                </c:pt>
                <c:pt idx="40">
                  <c:v>0.85765720200196605</c:v>
                </c:pt>
                <c:pt idx="41">
                  <c:v>0.85765720200196605</c:v>
                </c:pt>
                <c:pt idx="42">
                  <c:v>0.85765720200196605</c:v>
                </c:pt>
                <c:pt idx="43">
                  <c:v>0.85765720200196605</c:v>
                </c:pt>
                <c:pt idx="44">
                  <c:v>0.85765720200196605</c:v>
                </c:pt>
                <c:pt idx="45">
                  <c:v>0.85765720200196605</c:v>
                </c:pt>
                <c:pt idx="46">
                  <c:v>0.85765720200196605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37-48C9-8DA4-666BD0CB3F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427912"/>
        <c:axId val="501432504"/>
      </c:scatterChart>
      <c:valAx>
        <c:axId val="501427912"/>
        <c:scaling>
          <c:orientation val="minMax"/>
          <c:max val="280"/>
          <c:min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it-IT" sz="12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K [$]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501432504"/>
        <c:crosses val="autoZero"/>
        <c:crossBetween val="midCat"/>
      </c:valAx>
      <c:valAx>
        <c:axId val="501432504"/>
        <c:scaling>
          <c:orientation val="minMax"/>
          <c:max val="1"/>
          <c:min val="0.5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l-GR" sz="12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σ</a:t>
                </a:r>
                <a:endParaRPr lang="it-IT" sz="1200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it-IT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501427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187388888888892"/>
          <c:y val="0.35489007487412749"/>
          <c:w val="0.15568222222222225"/>
          <c:h val="0.233027373304458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it-IT" sz="180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Volatility comparison, T ≈ 6 months</a:t>
            </a:r>
          </a:p>
        </c:rich>
      </c:tx>
      <c:layout>
        <c:manualLayout>
          <c:xMode val="edge"/>
          <c:yMode val="edge"/>
          <c:x val="0.1873448148148148"/>
          <c:y val="2.2457491177414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9.486E-2"/>
          <c:y val="0.1189926211100417"/>
          <c:w val="0.7491092592592592"/>
          <c:h val="0.75459317585301833"/>
        </c:manualLayout>
      </c:layout>
      <c:scatterChart>
        <c:scatterStyle val="lineMarker"/>
        <c:varyColors val="0"/>
        <c:ser>
          <c:idx val="0"/>
          <c:order val="0"/>
          <c:tx>
            <c:v>Implied volatility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3"/>
            <c:marker>
              <c:symbol val="triangle"/>
              <c:size val="8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8D30-42F6-BA35-3E3572D53BE7}"/>
              </c:ext>
            </c:extLst>
          </c:dPt>
          <c:dLbls>
            <c:dLbl>
              <c:idx val="13"/>
              <c:layout>
                <c:manualLayout>
                  <c:x val="-5.1423333333333335E-2"/>
                  <c:y val="-4.809919693628298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it-IT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30-42F6-BA35-3E3572D53B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'T=6m'!$C$2:$C$38</c:f>
              <c:numCache>
                <c:formatCode>General</c:formatCode>
                <c:ptCount val="37"/>
                <c:pt idx="0">
                  <c:v>25</c:v>
                </c:pt>
                <c:pt idx="1">
                  <c:v>30</c:v>
                </c:pt>
                <c:pt idx="2">
                  <c:v>35</c:v>
                </c:pt>
                <c:pt idx="3">
                  <c:v>40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  <c:pt idx="21">
                  <c:v>150</c:v>
                </c:pt>
                <c:pt idx="22">
                  <c:v>155</c:v>
                </c:pt>
                <c:pt idx="23">
                  <c:v>160</c:v>
                </c:pt>
                <c:pt idx="24">
                  <c:v>165</c:v>
                </c:pt>
                <c:pt idx="25">
                  <c:v>170</c:v>
                </c:pt>
                <c:pt idx="26">
                  <c:v>175</c:v>
                </c:pt>
                <c:pt idx="27">
                  <c:v>180</c:v>
                </c:pt>
                <c:pt idx="28">
                  <c:v>185</c:v>
                </c:pt>
                <c:pt idx="29">
                  <c:v>190</c:v>
                </c:pt>
                <c:pt idx="30">
                  <c:v>195</c:v>
                </c:pt>
                <c:pt idx="31">
                  <c:v>200</c:v>
                </c:pt>
                <c:pt idx="32">
                  <c:v>205</c:v>
                </c:pt>
                <c:pt idx="33">
                  <c:v>210</c:v>
                </c:pt>
                <c:pt idx="34">
                  <c:v>215</c:v>
                </c:pt>
                <c:pt idx="35">
                  <c:v>220</c:v>
                </c:pt>
                <c:pt idx="36">
                  <c:v>225</c:v>
                </c:pt>
              </c:numCache>
            </c:numRef>
          </c:xVal>
          <c:yVal>
            <c:numRef>
              <c:f>'T=6m'!$K$2:$K$38</c:f>
              <c:numCache>
                <c:formatCode>0.00000</c:formatCode>
                <c:ptCount val="37"/>
                <c:pt idx="0">
                  <c:v>1.3267</c:v>
                </c:pt>
                <c:pt idx="1">
                  <c:v>1.252</c:v>
                </c:pt>
                <c:pt idx="2">
                  <c:v>1.0981000000000001</c:v>
                </c:pt>
                <c:pt idx="3">
                  <c:v>1.0183</c:v>
                </c:pt>
                <c:pt idx="4">
                  <c:v>0.74109999999999998</c:v>
                </c:pt>
                <c:pt idx="5">
                  <c:v>0.70530000000000004</c:v>
                </c:pt>
                <c:pt idx="6">
                  <c:v>0.6774</c:v>
                </c:pt>
                <c:pt idx="7">
                  <c:v>0.6613</c:v>
                </c:pt>
                <c:pt idx="8">
                  <c:v>0.64359999999999995</c:v>
                </c:pt>
                <c:pt idx="9">
                  <c:v>0.61660000000000004</c:v>
                </c:pt>
                <c:pt idx="10">
                  <c:v>0.6069</c:v>
                </c:pt>
                <c:pt idx="11">
                  <c:v>0.59630000000000005</c:v>
                </c:pt>
                <c:pt idx="12">
                  <c:v>0.57410000000000005</c:v>
                </c:pt>
                <c:pt idx="13">
                  <c:v>0.57740000000000002</c:v>
                </c:pt>
                <c:pt idx="14">
                  <c:v>0.5645</c:v>
                </c:pt>
                <c:pt idx="15">
                  <c:v>0.56240000000000001</c:v>
                </c:pt>
                <c:pt idx="16">
                  <c:v>0.55289999999999995</c:v>
                </c:pt>
                <c:pt idx="17">
                  <c:v>0.54669999999999996</c:v>
                </c:pt>
                <c:pt idx="18">
                  <c:v>0.54800000000000004</c:v>
                </c:pt>
                <c:pt idx="19">
                  <c:v>0.54459999999999997</c:v>
                </c:pt>
                <c:pt idx="20">
                  <c:v>0.54</c:v>
                </c:pt>
                <c:pt idx="21">
                  <c:v>0.53769999999999996</c:v>
                </c:pt>
                <c:pt idx="22">
                  <c:v>0.53649999999999998</c:v>
                </c:pt>
                <c:pt idx="23">
                  <c:v>0.53349999999999997</c:v>
                </c:pt>
                <c:pt idx="24">
                  <c:v>0.53259999999999996</c:v>
                </c:pt>
                <c:pt idx="25">
                  <c:v>0.53280000000000005</c:v>
                </c:pt>
                <c:pt idx="26">
                  <c:v>0.53280000000000005</c:v>
                </c:pt>
                <c:pt idx="27">
                  <c:v>0.53090000000000004</c:v>
                </c:pt>
                <c:pt idx="28">
                  <c:v>0.53</c:v>
                </c:pt>
                <c:pt idx="29">
                  <c:v>0.53910000000000002</c:v>
                </c:pt>
                <c:pt idx="30">
                  <c:v>0.53459999999999996</c:v>
                </c:pt>
                <c:pt idx="31">
                  <c:v>0.53739999999999999</c:v>
                </c:pt>
                <c:pt idx="32">
                  <c:v>0.53520000000000001</c:v>
                </c:pt>
                <c:pt idx="33">
                  <c:v>0.53580000000000005</c:v>
                </c:pt>
                <c:pt idx="34">
                  <c:v>0.53779999999999994</c:v>
                </c:pt>
                <c:pt idx="35">
                  <c:v>0.53810000000000002</c:v>
                </c:pt>
                <c:pt idx="36">
                  <c:v>0.54520000000000002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D30-42F6-BA35-3E3572D53BE7}"/>
            </c:ext>
          </c:extLst>
        </c:ser>
        <c:ser>
          <c:idx val="1"/>
          <c:order val="1"/>
          <c:tx>
            <c:v>Historical volatility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34"/>
              <c:layout>
                <c:manualLayout>
                  <c:x val="-0.11377092592592601"/>
                  <c:y val="-5.87825463106813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F0E-44A4-8E66-5BF9DCE294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'T=6m'!$C$2:$C$38</c:f>
              <c:numCache>
                <c:formatCode>General</c:formatCode>
                <c:ptCount val="37"/>
                <c:pt idx="0">
                  <c:v>25</c:v>
                </c:pt>
                <c:pt idx="1">
                  <c:v>30</c:v>
                </c:pt>
                <c:pt idx="2">
                  <c:v>35</c:v>
                </c:pt>
                <c:pt idx="3">
                  <c:v>40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  <c:pt idx="21">
                  <c:v>150</c:v>
                </c:pt>
                <c:pt idx="22">
                  <c:v>155</c:v>
                </c:pt>
                <c:pt idx="23">
                  <c:v>160</c:v>
                </c:pt>
                <c:pt idx="24">
                  <c:v>165</c:v>
                </c:pt>
                <c:pt idx="25">
                  <c:v>170</c:v>
                </c:pt>
                <c:pt idx="26">
                  <c:v>175</c:v>
                </c:pt>
                <c:pt idx="27">
                  <c:v>180</c:v>
                </c:pt>
                <c:pt idx="28">
                  <c:v>185</c:v>
                </c:pt>
                <c:pt idx="29">
                  <c:v>190</c:v>
                </c:pt>
                <c:pt idx="30">
                  <c:v>195</c:v>
                </c:pt>
                <c:pt idx="31">
                  <c:v>200</c:v>
                </c:pt>
                <c:pt idx="32">
                  <c:v>205</c:v>
                </c:pt>
                <c:pt idx="33">
                  <c:v>210</c:v>
                </c:pt>
                <c:pt idx="34">
                  <c:v>215</c:v>
                </c:pt>
                <c:pt idx="35">
                  <c:v>220</c:v>
                </c:pt>
                <c:pt idx="36">
                  <c:v>225</c:v>
                </c:pt>
              </c:numCache>
            </c:numRef>
          </c:xVal>
          <c:yVal>
            <c:numRef>
              <c:f>'T=6m'!$R$2:$R$38</c:f>
              <c:numCache>
                <c:formatCode>General</c:formatCode>
                <c:ptCount val="37"/>
                <c:pt idx="0">
                  <c:v>0.72895911322480611</c:v>
                </c:pt>
                <c:pt idx="1">
                  <c:v>0.72895911322480611</c:v>
                </c:pt>
                <c:pt idx="2">
                  <c:v>0.72895911322480611</c:v>
                </c:pt>
                <c:pt idx="3">
                  <c:v>0.72895911322480611</c:v>
                </c:pt>
                <c:pt idx="4">
                  <c:v>0.72895911322480611</c:v>
                </c:pt>
                <c:pt idx="5">
                  <c:v>0.72895911322480611</c:v>
                </c:pt>
                <c:pt idx="6">
                  <c:v>0.72895911322480611</c:v>
                </c:pt>
                <c:pt idx="7">
                  <c:v>0.72895911322480611</c:v>
                </c:pt>
                <c:pt idx="8">
                  <c:v>0.72895911322480611</c:v>
                </c:pt>
                <c:pt idx="9">
                  <c:v>0.72895911322480611</c:v>
                </c:pt>
                <c:pt idx="10">
                  <c:v>0.72895911322480611</c:v>
                </c:pt>
                <c:pt idx="11">
                  <c:v>0.72895911322480611</c:v>
                </c:pt>
                <c:pt idx="12">
                  <c:v>0.72895911322480611</c:v>
                </c:pt>
                <c:pt idx="13">
                  <c:v>0.72895911322480611</c:v>
                </c:pt>
                <c:pt idx="14">
                  <c:v>0.72895911322480611</c:v>
                </c:pt>
                <c:pt idx="15">
                  <c:v>0.72895911322480611</c:v>
                </c:pt>
                <c:pt idx="16">
                  <c:v>0.72895911322480611</c:v>
                </c:pt>
                <c:pt idx="17">
                  <c:v>0.72895911322480611</c:v>
                </c:pt>
                <c:pt idx="18">
                  <c:v>0.72895911322480611</c:v>
                </c:pt>
                <c:pt idx="19">
                  <c:v>0.72895911322480611</c:v>
                </c:pt>
                <c:pt idx="20">
                  <c:v>0.72895911322480611</c:v>
                </c:pt>
                <c:pt idx="21">
                  <c:v>0.72895911322480611</c:v>
                </c:pt>
                <c:pt idx="22">
                  <c:v>0.72895911322480611</c:v>
                </c:pt>
                <c:pt idx="23">
                  <c:v>0.72895911322480611</c:v>
                </c:pt>
                <c:pt idx="24">
                  <c:v>0.72895911322480611</c:v>
                </c:pt>
                <c:pt idx="25">
                  <c:v>0.72895911322480611</c:v>
                </c:pt>
                <c:pt idx="26">
                  <c:v>0.72895911322480611</c:v>
                </c:pt>
                <c:pt idx="27">
                  <c:v>0.72895911322480611</c:v>
                </c:pt>
                <c:pt idx="28">
                  <c:v>0.72895911322480611</c:v>
                </c:pt>
                <c:pt idx="29">
                  <c:v>0.72895911322480611</c:v>
                </c:pt>
                <c:pt idx="30">
                  <c:v>0.72895911322480611</c:v>
                </c:pt>
                <c:pt idx="31">
                  <c:v>0.72895911322480611</c:v>
                </c:pt>
                <c:pt idx="32">
                  <c:v>0.72895911322480611</c:v>
                </c:pt>
                <c:pt idx="33">
                  <c:v>0.72895911322480611</c:v>
                </c:pt>
                <c:pt idx="34">
                  <c:v>0.72895911322480611</c:v>
                </c:pt>
                <c:pt idx="35">
                  <c:v>0.72895911322480611</c:v>
                </c:pt>
                <c:pt idx="36">
                  <c:v>0.72895911322480611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D30-42F6-BA35-3E3572D53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503424"/>
        <c:axId val="574499160"/>
      </c:scatterChart>
      <c:valAx>
        <c:axId val="574503424"/>
        <c:scaling>
          <c:orientation val="minMax"/>
          <c:max val="235"/>
          <c:min val="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it-IT" sz="12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K [$]</a:t>
                </a:r>
              </a:p>
            </c:rich>
          </c:tx>
          <c:layout>
            <c:manualLayout>
              <c:xMode val="edge"/>
              <c:yMode val="edge"/>
              <c:x val="0.43924611111111111"/>
              <c:y val="0.93196971648996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574499160"/>
        <c:crosses val="autoZero"/>
        <c:crossBetween val="midCat"/>
      </c:valAx>
      <c:valAx>
        <c:axId val="574499160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2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σ</a:t>
                </a:r>
                <a:endParaRPr lang="it-IT" sz="12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7.2672222222222218E-3"/>
              <c:y val="0.467976729087882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574503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555666666666661"/>
          <c:y val="0.3754245829954605"/>
          <c:w val="0.16234703703703701"/>
          <c:h val="0.249439320566161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it-IT" sz="180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Volatility comparison, T ≈ 9 months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9.3823972879485185E-2"/>
          <c:y val="0.11763399936568347"/>
          <c:w val="0.74655370370370366"/>
          <c:h val="0.77970277777777774"/>
        </c:manualLayout>
      </c:layout>
      <c:scatterChart>
        <c:scatterStyle val="lineMarker"/>
        <c:varyColors val="0"/>
        <c:ser>
          <c:idx val="0"/>
          <c:order val="0"/>
          <c:tx>
            <c:v>Implied volatility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8"/>
            <c:marker>
              <c:symbol val="triangle"/>
              <c:size val="8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A5A-4DB6-A79F-C0A4376BCF45}"/>
              </c:ext>
            </c:extLst>
          </c:dPt>
          <c:dLbls>
            <c:dLbl>
              <c:idx val="18"/>
              <c:layout>
                <c:manualLayout>
                  <c:x val="-0.11295370370370371"/>
                  <c:y val="6.677929292929292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it-IT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5A-4DB6-A79F-C0A4376BCF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'T=9m'!$C$2:$C$73</c:f>
              <c:numCache>
                <c:formatCode>General</c:formatCode>
                <c:ptCount val="72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85</c:v>
                </c:pt>
                <c:pt idx="14">
                  <c:v>90</c:v>
                </c:pt>
                <c:pt idx="15">
                  <c:v>95</c:v>
                </c:pt>
                <c:pt idx="16">
                  <c:v>100</c:v>
                </c:pt>
                <c:pt idx="17">
                  <c:v>105</c:v>
                </c:pt>
                <c:pt idx="18">
                  <c:v>110</c:v>
                </c:pt>
                <c:pt idx="19">
                  <c:v>115</c:v>
                </c:pt>
                <c:pt idx="20">
                  <c:v>120</c:v>
                </c:pt>
                <c:pt idx="21">
                  <c:v>125</c:v>
                </c:pt>
                <c:pt idx="22">
                  <c:v>130</c:v>
                </c:pt>
                <c:pt idx="23">
                  <c:v>135</c:v>
                </c:pt>
                <c:pt idx="24">
                  <c:v>140</c:v>
                </c:pt>
                <c:pt idx="25">
                  <c:v>145</c:v>
                </c:pt>
                <c:pt idx="26">
                  <c:v>150</c:v>
                </c:pt>
                <c:pt idx="27">
                  <c:v>155</c:v>
                </c:pt>
                <c:pt idx="28">
                  <c:v>160</c:v>
                </c:pt>
                <c:pt idx="29">
                  <c:v>165</c:v>
                </c:pt>
                <c:pt idx="30">
                  <c:v>170</c:v>
                </c:pt>
                <c:pt idx="31">
                  <c:v>175</c:v>
                </c:pt>
                <c:pt idx="32">
                  <c:v>180</c:v>
                </c:pt>
                <c:pt idx="33">
                  <c:v>185</c:v>
                </c:pt>
                <c:pt idx="34">
                  <c:v>190</c:v>
                </c:pt>
                <c:pt idx="35">
                  <c:v>195</c:v>
                </c:pt>
                <c:pt idx="36">
                  <c:v>200</c:v>
                </c:pt>
                <c:pt idx="37">
                  <c:v>210</c:v>
                </c:pt>
                <c:pt idx="38">
                  <c:v>220</c:v>
                </c:pt>
                <c:pt idx="39">
                  <c:v>230</c:v>
                </c:pt>
                <c:pt idx="40">
                  <c:v>235</c:v>
                </c:pt>
                <c:pt idx="41">
                  <c:v>240</c:v>
                </c:pt>
                <c:pt idx="42">
                  <c:v>245</c:v>
                </c:pt>
                <c:pt idx="43">
                  <c:v>250</c:v>
                </c:pt>
                <c:pt idx="44">
                  <c:v>255</c:v>
                </c:pt>
                <c:pt idx="45">
                  <c:v>260</c:v>
                </c:pt>
                <c:pt idx="46">
                  <c:v>265</c:v>
                </c:pt>
                <c:pt idx="47">
                  <c:v>270</c:v>
                </c:pt>
                <c:pt idx="48">
                  <c:v>275</c:v>
                </c:pt>
                <c:pt idx="49">
                  <c:v>280</c:v>
                </c:pt>
                <c:pt idx="50">
                  <c:v>285</c:v>
                </c:pt>
                <c:pt idx="51">
                  <c:v>290</c:v>
                </c:pt>
                <c:pt idx="52">
                  <c:v>295</c:v>
                </c:pt>
                <c:pt idx="53">
                  <c:v>300</c:v>
                </c:pt>
                <c:pt idx="54">
                  <c:v>305</c:v>
                </c:pt>
                <c:pt idx="55">
                  <c:v>310</c:v>
                </c:pt>
                <c:pt idx="56">
                  <c:v>315</c:v>
                </c:pt>
                <c:pt idx="57">
                  <c:v>320</c:v>
                </c:pt>
                <c:pt idx="58">
                  <c:v>330</c:v>
                </c:pt>
                <c:pt idx="59">
                  <c:v>340</c:v>
                </c:pt>
                <c:pt idx="60">
                  <c:v>350</c:v>
                </c:pt>
                <c:pt idx="61">
                  <c:v>360</c:v>
                </c:pt>
                <c:pt idx="62">
                  <c:v>370</c:v>
                </c:pt>
                <c:pt idx="63">
                  <c:v>380</c:v>
                </c:pt>
                <c:pt idx="64">
                  <c:v>390</c:v>
                </c:pt>
                <c:pt idx="65">
                  <c:v>400</c:v>
                </c:pt>
                <c:pt idx="66">
                  <c:v>410</c:v>
                </c:pt>
                <c:pt idx="67">
                  <c:v>420</c:v>
                </c:pt>
                <c:pt idx="68">
                  <c:v>430</c:v>
                </c:pt>
                <c:pt idx="69">
                  <c:v>440</c:v>
                </c:pt>
                <c:pt idx="70">
                  <c:v>450</c:v>
                </c:pt>
                <c:pt idx="71">
                  <c:v>460</c:v>
                </c:pt>
              </c:numCache>
            </c:numRef>
          </c:xVal>
          <c:yVal>
            <c:numRef>
              <c:f>'T=9m'!$K$2:$K$73</c:f>
              <c:numCache>
                <c:formatCode>0.00000</c:formatCode>
                <c:ptCount val="72"/>
                <c:pt idx="0">
                  <c:v>1.2870999999999999</c:v>
                </c:pt>
                <c:pt idx="1">
                  <c:v>1.0645</c:v>
                </c:pt>
                <c:pt idx="2">
                  <c:v>1.0081</c:v>
                </c:pt>
                <c:pt idx="3">
                  <c:v>0.94140000000000001</c:v>
                </c:pt>
                <c:pt idx="4">
                  <c:v>0.84719999999999995</c:v>
                </c:pt>
                <c:pt idx="5">
                  <c:v>0.79969999999999997</c:v>
                </c:pt>
                <c:pt idx="6">
                  <c:v>0.77310000000000001</c:v>
                </c:pt>
                <c:pt idx="7">
                  <c:v>0.74450000000000005</c:v>
                </c:pt>
                <c:pt idx="8">
                  <c:v>0.69930000000000003</c:v>
                </c:pt>
                <c:pt idx="9">
                  <c:v>0.68559999999999999</c:v>
                </c:pt>
                <c:pt idx="10">
                  <c:v>0.65659999999999996</c:v>
                </c:pt>
                <c:pt idx="11">
                  <c:v>0.63380000000000003</c:v>
                </c:pt>
                <c:pt idx="12">
                  <c:v>0.61350000000000005</c:v>
                </c:pt>
                <c:pt idx="13">
                  <c:v>0.61260000000000003</c:v>
                </c:pt>
                <c:pt idx="14">
                  <c:v>0.59419999999999995</c:v>
                </c:pt>
                <c:pt idx="15">
                  <c:v>0.57769999999999999</c:v>
                </c:pt>
                <c:pt idx="16">
                  <c:v>0.56840000000000002</c:v>
                </c:pt>
                <c:pt idx="17">
                  <c:v>0.56459999999999999</c:v>
                </c:pt>
                <c:pt idx="18">
                  <c:v>0.55879999999999996</c:v>
                </c:pt>
                <c:pt idx="19">
                  <c:v>0.54990000000000006</c:v>
                </c:pt>
                <c:pt idx="20">
                  <c:v>0.54410000000000003</c:v>
                </c:pt>
                <c:pt idx="21">
                  <c:v>0.54020000000000001</c:v>
                </c:pt>
                <c:pt idx="22">
                  <c:v>0.53590000000000004</c:v>
                </c:pt>
                <c:pt idx="23">
                  <c:v>0.53120000000000001</c:v>
                </c:pt>
                <c:pt idx="24">
                  <c:v>0.5272</c:v>
                </c:pt>
                <c:pt idx="25">
                  <c:v>0.5242</c:v>
                </c:pt>
                <c:pt idx="26">
                  <c:v>0.52100000000000002</c:v>
                </c:pt>
                <c:pt idx="27">
                  <c:v>0.51939999999999997</c:v>
                </c:pt>
                <c:pt idx="28">
                  <c:v>0.51739999999999997</c:v>
                </c:pt>
                <c:pt idx="29">
                  <c:v>0.51529999999999998</c:v>
                </c:pt>
                <c:pt idx="30">
                  <c:v>0.50960000000000005</c:v>
                </c:pt>
                <c:pt idx="31">
                  <c:v>0.51259999999999994</c:v>
                </c:pt>
                <c:pt idx="32">
                  <c:v>0.51170000000000004</c:v>
                </c:pt>
                <c:pt idx="33">
                  <c:v>0.51180000000000003</c:v>
                </c:pt>
                <c:pt idx="34">
                  <c:v>0.51229999999999998</c:v>
                </c:pt>
                <c:pt idx="35">
                  <c:v>0.51180000000000003</c:v>
                </c:pt>
                <c:pt idx="36">
                  <c:v>0.51229999999999998</c:v>
                </c:pt>
                <c:pt idx="37">
                  <c:v>0.51290000000000002</c:v>
                </c:pt>
                <c:pt idx="38">
                  <c:v>0.51539999999999997</c:v>
                </c:pt>
                <c:pt idx="39">
                  <c:v>0.51839999999999997</c:v>
                </c:pt>
                <c:pt idx="40">
                  <c:v>0.51949999999999996</c:v>
                </c:pt>
                <c:pt idx="41">
                  <c:v>0.52100000000000002</c:v>
                </c:pt>
                <c:pt idx="42">
                  <c:v>0.52270000000000005</c:v>
                </c:pt>
                <c:pt idx="43">
                  <c:v>0.52500000000000002</c:v>
                </c:pt>
                <c:pt idx="44">
                  <c:v>0.52659999999999996</c:v>
                </c:pt>
                <c:pt idx="45">
                  <c:v>0.52839999999999998</c:v>
                </c:pt>
                <c:pt idx="46">
                  <c:v>0.53169999999999995</c:v>
                </c:pt>
                <c:pt idx="47">
                  <c:v>0.53220000000000001</c:v>
                </c:pt>
                <c:pt idx="48">
                  <c:v>0.53439999999999999</c:v>
                </c:pt>
                <c:pt idx="49">
                  <c:v>0.54349999999999998</c:v>
                </c:pt>
                <c:pt idx="50">
                  <c:v>0.53779999999999994</c:v>
                </c:pt>
                <c:pt idx="51">
                  <c:v>0.53959999999999997</c:v>
                </c:pt>
                <c:pt idx="52">
                  <c:v>0.55520000000000003</c:v>
                </c:pt>
                <c:pt idx="53">
                  <c:v>0.54810000000000003</c:v>
                </c:pt>
                <c:pt idx="54">
                  <c:v>0.55959999999999999</c:v>
                </c:pt>
                <c:pt idx="55">
                  <c:v>0.55620000000000003</c:v>
                </c:pt>
                <c:pt idx="56">
                  <c:v>0.55269999999999997</c:v>
                </c:pt>
                <c:pt idx="57">
                  <c:v>0.5635</c:v>
                </c:pt>
                <c:pt idx="58">
                  <c:v>0.57150000000000001</c:v>
                </c:pt>
                <c:pt idx="59">
                  <c:v>0.57720000000000005</c:v>
                </c:pt>
                <c:pt idx="60">
                  <c:v>0.58740000000000003</c:v>
                </c:pt>
                <c:pt idx="61">
                  <c:v>0.57179999999999997</c:v>
                </c:pt>
                <c:pt idx="62">
                  <c:v>0.58109999999999995</c:v>
                </c:pt>
                <c:pt idx="63">
                  <c:v>0.58589999999999998</c:v>
                </c:pt>
                <c:pt idx="64">
                  <c:v>0.59130000000000005</c:v>
                </c:pt>
                <c:pt idx="65">
                  <c:v>0.59770000000000001</c:v>
                </c:pt>
                <c:pt idx="66">
                  <c:v>0.60499999999999998</c:v>
                </c:pt>
                <c:pt idx="67">
                  <c:v>0.60740000000000005</c:v>
                </c:pt>
                <c:pt idx="68">
                  <c:v>0.60350000000000004</c:v>
                </c:pt>
                <c:pt idx="69">
                  <c:v>0.61719999999999997</c:v>
                </c:pt>
                <c:pt idx="70">
                  <c:v>0.63229999999999997</c:v>
                </c:pt>
                <c:pt idx="71">
                  <c:v>0.62890000000000001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5A-4DB6-A79F-C0A4376BCF45}"/>
            </c:ext>
          </c:extLst>
        </c:ser>
        <c:ser>
          <c:idx val="1"/>
          <c:order val="1"/>
          <c:tx>
            <c:v>Historical voatility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67"/>
              <c:layout>
                <c:manualLayout>
                  <c:x val="-9.7307962962962957E-2"/>
                  <c:y val="-4.914040404040415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D48-4CAA-B2FB-A748D01F28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'T=9m'!$C$2:$C$73</c:f>
              <c:numCache>
                <c:formatCode>General</c:formatCode>
                <c:ptCount val="72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  <c:pt idx="13">
                  <c:v>85</c:v>
                </c:pt>
                <c:pt idx="14">
                  <c:v>90</c:v>
                </c:pt>
                <c:pt idx="15">
                  <c:v>95</c:v>
                </c:pt>
                <c:pt idx="16">
                  <c:v>100</c:v>
                </c:pt>
                <c:pt idx="17">
                  <c:v>105</c:v>
                </c:pt>
                <c:pt idx="18">
                  <c:v>110</c:v>
                </c:pt>
                <c:pt idx="19">
                  <c:v>115</c:v>
                </c:pt>
                <c:pt idx="20">
                  <c:v>120</c:v>
                </c:pt>
                <c:pt idx="21">
                  <c:v>125</c:v>
                </c:pt>
                <c:pt idx="22">
                  <c:v>130</c:v>
                </c:pt>
                <c:pt idx="23">
                  <c:v>135</c:v>
                </c:pt>
                <c:pt idx="24">
                  <c:v>140</c:v>
                </c:pt>
                <c:pt idx="25">
                  <c:v>145</c:v>
                </c:pt>
                <c:pt idx="26">
                  <c:v>150</c:v>
                </c:pt>
                <c:pt idx="27">
                  <c:v>155</c:v>
                </c:pt>
                <c:pt idx="28">
                  <c:v>160</c:v>
                </c:pt>
                <c:pt idx="29">
                  <c:v>165</c:v>
                </c:pt>
                <c:pt idx="30">
                  <c:v>170</c:v>
                </c:pt>
                <c:pt idx="31">
                  <c:v>175</c:v>
                </c:pt>
                <c:pt idx="32">
                  <c:v>180</c:v>
                </c:pt>
                <c:pt idx="33">
                  <c:v>185</c:v>
                </c:pt>
                <c:pt idx="34">
                  <c:v>190</c:v>
                </c:pt>
                <c:pt idx="35">
                  <c:v>195</c:v>
                </c:pt>
                <c:pt idx="36">
                  <c:v>200</c:v>
                </c:pt>
                <c:pt idx="37">
                  <c:v>210</c:v>
                </c:pt>
                <c:pt idx="38">
                  <c:v>220</c:v>
                </c:pt>
                <c:pt idx="39">
                  <c:v>230</c:v>
                </c:pt>
                <c:pt idx="40">
                  <c:v>235</c:v>
                </c:pt>
                <c:pt idx="41">
                  <c:v>240</c:v>
                </c:pt>
                <c:pt idx="42">
                  <c:v>245</c:v>
                </c:pt>
                <c:pt idx="43">
                  <c:v>250</c:v>
                </c:pt>
                <c:pt idx="44">
                  <c:v>255</c:v>
                </c:pt>
                <c:pt idx="45">
                  <c:v>260</c:v>
                </c:pt>
                <c:pt idx="46">
                  <c:v>265</c:v>
                </c:pt>
                <c:pt idx="47">
                  <c:v>270</c:v>
                </c:pt>
                <c:pt idx="48">
                  <c:v>275</c:v>
                </c:pt>
                <c:pt idx="49">
                  <c:v>280</c:v>
                </c:pt>
                <c:pt idx="50">
                  <c:v>285</c:v>
                </c:pt>
                <c:pt idx="51">
                  <c:v>290</c:v>
                </c:pt>
                <c:pt idx="52">
                  <c:v>295</c:v>
                </c:pt>
                <c:pt idx="53">
                  <c:v>300</c:v>
                </c:pt>
                <c:pt idx="54">
                  <c:v>305</c:v>
                </c:pt>
                <c:pt idx="55">
                  <c:v>310</c:v>
                </c:pt>
                <c:pt idx="56">
                  <c:v>315</c:v>
                </c:pt>
                <c:pt idx="57">
                  <c:v>320</c:v>
                </c:pt>
                <c:pt idx="58">
                  <c:v>330</c:v>
                </c:pt>
                <c:pt idx="59">
                  <c:v>340</c:v>
                </c:pt>
                <c:pt idx="60">
                  <c:v>350</c:v>
                </c:pt>
                <c:pt idx="61">
                  <c:v>360</c:v>
                </c:pt>
                <c:pt idx="62">
                  <c:v>370</c:v>
                </c:pt>
                <c:pt idx="63">
                  <c:v>380</c:v>
                </c:pt>
                <c:pt idx="64">
                  <c:v>390</c:v>
                </c:pt>
                <c:pt idx="65">
                  <c:v>400</c:v>
                </c:pt>
                <c:pt idx="66">
                  <c:v>410</c:v>
                </c:pt>
                <c:pt idx="67">
                  <c:v>420</c:v>
                </c:pt>
                <c:pt idx="68">
                  <c:v>430</c:v>
                </c:pt>
                <c:pt idx="69">
                  <c:v>440</c:v>
                </c:pt>
                <c:pt idx="70">
                  <c:v>450</c:v>
                </c:pt>
                <c:pt idx="71">
                  <c:v>460</c:v>
                </c:pt>
              </c:numCache>
            </c:numRef>
          </c:xVal>
          <c:yVal>
            <c:numRef>
              <c:f>'T=9m'!$R$2:$R$73</c:f>
              <c:numCache>
                <c:formatCode>General</c:formatCode>
                <c:ptCount val="72"/>
                <c:pt idx="0">
                  <c:v>0.64173626793301475</c:v>
                </c:pt>
                <c:pt idx="1">
                  <c:v>0.64173626793301475</c:v>
                </c:pt>
                <c:pt idx="2">
                  <c:v>0.64173626793301475</c:v>
                </c:pt>
                <c:pt idx="3">
                  <c:v>0.64173626793301475</c:v>
                </c:pt>
                <c:pt idx="4">
                  <c:v>0.64173626793301475</c:v>
                </c:pt>
                <c:pt idx="5">
                  <c:v>0.64173626793301475</c:v>
                </c:pt>
                <c:pt idx="6">
                  <c:v>0.64173626793301475</c:v>
                </c:pt>
                <c:pt idx="7">
                  <c:v>0.64173626793301475</c:v>
                </c:pt>
                <c:pt idx="8">
                  <c:v>0.64173626793301475</c:v>
                </c:pt>
                <c:pt idx="9">
                  <c:v>0.64173626793301475</c:v>
                </c:pt>
                <c:pt idx="10">
                  <c:v>0.64173626793301475</c:v>
                </c:pt>
                <c:pt idx="11">
                  <c:v>0.64173626793301475</c:v>
                </c:pt>
                <c:pt idx="12">
                  <c:v>0.64173626793301475</c:v>
                </c:pt>
                <c:pt idx="13">
                  <c:v>0.64173626793301475</c:v>
                </c:pt>
                <c:pt idx="14">
                  <c:v>0.64173626793301475</c:v>
                </c:pt>
                <c:pt idx="15">
                  <c:v>0.64173626793301475</c:v>
                </c:pt>
                <c:pt idx="16">
                  <c:v>0.64173626793301475</c:v>
                </c:pt>
                <c:pt idx="17">
                  <c:v>0.64173626793301475</c:v>
                </c:pt>
                <c:pt idx="18">
                  <c:v>0.64173626793301475</c:v>
                </c:pt>
                <c:pt idx="19">
                  <c:v>0.64173626793301475</c:v>
                </c:pt>
                <c:pt idx="20">
                  <c:v>0.64173626793301475</c:v>
                </c:pt>
                <c:pt idx="21">
                  <c:v>0.64173626793301475</c:v>
                </c:pt>
                <c:pt idx="22">
                  <c:v>0.64173626793301475</c:v>
                </c:pt>
                <c:pt idx="23">
                  <c:v>0.64173626793301475</c:v>
                </c:pt>
                <c:pt idx="24">
                  <c:v>0.64173626793301475</c:v>
                </c:pt>
                <c:pt idx="25">
                  <c:v>0.64173626793301475</c:v>
                </c:pt>
                <c:pt idx="26">
                  <c:v>0.64173626793301475</c:v>
                </c:pt>
                <c:pt idx="27">
                  <c:v>0.64173626793301475</c:v>
                </c:pt>
                <c:pt idx="28">
                  <c:v>0.64173626793301475</c:v>
                </c:pt>
                <c:pt idx="29">
                  <c:v>0.64173626793301475</c:v>
                </c:pt>
                <c:pt idx="30">
                  <c:v>0.64173626793301475</c:v>
                </c:pt>
                <c:pt idx="31">
                  <c:v>0.64173626793301475</c:v>
                </c:pt>
                <c:pt idx="32">
                  <c:v>0.64173626793301475</c:v>
                </c:pt>
                <c:pt idx="33">
                  <c:v>0.64173626793301475</c:v>
                </c:pt>
                <c:pt idx="34">
                  <c:v>0.64173626793301475</c:v>
                </c:pt>
                <c:pt idx="35">
                  <c:v>0.64173626793301475</c:v>
                </c:pt>
                <c:pt idx="36">
                  <c:v>0.64173626793301475</c:v>
                </c:pt>
                <c:pt idx="37">
                  <c:v>0.64173626793301475</c:v>
                </c:pt>
                <c:pt idx="38">
                  <c:v>0.64173626793301475</c:v>
                </c:pt>
                <c:pt idx="39">
                  <c:v>0.64173626793301475</c:v>
                </c:pt>
                <c:pt idx="40">
                  <c:v>0.64173626793301475</c:v>
                </c:pt>
                <c:pt idx="41">
                  <c:v>0.64173626793301475</c:v>
                </c:pt>
                <c:pt idx="42">
                  <c:v>0.64173626793301475</c:v>
                </c:pt>
                <c:pt idx="43">
                  <c:v>0.64173626793301475</c:v>
                </c:pt>
                <c:pt idx="44">
                  <c:v>0.64173626793301475</c:v>
                </c:pt>
                <c:pt idx="45">
                  <c:v>0.64173626793301475</c:v>
                </c:pt>
                <c:pt idx="46">
                  <c:v>0.64173626793301475</c:v>
                </c:pt>
                <c:pt idx="47">
                  <c:v>0.64173626793301475</c:v>
                </c:pt>
                <c:pt idx="48">
                  <c:v>0.64173626793301475</c:v>
                </c:pt>
                <c:pt idx="49">
                  <c:v>0.64173626793301475</c:v>
                </c:pt>
                <c:pt idx="50">
                  <c:v>0.64173626793301475</c:v>
                </c:pt>
                <c:pt idx="51">
                  <c:v>0.64173626793301475</c:v>
                </c:pt>
                <c:pt idx="52">
                  <c:v>0.64173626793301475</c:v>
                </c:pt>
                <c:pt idx="53">
                  <c:v>0.64173626793301475</c:v>
                </c:pt>
                <c:pt idx="54">
                  <c:v>0.64173626793301475</c:v>
                </c:pt>
                <c:pt idx="55">
                  <c:v>0.64173626793301475</c:v>
                </c:pt>
                <c:pt idx="56">
                  <c:v>0.64173626793301475</c:v>
                </c:pt>
                <c:pt idx="57">
                  <c:v>0.64173626793301475</c:v>
                </c:pt>
                <c:pt idx="58">
                  <c:v>0.64173626793301475</c:v>
                </c:pt>
                <c:pt idx="59">
                  <c:v>0.64173626793301475</c:v>
                </c:pt>
                <c:pt idx="60">
                  <c:v>0.64173626793301475</c:v>
                </c:pt>
                <c:pt idx="61">
                  <c:v>0.64173626793301475</c:v>
                </c:pt>
                <c:pt idx="62">
                  <c:v>0.64173626793301475</c:v>
                </c:pt>
                <c:pt idx="63">
                  <c:v>0.64173626793301475</c:v>
                </c:pt>
                <c:pt idx="64">
                  <c:v>0.64173626793301475</c:v>
                </c:pt>
                <c:pt idx="65">
                  <c:v>0.64173626793301475</c:v>
                </c:pt>
                <c:pt idx="66">
                  <c:v>0.64173626793301475</c:v>
                </c:pt>
                <c:pt idx="67">
                  <c:v>0.64173626793301475</c:v>
                </c:pt>
                <c:pt idx="68">
                  <c:v>0.64173626793301475</c:v>
                </c:pt>
                <c:pt idx="69">
                  <c:v>0.64173626793301475</c:v>
                </c:pt>
                <c:pt idx="70">
                  <c:v>0.64173626793301475</c:v>
                </c:pt>
                <c:pt idx="71">
                  <c:v>0.64173626793301475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5A-4DB6-A79F-C0A4376BC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1426928"/>
        <c:axId val="517898360"/>
      </c:scatterChart>
      <c:valAx>
        <c:axId val="501426928"/>
        <c:scaling>
          <c:orientation val="minMax"/>
          <c:max val="470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it-IT" sz="12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K [$]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517898360"/>
        <c:crosses val="autoZero"/>
        <c:crossBetween val="midCat"/>
      </c:valAx>
      <c:valAx>
        <c:axId val="517898360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2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σ</a:t>
                </a:r>
                <a:endParaRPr lang="it-IT" sz="12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9.8770116188542766E-3"/>
              <c:y val="0.468342361105908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501426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0438888888887"/>
          <c:y val="0.33561637335770705"/>
          <c:w val="0.1578701851851852"/>
          <c:h val="0.205360723820083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it-IT" sz="180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Volatility comparison, T ≈ 1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9.9838518518518521E-2"/>
          <c:y val="0.11785833333333333"/>
          <c:w val="0.74462388888888875"/>
          <c:h val="0.78867954545454544"/>
        </c:manualLayout>
      </c:layout>
      <c:scatterChart>
        <c:scatterStyle val="lineMarker"/>
        <c:varyColors val="0"/>
        <c:ser>
          <c:idx val="0"/>
          <c:order val="0"/>
          <c:tx>
            <c:v>Implied volatility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3"/>
            <c:marker>
              <c:symbol val="triangle"/>
              <c:size val="8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94E0-41E5-83F7-9AAC0F749E37}"/>
              </c:ext>
            </c:extLst>
          </c:dPt>
          <c:dLbls>
            <c:dLbl>
              <c:idx val="13"/>
              <c:layout>
                <c:manualLayout>
                  <c:x val="-0.12433074074074078"/>
                  <c:y val="6.091035353535353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it-IT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E0-41E5-83F7-9AAC0F749E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'T=1y'!$C$2:$C$42</c:f>
              <c:numCache>
                <c:formatCode>General</c:formatCode>
                <c:ptCount val="41"/>
                <c:pt idx="0">
                  <c:v>40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  <c:pt idx="21">
                  <c:v>150</c:v>
                </c:pt>
                <c:pt idx="22">
                  <c:v>155</c:v>
                </c:pt>
                <c:pt idx="23">
                  <c:v>160</c:v>
                </c:pt>
                <c:pt idx="24">
                  <c:v>165</c:v>
                </c:pt>
                <c:pt idx="25">
                  <c:v>170</c:v>
                </c:pt>
                <c:pt idx="26">
                  <c:v>175</c:v>
                </c:pt>
                <c:pt idx="27">
                  <c:v>180</c:v>
                </c:pt>
                <c:pt idx="28">
                  <c:v>185</c:v>
                </c:pt>
                <c:pt idx="29">
                  <c:v>190</c:v>
                </c:pt>
                <c:pt idx="30">
                  <c:v>195</c:v>
                </c:pt>
                <c:pt idx="31">
                  <c:v>200</c:v>
                </c:pt>
                <c:pt idx="32">
                  <c:v>205</c:v>
                </c:pt>
                <c:pt idx="33">
                  <c:v>210</c:v>
                </c:pt>
                <c:pt idx="34">
                  <c:v>215</c:v>
                </c:pt>
                <c:pt idx="35">
                  <c:v>220</c:v>
                </c:pt>
                <c:pt idx="36">
                  <c:v>225</c:v>
                </c:pt>
                <c:pt idx="37">
                  <c:v>230</c:v>
                </c:pt>
                <c:pt idx="38">
                  <c:v>240</c:v>
                </c:pt>
                <c:pt idx="39">
                  <c:v>250</c:v>
                </c:pt>
                <c:pt idx="40">
                  <c:v>260</c:v>
                </c:pt>
              </c:numCache>
            </c:numRef>
          </c:xVal>
          <c:yVal>
            <c:numRef>
              <c:f>'T=1y'!$K$2:$K$42</c:f>
              <c:numCache>
                <c:formatCode>0.00000</c:formatCode>
                <c:ptCount val="41"/>
                <c:pt idx="0">
                  <c:v>0.78779999999999994</c:v>
                </c:pt>
                <c:pt idx="1">
                  <c:v>0.70799999999999996</c:v>
                </c:pt>
                <c:pt idx="2">
                  <c:v>0.68630000000000002</c:v>
                </c:pt>
                <c:pt idx="3">
                  <c:v>0.66110000000000002</c:v>
                </c:pt>
                <c:pt idx="4">
                  <c:v>0.65049999999999997</c:v>
                </c:pt>
                <c:pt idx="5">
                  <c:v>0.62970000000000004</c:v>
                </c:pt>
                <c:pt idx="6">
                  <c:v>0.61519999999999997</c:v>
                </c:pt>
                <c:pt idx="7">
                  <c:v>0.59630000000000005</c:v>
                </c:pt>
                <c:pt idx="8">
                  <c:v>0.59219999999999995</c:v>
                </c:pt>
                <c:pt idx="9">
                  <c:v>0.57930000000000004</c:v>
                </c:pt>
                <c:pt idx="10">
                  <c:v>0.57599999999999996</c:v>
                </c:pt>
                <c:pt idx="11">
                  <c:v>0.55710000000000004</c:v>
                </c:pt>
                <c:pt idx="12">
                  <c:v>0.56140000000000001</c:v>
                </c:pt>
                <c:pt idx="13">
                  <c:v>0.54349999999999998</c:v>
                </c:pt>
                <c:pt idx="14">
                  <c:v>0.54590000000000005</c:v>
                </c:pt>
                <c:pt idx="15">
                  <c:v>0.54769999999999996</c:v>
                </c:pt>
                <c:pt idx="16">
                  <c:v>0.53110000000000002</c:v>
                </c:pt>
                <c:pt idx="17">
                  <c:v>0.51780000000000004</c:v>
                </c:pt>
                <c:pt idx="18">
                  <c:v>0.51290000000000002</c:v>
                </c:pt>
                <c:pt idx="19">
                  <c:v>0.51239999999999997</c:v>
                </c:pt>
                <c:pt idx="20">
                  <c:v>0.51629999999999998</c:v>
                </c:pt>
                <c:pt idx="21">
                  <c:v>0.51200000000000001</c:v>
                </c:pt>
                <c:pt idx="22">
                  <c:v>0.51249999999999996</c:v>
                </c:pt>
                <c:pt idx="23">
                  <c:v>0.50590000000000002</c:v>
                </c:pt>
                <c:pt idx="24">
                  <c:v>0.51419999999999999</c:v>
                </c:pt>
                <c:pt idx="25">
                  <c:v>0.50529999999999997</c:v>
                </c:pt>
                <c:pt idx="26">
                  <c:v>0.50319999999999998</c:v>
                </c:pt>
                <c:pt idx="27">
                  <c:v>0.51500000000000001</c:v>
                </c:pt>
                <c:pt idx="28">
                  <c:v>0.50970000000000004</c:v>
                </c:pt>
                <c:pt idx="29">
                  <c:v>0.50590000000000002</c:v>
                </c:pt>
                <c:pt idx="30">
                  <c:v>0.50980000000000003</c:v>
                </c:pt>
                <c:pt idx="31">
                  <c:v>0.50960000000000005</c:v>
                </c:pt>
                <c:pt idx="32">
                  <c:v>0.50060000000000004</c:v>
                </c:pt>
                <c:pt idx="33">
                  <c:v>0.50280000000000002</c:v>
                </c:pt>
                <c:pt idx="34">
                  <c:v>0.50319999999999998</c:v>
                </c:pt>
                <c:pt idx="35">
                  <c:v>0.50680000000000003</c:v>
                </c:pt>
                <c:pt idx="36">
                  <c:v>0.505</c:v>
                </c:pt>
                <c:pt idx="37">
                  <c:v>0.51490000000000002</c:v>
                </c:pt>
                <c:pt idx="38">
                  <c:v>0.50039999999999996</c:v>
                </c:pt>
                <c:pt idx="39">
                  <c:v>0.51529999999999998</c:v>
                </c:pt>
                <c:pt idx="40">
                  <c:v>0.51659999999999995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E0-41E5-83F7-9AAC0F749E37}"/>
            </c:ext>
          </c:extLst>
        </c:ser>
        <c:ser>
          <c:idx val="1"/>
          <c:order val="1"/>
          <c:tx>
            <c:v>Historical volatility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38"/>
              <c:layout>
                <c:manualLayout>
                  <c:x val="-9.4956111111111199E-2"/>
                  <c:y val="-5.55545454545454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057-4F2A-862F-970580DCD36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'T=1y'!$C$2:$C$42</c:f>
              <c:numCache>
                <c:formatCode>General</c:formatCode>
                <c:ptCount val="41"/>
                <c:pt idx="0">
                  <c:v>40</c:v>
                </c:pt>
                <c:pt idx="1">
                  <c:v>50</c:v>
                </c:pt>
                <c:pt idx="2">
                  <c:v>55</c:v>
                </c:pt>
                <c:pt idx="3">
                  <c:v>60</c:v>
                </c:pt>
                <c:pt idx="4">
                  <c:v>65</c:v>
                </c:pt>
                <c:pt idx="5">
                  <c:v>70</c:v>
                </c:pt>
                <c:pt idx="6">
                  <c:v>75</c:v>
                </c:pt>
                <c:pt idx="7">
                  <c:v>80</c:v>
                </c:pt>
                <c:pt idx="8">
                  <c:v>85</c:v>
                </c:pt>
                <c:pt idx="9">
                  <c:v>90</c:v>
                </c:pt>
                <c:pt idx="10">
                  <c:v>95</c:v>
                </c:pt>
                <c:pt idx="11">
                  <c:v>100</c:v>
                </c:pt>
                <c:pt idx="12">
                  <c:v>105</c:v>
                </c:pt>
                <c:pt idx="13">
                  <c:v>110</c:v>
                </c:pt>
                <c:pt idx="14">
                  <c:v>115</c:v>
                </c:pt>
                <c:pt idx="15">
                  <c:v>120</c:v>
                </c:pt>
                <c:pt idx="16">
                  <c:v>125</c:v>
                </c:pt>
                <c:pt idx="17">
                  <c:v>130</c:v>
                </c:pt>
                <c:pt idx="18">
                  <c:v>135</c:v>
                </c:pt>
                <c:pt idx="19">
                  <c:v>140</c:v>
                </c:pt>
                <c:pt idx="20">
                  <c:v>145</c:v>
                </c:pt>
                <c:pt idx="21">
                  <c:v>150</c:v>
                </c:pt>
                <c:pt idx="22">
                  <c:v>155</c:v>
                </c:pt>
                <c:pt idx="23">
                  <c:v>160</c:v>
                </c:pt>
                <c:pt idx="24">
                  <c:v>165</c:v>
                </c:pt>
                <c:pt idx="25">
                  <c:v>170</c:v>
                </c:pt>
                <c:pt idx="26">
                  <c:v>175</c:v>
                </c:pt>
                <c:pt idx="27">
                  <c:v>180</c:v>
                </c:pt>
                <c:pt idx="28">
                  <c:v>185</c:v>
                </c:pt>
                <c:pt idx="29">
                  <c:v>190</c:v>
                </c:pt>
                <c:pt idx="30">
                  <c:v>195</c:v>
                </c:pt>
                <c:pt idx="31">
                  <c:v>200</c:v>
                </c:pt>
                <c:pt idx="32">
                  <c:v>205</c:v>
                </c:pt>
                <c:pt idx="33">
                  <c:v>210</c:v>
                </c:pt>
                <c:pt idx="34">
                  <c:v>215</c:v>
                </c:pt>
                <c:pt idx="35">
                  <c:v>220</c:v>
                </c:pt>
                <c:pt idx="36">
                  <c:v>225</c:v>
                </c:pt>
                <c:pt idx="37">
                  <c:v>230</c:v>
                </c:pt>
                <c:pt idx="38">
                  <c:v>240</c:v>
                </c:pt>
                <c:pt idx="39">
                  <c:v>250</c:v>
                </c:pt>
                <c:pt idx="40">
                  <c:v>260</c:v>
                </c:pt>
              </c:numCache>
            </c:numRef>
          </c:xVal>
          <c:yVal>
            <c:numRef>
              <c:f>'T=1y'!$R$2:$R$42</c:f>
              <c:numCache>
                <c:formatCode>General</c:formatCode>
                <c:ptCount val="41"/>
                <c:pt idx="0">
                  <c:v>0.57658830309887199</c:v>
                </c:pt>
                <c:pt idx="1">
                  <c:v>0.57658830309887199</c:v>
                </c:pt>
                <c:pt idx="2">
                  <c:v>0.57658830309887199</c:v>
                </c:pt>
                <c:pt idx="3">
                  <c:v>0.57658830309887199</c:v>
                </c:pt>
                <c:pt idx="4">
                  <c:v>0.57658830309887199</c:v>
                </c:pt>
                <c:pt idx="5">
                  <c:v>0.57658830309887199</c:v>
                </c:pt>
                <c:pt idx="6">
                  <c:v>0.57658830309887199</c:v>
                </c:pt>
                <c:pt idx="7">
                  <c:v>0.57658830309887199</c:v>
                </c:pt>
                <c:pt idx="8">
                  <c:v>0.57658830309887199</c:v>
                </c:pt>
                <c:pt idx="9">
                  <c:v>0.57658830309887199</c:v>
                </c:pt>
                <c:pt idx="10">
                  <c:v>0.57658830309887199</c:v>
                </c:pt>
                <c:pt idx="11">
                  <c:v>0.57658830309887199</c:v>
                </c:pt>
                <c:pt idx="12">
                  <c:v>0.57658830309887199</c:v>
                </c:pt>
                <c:pt idx="13">
                  <c:v>0.57658830309887199</c:v>
                </c:pt>
                <c:pt idx="14">
                  <c:v>0.57658830309887199</c:v>
                </c:pt>
                <c:pt idx="15">
                  <c:v>0.57658830309887199</c:v>
                </c:pt>
                <c:pt idx="16">
                  <c:v>0.57658830309887199</c:v>
                </c:pt>
                <c:pt idx="17">
                  <c:v>0.57658830309887199</c:v>
                </c:pt>
                <c:pt idx="18">
                  <c:v>0.57658830309887199</c:v>
                </c:pt>
                <c:pt idx="19">
                  <c:v>0.57658830309887199</c:v>
                </c:pt>
                <c:pt idx="20">
                  <c:v>0.57658830309887199</c:v>
                </c:pt>
                <c:pt idx="21">
                  <c:v>0.57658830309887199</c:v>
                </c:pt>
                <c:pt idx="22">
                  <c:v>0.57658830309887199</c:v>
                </c:pt>
                <c:pt idx="23">
                  <c:v>0.57658830309887199</c:v>
                </c:pt>
                <c:pt idx="24">
                  <c:v>0.57658830309887199</c:v>
                </c:pt>
                <c:pt idx="25">
                  <c:v>0.57658830309887199</c:v>
                </c:pt>
                <c:pt idx="26">
                  <c:v>0.57658830309887199</c:v>
                </c:pt>
                <c:pt idx="27">
                  <c:v>0.57658830309887199</c:v>
                </c:pt>
                <c:pt idx="28">
                  <c:v>0.57658830309887199</c:v>
                </c:pt>
                <c:pt idx="29">
                  <c:v>0.57658830309887199</c:v>
                </c:pt>
                <c:pt idx="30">
                  <c:v>0.57658830309887199</c:v>
                </c:pt>
                <c:pt idx="31">
                  <c:v>0.57658830309887199</c:v>
                </c:pt>
                <c:pt idx="32">
                  <c:v>0.57658830309887199</c:v>
                </c:pt>
                <c:pt idx="33">
                  <c:v>0.57658830309887199</c:v>
                </c:pt>
                <c:pt idx="34">
                  <c:v>0.57658830309887199</c:v>
                </c:pt>
                <c:pt idx="35">
                  <c:v>0.57658830309887199</c:v>
                </c:pt>
                <c:pt idx="36">
                  <c:v>0.57658830309887199</c:v>
                </c:pt>
                <c:pt idx="37">
                  <c:v>0.57658830309887199</c:v>
                </c:pt>
                <c:pt idx="38">
                  <c:v>0.57658830309887199</c:v>
                </c:pt>
                <c:pt idx="39">
                  <c:v>0.57658830309887199</c:v>
                </c:pt>
                <c:pt idx="40">
                  <c:v>0.57658830309887199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E0-41E5-83F7-9AAC0F749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9741288"/>
        <c:axId val="529737680"/>
      </c:scatterChart>
      <c:valAx>
        <c:axId val="529741288"/>
        <c:scaling>
          <c:orientation val="minMax"/>
          <c:max val="270"/>
          <c:min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it-IT" sz="12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K [$]</a:t>
                </a:r>
              </a:p>
            </c:rich>
          </c:tx>
          <c:layout>
            <c:manualLayout>
              <c:xMode val="edge"/>
              <c:yMode val="edge"/>
              <c:x val="0.4631487037037037"/>
              <c:y val="0.951236363636363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529737680"/>
        <c:crosses val="autoZero"/>
        <c:crossBetween val="midCat"/>
      </c:valAx>
      <c:valAx>
        <c:axId val="529737680"/>
        <c:scaling>
          <c:orientation val="minMax"/>
          <c:min val="0.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2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σ</a:t>
                </a:r>
                <a:endParaRPr lang="it-IT" sz="12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9.5081481481481475E-3"/>
              <c:y val="0.451504040404040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529741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152407407407404"/>
          <c:y val="0.37978977603967279"/>
          <c:w val="0.15637407407407405"/>
          <c:h val="0.202574630506744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it-IT" sz="180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Volatility comparison, T ≈ 2 years</a:t>
            </a:r>
          </a:p>
        </c:rich>
      </c:tx>
      <c:layout>
        <c:manualLayout>
          <c:xMode val="edge"/>
          <c:yMode val="edge"/>
          <c:x val="0.21646648148148148"/>
          <c:y val="1.28282828282828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8729711024927859E-2"/>
          <c:y val="8.9700894233734202E-2"/>
          <c:w val="0.76957962962962967"/>
          <c:h val="0.79496359208567924"/>
        </c:manualLayout>
      </c:layout>
      <c:scatterChart>
        <c:scatterStyle val="lineMarker"/>
        <c:varyColors val="0"/>
        <c:ser>
          <c:idx val="0"/>
          <c:order val="0"/>
          <c:tx>
            <c:v>Implied volatility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14"/>
            <c:marker>
              <c:symbol val="triangle"/>
              <c:size val="8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5D69-43A2-BCAE-83C93A7869F3}"/>
              </c:ext>
            </c:extLst>
          </c:dPt>
          <c:dLbls>
            <c:dLbl>
              <c:idx val="14"/>
              <c:layout>
                <c:manualLayout>
                  <c:x val="-1.1441851851851852E-2"/>
                  <c:y val="-4.808207070707070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it-IT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69-43A2-BCAE-83C93A7869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'T=2y'!$C$2:$C$53</c:f>
              <c:numCache>
                <c:formatCode>General</c:formatCode>
                <c:ptCount val="52"/>
                <c:pt idx="0">
                  <c:v>40</c:v>
                </c:pt>
                <c:pt idx="1">
                  <c:v>45</c:v>
                </c:pt>
                <c:pt idx="2">
                  <c:v>50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  <c:pt idx="6">
                  <c:v>70</c:v>
                </c:pt>
                <c:pt idx="7">
                  <c:v>75</c:v>
                </c:pt>
                <c:pt idx="8">
                  <c:v>80</c:v>
                </c:pt>
                <c:pt idx="9">
                  <c:v>85</c:v>
                </c:pt>
                <c:pt idx="10">
                  <c:v>90</c:v>
                </c:pt>
                <c:pt idx="11">
                  <c:v>95</c:v>
                </c:pt>
                <c:pt idx="12">
                  <c:v>100</c:v>
                </c:pt>
                <c:pt idx="13">
                  <c:v>105</c:v>
                </c:pt>
                <c:pt idx="14">
                  <c:v>110</c:v>
                </c:pt>
                <c:pt idx="15">
                  <c:v>115</c:v>
                </c:pt>
                <c:pt idx="16">
                  <c:v>120</c:v>
                </c:pt>
                <c:pt idx="17">
                  <c:v>125</c:v>
                </c:pt>
                <c:pt idx="18">
                  <c:v>130</c:v>
                </c:pt>
                <c:pt idx="19">
                  <c:v>135</c:v>
                </c:pt>
                <c:pt idx="20">
                  <c:v>140</c:v>
                </c:pt>
                <c:pt idx="21">
                  <c:v>145</c:v>
                </c:pt>
                <c:pt idx="22">
                  <c:v>150</c:v>
                </c:pt>
                <c:pt idx="23">
                  <c:v>155</c:v>
                </c:pt>
                <c:pt idx="24">
                  <c:v>160</c:v>
                </c:pt>
                <c:pt idx="25">
                  <c:v>165</c:v>
                </c:pt>
                <c:pt idx="26">
                  <c:v>170</c:v>
                </c:pt>
                <c:pt idx="27">
                  <c:v>175</c:v>
                </c:pt>
                <c:pt idx="28">
                  <c:v>180</c:v>
                </c:pt>
                <c:pt idx="29">
                  <c:v>185</c:v>
                </c:pt>
                <c:pt idx="30">
                  <c:v>190</c:v>
                </c:pt>
                <c:pt idx="31">
                  <c:v>195</c:v>
                </c:pt>
                <c:pt idx="32">
                  <c:v>200</c:v>
                </c:pt>
                <c:pt idx="33">
                  <c:v>210</c:v>
                </c:pt>
                <c:pt idx="34">
                  <c:v>220</c:v>
                </c:pt>
                <c:pt idx="35">
                  <c:v>230</c:v>
                </c:pt>
                <c:pt idx="36">
                  <c:v>235</c:v>
                </c:pt>
                <c:pt idx="37">
                  <c:v>240</c:v>
                </c:pt>
                <c:pt idx="38">
                  <c:v>245</c:v>
                </c:pt>
                <c:pt idx="39">
                  <c:v>250</c:v>
                </c:pt>
                <c:pt idx="40">
                  <c:v>255</c:v>
                </c:pt>
                <c:pt idx="41">
                  <c:v>260</c:v>
                </c:pt>
                <c:pt idx="42">
                  <c:v>265</c:v>
                </c:pt>
                <c:pt idx="43">
                  <c:v>270</c:v>
                </c:pt>
                <c:pt idx="44">
                  <c:v>275</c:v>
                </c:pt>
                <c:pt idx="45">
                  <c:v>280</c:v>
                </c:pt>
                <c:pt idx="46">
                  <c:v>285</c:v>
                </c:pt>
                <c:pt idx="47">
                  <c:v>290</c:v>
                </c:pt>
                <c:pt idx="48">
                  <c:v>295</c:v>
                </c:pt>
                <c:pt idx="49">
                  <c:v>300</c:v>
                </c:pt>
                <c:pt idx="50">
                  <c:v>305</c:v>
                </c:pt>
                <c:pt idx="51">
                  <c:v>310</c:v>
                </c:pt>
              </c:numCache>
            </c:numRef>
          </c:xVal>
          <c:yVal>
            <c:numRef>
              <c:f>'T=2y'!$K$2:$K$53</c:f>
              <c:numCache>
                <c:formatCode>0.00000</c:formatCode>
                <c:ptCount val="52"/>
                <c:pt idx="0">
                  <c:v>0.74099999999999999</c:v>
                </c:pt>
                <c:pt idx="1">
                  <c:v>0.70089999999999997</c:v>
                </c:pt>
                <c:pt idx="2">
                  <c:v>0.69769999999999999</c:v>
                </c:pt>
                <c:pt idx="3">
                  <c:v>0.66610000000000003</c:v>
                </c:pt>
                <c:pt idx="4">
                  <c:v>0.6532</c:v>
                </c:pt>
                <c:pt idx="5">
                  <c:v>0.63070000000000004</c:v>
                </c:pt>
                <c:pt idx="6">
                  <c:v>0.61909999999999998</c:v>
                </c:pt>
                <c:pt idx="7">
                  <c:v>0.60629999999999995</c:v>
                </c:pt>
                <c:pt idx="8">
                  <c:v>0.59650000000000003</c:v>
                </c:pt>
                <c:pt idx="9">
                  <c:v>0.5806</c:v>
                </c:pt>
                <c:pt idx="10">
                  <c:v>0.57250000000000001</c:v>
                </c:pt>
                <c:pt idx="11">
                  <c:v>0.57589999999999997</c:v>
                </c:pt>
                <c:pt idx="12">
                  <c:v>0.56030000000000002</c:v>
                </c:pt>
                <c:pt idx="13">
                  <c:v>0.55659999999999998</c:v>
                </c:pt>
                <c:pt idx="14">
                  <c:v>0.55079999999999996</c:v>
                </c:pt>
                <c:pt idx="15">
                  <c:v>0.54139999999999999</c:v>
                </c:pt>
                <c:pt idx="16">
                  <c:v>0.54059999999999997</c:v>
                </c:pt>
                <c:pt idx="17">
                  <c:v>0.53239999999999998</c:v>
                </c:pt>
                <c:pt idx="18">
                  <c:v>0.53269999999999995</c:v>
                </c:pt>
                <c:pt idx="19">
                  <c:v>0.52790000000000004</c:v>
                </c:pt>
                <c:pt idx="20">
                  <c:v>0.52390000000000003</c:v>
                </c:pt>
                <c:pt idx="21">
                  <c:v>0.52080000000000004</c:v>
                </c:pt>
                <c:pt idx="22">
                  <c:v>0.51980000000000004</c:v>
                </c:pt>
                <c:pt idx="23">
                  <c:v>0.51100000000000001</c:v>
                </c:pt>
                <c:pt idx="24">
                  <c:v>0.50890000000000002</c:v>
                </c:pt>
                <c:pt idx="25">
                  <c:v>0.51029999999999998</c:v>
                </c:pt>
                <c:pt idx="26">
                  <c:v>0.50839999999999996</c:v>
                </c:pt>
                <c:pt idx="27">
                  <c:v>0.50349999999999995</c:v>
                </c:pt>
                <c:pt idx="28">
                  <c:v>0.50339999999999996</c:v>
                </c:pt>
                <c:pt idx="29">
                  <c:v>0.50770000000000004</c:v>
                </c:pt>
                <c:pt idx="30">
                  <c:v>0.50690000000000002</c:v>
                </c:pt>
                <c:pt idx="31">
                  <c:v>0.50429999999999997</c:v>
                </c:pt>
                <c:pt idx="32">
                  <c:v>0.50290000000000001</c:v>
                </c:pt>
                <c:pt idx="33">
                  <c:v>0.49990000000000001</c:v>
                </c:pt>
                <c:pt idx="34">
                  <c:v>0.502</c:v>
                </c:pt>
                <c:pt idx="35">
                  <c:v>0.50080000000000002</c:v>
                </c:pt>
                <c:pt idx="36">
                  <c:v>0.498</c:v>
                </c:pt>
                <c:pt idx="37">
                  <c:v>0.49840000000000001</c:v>
                </c:pt>
                <c:pt idx="38">
                  <c:v>0.49830000000000002</c:v>
                </c:pt>
                <c:pt idx="39">
                  <c:v>0.49640000000000001</c:v>
                </c:pt>
                <c:pt idx="40">
                  <c:v>0.4995</c:v>
                </c:pt>
                <c:pt idx="41">
                  <c:v>0.4995</c:v>
                </c:pt>
                <c:pt idx="42">
                  <c:v>0.50039999999999996</c:v>
                </c:pt>
                <c:pt idx="43">
                  <c:v>0.49959999999999999</c:v>
                </c:pt>
                <c:pt idx="44">
                  <c:v>0.50139999999999996</c:v>
                </c:pt>
                <c:pt idx="45">
                  <c:v>0.49969999999999998</c:v>
                </c:pt>
                <c:pt idx="46">
                  <c:v>0.50090000000000001</c:v>
                </c:pt>
                <c:pt idx="47">
                  <c:v>0.50509999999999999</c:v>
                </c:pt>
                <c:pt idx="48">
                  <c:v>0.51090000000000002</c:v>
                </c:pt>
                <c:pt idx="49">
                  <c:v>0.50970000000000004</c:v>
                </c:pt>
                <c:pt idx="50">
                  <c:v>0.50990000000000002</c:v>
                </c:pt>
                <c:pt idx="51">
                  <c:v>0.50429999999999997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69-43A2-BCAE-83C93A7869F3}"/>
            </c:ext>
          </c:extLst>
        </c:ser>
        <c:ser>
          <c:idx val="1"/>
          <c:order val="1"/>
          <c:tx>
            <c:v>Historical volatility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391962962962964E-2"/>
                  <c:y val="-4.327146464646464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it-IT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7B-40D0-B5E9-9610441A57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'T=2y'!$C$2:$C$53</c:f>
              <c:numCache>
                <c:formatCode>General</c:formatCode>
                <c:ptCount val="52"/>
                <c:pt idx="0">
                  <c:v>40</c:v>
                </c:pt>
                <c:pt idx="1">
                  <c:v>45</c:v>
                </c:pt>
                <c:pt idx="2">
                  <c:v>50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  <c:pt idx="6">
                  <c:v>70</c:v>
                </c:pt>
                <c:pt idx="7">
                  <c:v>75</c:v>
                </c:pt>
                <c:pt idx="8">
                  <c:v>80</c:v>
                </c:pt>
                <c:pt idx="9">
                  <c:v>85</c:v>
                </c:pt>
                <c:pt idx="10">
                  <c:v>90</c:v>
                </c:pt>
                <c:pt idx="11">
                  <c:v>95</c:v>
                </c:pt>
                <c:pt idx="12">
                  <c:v>100</c:v>
                </c:pt>
                <c:pt idx="13">
                  <c:v>105</c:v>
                </c:pt>
                <c:pt idx="14">
                  <c:v>110</c:v>
                </c:pt>
                <c:pt idx="15">
                  <c:v>115</c:v>
                </c:pt>
                <c:pt idx="16">
                  <c:v>120</c:v>
                </c:pt>
                <c:pt idx="17">
                  <c:v>125</c:v>
                </c:pt>
                <c:pt idx="18">
                  <c:v>130</c:v>
                </c:pt>
                <c:pt idx="19">
                  <c:v>135</c:v>
                </c:pt>
                <c:pt idx="20">
                  <c:v>140</c:v>
                </c:pt>
                <c:pt idx="21">
                  <c:v>145</c:v>
                </c:pt>
                <c:pt idx="22">
                  <c:v>150</c:v>
                </c:pt>
                <c:pt idx="23">
                  <c:v>155</c:v>
                </c:pt>
                <c:pt idx="24">
                  <c:v>160</c:v>
                </c:pt>
                <c:pt idx="25">
                  <c:v>165</c:v>
                </c:pt>
                <c:pt idx="26">
                  <c:v>170</c:v>
                </c:pt>
                <c:pt idx="27">
                  <c:v>175</c:v>
                </c:pt>
                <c:pt idx="28">
                  <c:v>180</c:v>
                </c:pt>
                <c:pt idx="29">
                  <c:v>185</c:v>
                </c:pt>
                <c:pt idx="30">
                  <c:v>190</c:v>
                </c:pt>
                <c:pt idx="31">
                  <c:v>195</c:v>
                </c:pt>
                <c:pt idx="32">
                  <c:v>200</c:v>
                </c:pt>
                <c:pt idx="33">
                  <c:v>210</c:v>
                </c:pt>
                <c:pt idx="34">
                  <c:v>220</c:v>
                </c:pt>
                <c:pt idx="35">
                  <c:v>230</c:v>
                </c:pt>
                <c:pt idx="36">
                  <c:v>235</c:v>
                </c:pt>
                <c:pt idx="37">
                  <c:v>240</c:v>
                </c:pt>
                <c:pt idx="38">
                  <c:v>245</c:v>
                </c:pt>
                <c:pt idx="39">
                  <c:v>250</c:v>
                </c:pt>
                <c:pt idx="40">
                  <c:v>255</c:v>
                </c:pt>
                <c:pt idx="41">
                  <c:v>260</c:v>
                </c:pt>
                <c:pt idx="42">
                  <c:v>265</c:v>
                </c:pt>
                <c:pt idx="43">
                  <c:v>270</c:v>
                </c:pt>
                <c:pt idx="44">
                  <c:v>275</c:v>
                </c:pt>
                <c:pt idx="45">
                  <c:v>280</c:v>
                </c:pt>
                <c:pt idx="46">
                  <c:v>285</c:v>
                </c:pt>
                <c:pt idx="47">
                  <c:v>290</c:v>
                </c:pt>
                <c:pt idx="48">
                  <c:v>295</c:v>
                </c:pt>
                <c:pt idx="49">
                  <c:v>300</c:v>
                </c:pt>
                <c:pt idx="50">
                  <c:v>305</c:v>
                </c:pt>
                <c:pt idx="51">
                  <c:v>310</c:v>
                </c:pt>
              </c:numCache>
            </c:numRef>
          </c:xVal>
          <c:yVal>
            <c:numRef>
              <c:f>'T=2y'!$R$2:$R$53</c:f>
              <c:numCache>
                <c:formatCode>General</c:formatCode>
                <c:ptCount val="52"/>
                <c:pt idx="0">
                  <c:v>0.50200772446621822</c:v>
                </c:pt>
                <c:pt idx="1">
                  <c:v>0.50200772446621822</c:v>
                </c:pt>
                <c:pt idx="2">
                  <c:v>0.50200772446621822</c:v>
                </c:pt>
                <c:pt idx="3">
                  <c:v>0.50200772446621822</c:v>
                </c:pt>
                <c:pt idx="4">
                  <c:v>0.50200772446621822</c:v>
                </c:pt>
                <c:pt idx="5">
                  <c:v>0.50200772446621822</c:v>
                </c:pt>
                <c:pt idx="6">
                  <c:v>0.50200772446621822</c:v>
                </c:pt>
                <c:pt idx="7">
                  <c:v>0.50200772446621822</c:v>
                </c:pt>
                <c:pt idx="8">
                  <c:v>0.50200772446621822</c:v>
                </c:pt>
                <c:pt idx="9">
                  <c:v>0.50200772446621822</c:v>
                </c:pt>
                <c:pt idx="10">
                  <c:v>0.50200772446621822</c:v>
                </c:pt>
                <c:pt idx="11">
                  <c:v>0.50200772446621822</c:v>
                </c:pt>
                <c:pt idx="12">
                  <c:v>0.50200772446621822</c:v>
                </c:pt>
                <c:pt idx="13">
                  <c:v>0.50200772446621822</c:v>
                </c:pt>
                <c:pt idx="14">
                  <c:v>0.50200772446621822</c:v>
                </c:pt>
                <c:pt idx="15">
                  <c:v>0.50200772446621822</c:v>
                </c:pt>
                <c:pt idx="16">
                  <c:v>0.50200772446621822</c:v>
                </c:pt>
                <c:pt idx="17">
                  <c:v>0.50200772446621822</c:v>
                </c:pt>
                <c:pt idx="18">
                  <c:v>0.50200772446621822</c:v>
                </c:pt>
                <c:pt idx="19">
                  <c:v>0.50200772446621822</c:v>
                </c:pt>
                <c:pt idx="20">
                  <c:v>0.50200772446621822</c:v>
                </c:pt>
                <c:pt idx="21">
                  <c:v>0.50200772446621822</c:v>
                </c:pt>
                <c:pt idx="22">
                  <c:v>0.50200772446621822</c:v>
                </c:pt>
                <c:pt idx="23">
                  <c:v>0.50200772446621822</c:v>
                </c:pt>
                <c:pt idx="24">
                  <c:v>0.50200772446621822</c:v>
                </c:pt>
                <c:pt idx="25">
                  <c:v>0.50200772446621822</c:v>
                </c:pt>
                <c:pt idx="26">
                  <c:v>0.50200772446621822</c:v>
                </c:pt>
                <c:pt idx="27">
                  <c:v>0.50200772446621822</c:v>
                </c:pt>
                <c:pt idx="28">
                  <c:v>0.50200772446621822</c:v>
                </c:pt>
                <c:pt idx="29">
                  <c:v>0.50200772446621822</c:v>
                </c:pt>
                <c:pt idx="30">
                  <c:v>0.50200772446621822</c:v>
                </c:pt>
                <c:pt idx="31">
                  <c:v>0.50200772446621822</c:v>
                </c:pt>
                <c:pt idx="32">
                  <c:v>0.50200772446621822</c:v>
                </c:pt>
                <c:pt idx="33">
                  <c:v>0.50200772446621822</c:v>
                </c:pt>
                <c:pt idx="34">
                  <c:v>0.50200772446621822</c:v>
                </c:pt>
                <c:pt idx="35">
                  <c:v>0.50200772446621822</c:v>
                </c:pt>
                <c:pt idx="36">
                  <c:v>0.50200772446621822</c:v>
                </c:pt>
                <c:pt idx="37">
                  <c:v>0.50200772446621822</c:v>
                </c:pt>
                <c:pt idx="38">
                  <c:v>0.50200772446621822</c:v>
                </c:pt>
                <c:pt idx="39">
                  <c:v>0.50200772446621822</c:v>
                </c:pt>
                <c:pt idx="40">
                  <c:v>0.50200772446621822</c:v>
                </c:pt>
                <c:pt idx="41">
                  <c:v>0.50200772446621822</c:v>
                </c:pt>
                <c:pt idx="42">
                  <c:v>0.50200772446621822</c:v>
                </c:pt>
                <c:pt idx="43">
                  <c:v>0.50200772446621822</c:v>
                </c:pt>
                <c:pt idx="44">
                  <c:v>0.50200772446621822</c:v>
                </c:pt>
                <c:pt idx="45">
                  <c:v>0.50200772446621822</c:v>
                </c:pt>
                <c:pt idx="46">
                  <c:v>0.50200772446621822</c:v>
                </c:pt>
                <c:pt idx="47">
                  <c:v>0.50200772446621822</c:v>
                </c:pt>
                <c:pt idx="48">
                  <c:v>0.50200772446621822</c:v>
                </c:pt>
                <c:pt idx="49">
                  <c:v>0.50200772446621822</c:v>
                </c:pt>
                <c:pt idx="50">
                  <c:v>0.50200772446621822</c:v>
                </c:pt>
                <c:pt idx="51">
                  <c:v>0.50200772446621822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69-43A2-BCAE-83C93A786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2196248"/>
        <c:axId val="332198872"/>
      </c:scatterChart>
      <c:valAx>
        <c:axId val="332196248"/>
        <c:scaling>
          <c:orientation val="minMax"/>
          <c:max val="320"/>
          <c:min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it-IT" sz="12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K [$]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332198872"/>
        <c:crosses val="autoZero"/>
        <c:crossBetween val="midCat"/>
      </c:valAx>
      <c:valAx>
        <c:axId val="332198872"/>
        <c:scaling>
          <c:orientation val="minMax"/>
          <c:min val="0.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2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σ</a:t>
                </a:r>
                <a:endParaRPr lang="it-IT" sz="1200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332196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175888888888906"/>
          <c:y val="0.36484687795154191"/>
          <c:w val="0.15616814814814814"/>
          <c:h val="0.199661536295012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it-IT" sz="180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Implied volatility surface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1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6453703703703703E-2"/>
          <c:y val="0.13052777777777777"/>
          <c:w val="0.80944703703703702"/>
          <c:h val="0.78091969696969699"/>
        </c:manualLayout>
      </c:layout>
      <c:surface3DChart>
        <c:wireframe val="0"/>
        <c:ser>
          <c:idx val="0"/>
          <c:order val="0"/>
          <c:tx>
            <c:strRef>
              <c:f>Smile!$W$2</c:f>
              <c:strCache>
                <c:ptCount val="1"/>
                <c:pt idx="0">
                  <c:v>0,083333333</c:v>
                </c:pt>
              </c:strCache>
            </c:strRef>
          </c:tx>
          <c:spPr>
            <a:solidFill>
              <a:schemeClr val="accent3">
                <a:tint val="50000"/>
              </a:schemeClr>
            </a:solidFill>
            <a:ln/>
            <a:effectLst/>
            <a:sp3d/>
          </c:spPr>
          <c:cat>
            <c:numRef>
              <c:f>Smile!$V$3:$V$26</c:f>
              <c:numCache>
                <c:formatCode>General</c:formatCode>
                <c:ptCount val="24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  <c:pt idx="16">
                  <c:v>150</c:v>
                </c:pt>
                <c:pt idx="17">
                  <c:v>155</c:v>
                </c:pt>
                <c:pt idx="18">
                  <c:v>160</c:v>
                </c:pt>
                <c:pt idx="19">
                  <c:v>165</c:v>
                </c:pt>
                <c:pt idx="20">
                  <c:v>170</c:v>
                </c:pt>
                <c:pt idx="21">
                  <c:v>175</c:v>
                </c:pt>
                <c:pt idx="22">
                  <c:v>180</c:v>
                </c:pt>
                <c:pt idx="23">
                  <c:v>185</c:v>
                </c:pt>
              </c:numCache>
            </c:numRef>
          </c:cat>
          <c:val>
            <c:numRef>
              <c:f>Smile!$W$3:$W$26</c:f>
              <c:numCache>
                <c:formatCode>0.0000</c:formatCode>
                <c:ptCount val="24"/>
                <c:pt idx="0">
                  <c:v>0.91800000000000004</c:v>
                </c:pt>
                <c:pt idx="1">
                  <c:v>0.89059999999999995</c:v>
                </c:pt>
                <c:pt idx="2">
                  <c:v>0.80759999999999998</c:v>
                </c:pt>
                <c:pt idx="3">
                  <c:v>0.73409999999999997</c:v>
                </c:pt>
                <c:pt idx="4">
                  <c:v>0.70750000000000002</c:v>
                </c:pt>
                <c:pt idx="5">
                  <c:v>0.70650000000000002</c:v>
                </c:pt>
                <c:pt idx="6">
                  <c:v>0.63549999999999995</c:v>
                </c:pt>
                <c:pt idx="7">
                  <c:v>0.626</c:v>
                </c:pt>
                <c:pt idx="8">
                  <c:v>0.6069</c:v>
                </c:pt>
                <c:pt idx="9">
                  <c:v>0.59330000000000005</c:v>
                </c:pt>
                <c:pt idx="10">
                  <c:v>0.60099999999999998</c:v>
                </c:pt>
                <c:pt idx="11">
                  <c:v>0.59119999999999995</c:v>
                </c:pt>
                <c:pt idx="12">
                  <c:v>0.59809999999999997</c:v>
                </c:pt>
                <c:pt idx="13">
                  <c:v>0.62549999999999994</c:v>
                </c:pt>
                <c:pt idx="14">
                  <c:v>0.61770000000000003</c:v>
                </c:pt>
                <c:pt idx="15">
                  <c:v>0.63770000000000004</c:v>
                </c:pt>
                <c:pt idx="16">
                  <c:v>0.63480000000000003</c:v>
                </c:pt>
                <c:pt idx="17">
                  <c:v>0.63529999999999998</c:v>
                </c:pt>
                <c:pt idx="18">
                  <c:v>0.67479999999999996</c:v>
                </c:pt>
                <c:pt idx="19">
                  <c:v>0.6885</c:v>
                </c:pt>
                <c:pt idx="20">
                  <c:v>0.70609999999999995</c:v>
                </c:pt>
                <c:pt idx="21">
                  <c:v>0.71189999999999998</c:v>
                </c:pt>
                <c:pt idx="22">
                  <c:v>0.69730000000000003</c:v>
                </c:pt>
                <c:pt idx="23">
                  <c:v>0.752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5E-44FA-8FDB-694DFDDAC135}"/>
            </c:ext>
          </c:extLst>
        </c:ser>
        <c:ser>
          <c:idx val="1"/>
          <c:order val="1"/>
          <c:tx>
            <c:strRef>
              <c:f>Smile!$X$2</c:f>
              <c:strCache>
                <c:ptCount val="1"/>
                <c:pt idx="0">
                  <c:v>0,25</c:v>
                </c:pt>
              </c:strCache>
            </c:strRef>
          </c:tx>
          <c:spPr>
            <a:solidFill>
              <a:schemeClr val="accent3">
                <a:tint val="70000"/>
              </a:schemeClr>
            </a:solidFill>
            <a:ln/>
            <a:effectLst/>
            <a:sp3d/>
          </c:spPr>
          <c:cat>
            <c:numRef>
              <c:f>Smile!$V$3:$V$26</c:f>
              <c:numCache>
                <c:formatCode>General</c:formatCode>
                <c:ptCount val="24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  <c:pt idx="16">
                  <c:v>150</c:v>
                </c:pt>
                <c:pt idx="17">
                  <c:v>155</c:v>
                </c:pt>
                <c:pt idx="18">
                  <c:v>160</c:v>
                </c:pt>
                <c:pt idx="19">
                  <c:v>165</c:v>
                </c:pt>
                <c:pt idx="20">
                  <c:v>170</c:v>
                </c:pt>
                <c:pt idx="21">
                  <c:v>175</c:v>
                </c:pt>
                <c:pt idx="22">
                  <c:v>180</c:v>
                </c:pt>
                <c:pt idx="23">
                  <c:v>185</c:v>
                </c:pt>
              </c:numCache>
            </c:numRef>
          </c:cat>
          <c:val>
            <c:numRef>
              <c:f>Smile!$X$3:$X$26</c:f>
              <c:numCache>
                <c:formatCode>0.00000</c:formatCode>
                <c:ptCount val="24"/>
                <c:pt idx="0">
                  <c:v>0.71660000000000001</c:v>
                </c:pt>
                <c:pt idx="1">
                  <c:v>0.65700000000000003</c:v>
                </c:pt>
                <c:pt idx="2">
                  <c:v>0.65659999999999996</c:v>
                </c:pt>
                <c:pt idx="3">
                  <c:v>0.62670000000000003</c:v>
                </c:pt>
                <c:pt idx="4">
                  <c:v>0.61429999999999996</c:v>
                </c:pt>
                <c:pt idx="5">
                  <c:v>0.58950000000000002</c:v>
                </c:pt>
                <c:pt idx="6">
                  <c:v>0.57850000000000001</c:v>
                </c:pt>
                <c:pt idx="7">
                  <c:v>0.56999999999999995</c:v>
                </c:pt>
                <c:pt idx="8">
                  <c:v>0.56140000000000001</c:v>
                </c:pt>
                <c:pt idx="9">
                  <c:v>0.56299999999999994</c:v>
                </c:pt>
                <c:pt idx="10">
                  <c:v>0.55679999999999996</c:v>
                </c:pt>
                <c:pt idx="11">
                  <c:v>0.55840000000000001</c:v>
                </c:pt>
                <c:pt idx="12">
                  <c:v>0.55179999999999996</c:v>
                </c:pt>
                <c:pt idx="13">
                  <c:v>0.55120000000000002</c:v>
                </c:pt>
                <c:pt idx="14">
                  <c:v>0.55079999999999996</c:v>
                </c:pt>
                <c:pt idx="15">
                  <c:v>0.55120000000000002</c:v>
                </c:pt>
                <c:pt idx="16">
                  <c:v>0.55369999999999997</c:v>
                </c:pt>
                <c:pt idx="17">
                  <c:v>0.55569999999999997</c:v>
                </c:pt>
                <c:pt idx="18">
                  <c:v>0.55930000000000002</c:v>
                </c:pt>
                <c:pt idx="19">
                  <c:v>0.5625</c:v>
                </c:pt>
                <c:pt idx="20">
                  <c:v>0.56620000000000004</c:v>
                </c:pt>
                <c:pt idx="21">
                  <c:v>0.5706</c:v>
                </c:pt>
                <c:pt idx="22">
                  <c:v>0.57809999999999995</c:v>
                </c:pt>
                <c:pt idx="23">
                  <c:v>0.57669999999999999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5E-44FA-8FDB-694DFDDAC135}"/>
            </c:ext>
          </c:extLst>
        </c:ser>
        <c:ser>
          <c:idx val="2"/>
          <c:order val="2"/>
          <c:tx>
            <c:strRef>
              <c:f>Smile!$Y$2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3">
                <a:tint val="90000"/>
              </a:schemeClr>
            </a:solidFill>
            <a:ln/>
            <a:effectLst/>
            <a:sp3d/>
          </c:spPr>
          <c:cat>
            <c:numRef>
              <c:f>Smile!$V$3:$V$26</c:f>
              <c:numCache>
                <c:formatCode>General</c:formatCode>
                <c:ptCount val="24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  <c:pt idx="16">
                  <c:v>150</c:v>
                </c:pt>
                <c:pt idx="17">
                  <c:v>155</c:v>
                </c:pt>
                <c:pt idx="18">
                  <c:v>160</c:v>
                </c:pt>
                <c:pt idx="19">
                  <c:v>165</c:v>
                </c:pt>
                <c:pt idx="20">
                  <c:v>170</c:v>
                </c:pt>
                <c:pt idx="21">
                  <c:v>175</c:v>
                </c:pt>
                <c:pt idx="22">
                  <c:v>180</c:v>
                </c:pt>
                <c:pt idx="23">
                  <c:v>185</c:v>
                </c:pt>
              </c:numCache>
            </c:numRef>
          </c:cat>
          <c:val>
            <c:numRef>
              <c:f>Smile!$Y$3:$Y$26</c:f>
              <c:numCache>
                <c:formatCode>0.00000</c:formatCode>
                <c:ptCount val="24"/>
                <c:pt idx="0">
                  <c:v>0.70530000000000004</c:v>
                </c:pt>
                <c:pt idx="1">
                  <c:v>0.6774</c:v>
                </c:pt>
                <c:pt idx="2">
                  <c:v>0.6613</c:v>
                </c:pt>
                <c:pt idx="3">
                  <c:v>0.64359999999999995</c:v>
                </c:pt>
                <c:pt idx="4">
                  <c:v>0.61660000000000004</c:v>
                </c:pt>
                <c:pt idx="5">
                  <c:v>0.6069</c:v>
                </c:pt>
                <c:pt idx="6">
                  <c:v>0.59630000000000005</c:v>
                </c:pt>
                <c:pt idx="7">
                  <c:v>0.57410000000000005</c:v>
                </c:pt>
                <c:pt idx="8">
                  <c:v>0.57740000000000002</c:v>
                </c:pt>
                <c:pt idx="9">
                  <c:v>0.5645</c:v>
                </c:pt>
                <c:pt idx="10">
                  <c:v>0.56240000000000001</c:v>
                </c:pt>
                <c:pt idx="11">
                  <c:v>0.55289999999999995</c:v>
                </c:pt>
                <c:pt idx="12">
                  <c:v>0.54669999999999996</c:v>
                </c:pt>
                <c:pt idx="13">
                  <c:v>0.54800000000000004</c:v>
                </c:pt>
                <c:pt idx="14">
                  <c:v>0.54459999999999997</c:v>
                </c:pt>
                <c:pt idx="15">
                  <c:v>0.54</c:v>
                </c:pt>
                <c:pt idx="16">
                  <c:v>0.53769999999999996</c:v>
                </c:pt>
                <c:pt idx="17">
                  <c:v>0.53649999999999998</c:v>
                </c:pt>
                <c:pt idx="18">
                  <c:v>0.53349999999999997</c:v>
                </c:pt>
                <c:pt idx="19">
                  <c:v>0.53259999999999996</c:v>
                </c:pt>
                <c:pt idx="20">
                  <c:v>0.53280000000000005</c:v>
                </c:pt>
                <c:pt idx="21">
                  <c:v>0.53280000000000005</c:v>
                </c:pt>
                <c:pt idx="22">
                  <c:v>0.53090000000000004</c:v>
                </c:pt>
                <c:pt idx="23">
                  <c:v>0.53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5E-44FA-8FDB-694DFDDAC135}"/>
            </c:ext>
          </c:extLst>
        </c:ser>
        <c:ser>
          <c:idx val="3"/>
          <c:order val="3"/>
          <c:tx>
            <c:strRef>
              <c:f>Smile!$Z$2</c:f>
              <c:strCache>
                <c:ptCount val="1"/>
                <c:pt idx="0">
                  <c:v>0,75</c:v>
                </c:pt>
              </c:strCache>
            </c:strRef>
          </c:tx>
          <c:spPr>
            <a:solidFill>
              <a:schemeClr val="accent3">
                <a:shade val="90000"/>
              </a:schemeClr>
            </a:solidFill>
            <a:ln/>
            <a:effectLst/>
            <a:sp3d/>
          </c:spPr>
          <c:cat>
            <c:numRef>
              <c:f>Smile!$V$3:$V$26</c:f>
              <c:numCache>
                <c:formatCode>General</c:formatCode>
                <c:ptCount val="24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  <c:pt idx="16">
                  <c:v>150</c:v>
                </c:pt>
                <c:pt idx="17">
                  <c:v>155</c:v>
                </c:pt>
                <c:pt idx="18">
                  <c:v>160</c:v>
                </c:pt>
                <c:pt idx="19">
                  <c:v>165</c:v>
                </c:pt>
                <c:pt idx="20">
                  <c:v>170</c:v>
                </c:pt>
                <c:pt idx="21">
                  <c:v>175</c:v>
                </c:pt>
                <c:pt idx="22">
                  <c:v>180</c:v>
                </c:pt>
                <c:pt idx="23">
                  <c:v>185</c:v>
                </c:pt>
              </c:numCache>
            </c:numRef>
          </c:cat>
          <c:val>
            <c:numRef>
              <c:f>Smile!$Z$3:$Z$26</c:f>
              <c:numCache>
                <c:formatCode>0.00000</c:formatCode>
                <c:ptCount val="24"/>
                <c:pt idx="0">
                  <c:v>0.65659999999999996</c:v>
                </c:pt>
                <c:pt idx="1">
                  <c:v>0.63380000000000003</c:v>
                </c:pt>
                <c:pt idx="2">
                  <c:v>0.61350000000000005</c:v>
                </c:pt>
                <c:pt idx="3">
                  <c:v>0.61260000000000003</c:v>
                </c:pt>
                <c:pt idx="4">
                  <c:v>0.59419999999999995</c:v>
                </c:pt>
                <c:pt idx="5">
                  <c:v>0.57769999999999999</c:v>
                </c:pt>
                <c:pt idx="6">
                  <c:v>0.56840000000000002</c:v>
                </c:pt>
                <c:pt idx="7">
                  <c:v>0.56459999999999999</c:v>
                </c:pt>
                <c:pt idx="8">
                  <c:v>0.55879999999999996</c:v>
                </c:pt>
                <c:pt idx="9">
                  <c:v>0.54990000000000006</c:v>
                </c:pt>
                <c:pt idx="10">
                  <c:v>0.54410000000000003</c:v>
                </c:pt>
                <c:pt idx="11">
                  <c:v>0.54020000000000001</c:v>
                </c:pt>
                <c:pt idx="12">
                  <c:v>0.53590000000000004</c:v>
                </c:pt>
                <c:pt idx="13">
                  <c:v>0.53120000000000001</c:v>
                </c:pt>
                <c:pt idx="14">
                  <c:v>0.5272</c:v>
                </c:pt>
                <c:pt idx="15">
                  <c:v>0.5242</c:v>
                </c:pt>
                <c:pt idx="16">
                  <c:v>0.52100000000000002</c:v>
                </c:pt>
                <c:pt idx="17">
                  <c:v>0.51939999999999997</c:v>
                </c:pt>
                <c:pt idx="18">
                  <c:v>0.51739999999999997</c:v>
                </c:pt>
                <c:pt idx="19">
                  <c:v>0.51529999999999998</c:v>
                </c:pt>
                <c:pt idx="20">
                  <c:v>0.50960000000000005</c:v>
                </c:pt>
                <c:pt idx="21">
                  <c:v>0.51259999999999994</c:v>
                </c:pt>
                <c:pt idx="22">
                  <c:v>0.51170000000000004</c:v>
                </c:pt>
                <c:pt idx="23">
                  <c:v>0.51180000000000003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75E-44FA-8FDB-694DFDDAC135}"/>
            </c:ext>
          </c:extLst>
        </c:ser>
        <c:ser>
          <c:idx val="4"/>
          <c:order val="4"/>
          <c:tx>
            <c:strRef>
              <c:f>Smile!$AA$2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3">
                <a:shade val="70000"/>
              </a:schemeClr>
            </a:solidFill>
            <a:ln/>
            <a:effectLst/>
            <a:sp3d/>
          </c:spPr>
          <c:cat>
            <c:numRef>
              <c:f>Smile!$V$3:$V$26</c:f>
              <c:numCache>
                <c:formatCode>General</c:formatCode>
                <c:ptCount val="24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  <c:pt idx="16">
                  <c:v>150</c:v>
                </c:pt>
                <c:pt idx="17">
                  <c:v>155</c:v>
                </c:pt>
                <c:pt idx="18">
                  <c:v>160</c:v>
                </c:pt>
                <c:pt idx="19">
                  <c:v>165</c:v>
                </c:pt>
                <c:pt idx="20">
                  <c:v>170</c:v>
                </c:pt>
                <c:pt idx="21">
                  <c:v>175</c:v>
                </c:pt>
                <c:pt idx="22">
                  <c:v>180</c:v>
                </c:pt>
                <c:pt idx="23">
                  <c:v>185</c:v>
                </c:pt>
              </c:numCache>
            </c:numRef>
          </c:cat>
          <c:val>
            <c:numRef>
              <c:f>Smile!$AA$3:$AA$26</c:f>
              <c:numCache>
                <c:formatCode>0.00000</c:formatCode>
                <c:ptCount val="24"/>
                <c:pt idx="0">
                  <c:v>0.62970000000000004</c:v>
                </c:pt>
                <c:pt idx="1">
                  <c:v>0.61519999999999997</c:v>
                </c:pt>
                <c:pt idx="2">
                  <c:v>0.59630000000000005</c:v>
                </c:pt>
                <c:pt idx="3">
                  <c:v>0.59219999999999995</c:v>
                </c:pt>
                <c:pt idx="4">
                  <c:v>0.57930000000000004</c:v>
                </c:pt>
                <c:pt idx="5">
                  <c:v>0.57599999999999996</c:v>
                </c:pt>
                <c:pt idx="6">
                  <c:v>0.55710000000000004</c:v>
                </c:pt>
                <c:pt idx="7">
                  <c:v>0.56140000000000001</c:v>
                </c:pt>
                <c:pt idx="8">
                  <c:v>0.54349999999999998</c:v>
                </c:pt>
                <c:pt idx="9">
                  <c:v>0.54590000000000005</c:v>
                </c:pt>
                <c:pt idx="10">
                  <c:v>0.54769999999999996</c:v>
                </c:pt>
                <c:pt idx="11">
                  <c:v>0.53110000000000002</c:v>
                </c:pt>
                <c:pt idx="12">
                  <c:v>0.51780000000000004</c:v>
                </c:pt>
                <c:pt idx="13">
                  <c:v>0.51290000000000002</c:v>
                </c:pt>
                <c:pt idx="14">
                  <c:v>0.51239999999999997</c:v>
                </c:pt>
                <c:pt idx="15">
                  <c:v>0.51629999999999998</c:v>
                </c:pt>
                <c:pt idx="16">
                  <c:v>0.51200000000000001</c:v>
                </c:pt>
                <c:pt idx="17">
                  <c:v>0.51249999999999996</c:v>
                </c:pt>
                <c:pt idx="18">
                  <c:v>0.50590000000000002</c:v>
                </c:pt>
                <c:pt idx="19">
                  <c:v>0.51419999999999999</c:v>
                </c:pt>
                <c:pt idx="20">
                  <c:v>0.50529999999999997</c:v>
                </c:pt>
                <c:pt idx="21">
                  <c:v>0.50319999999999998</c:v>
                </c:pt>
                <c:pt idx="22">
                  <c:v>0.51500000000000001</c:v>
                </c:pt>
                <c:pt idx="23">
                  <c:v>0.50970000000000004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75E-44FA-8FDB-694DFDDAC135}"/>
            </c:ext>
          </c:extLst>
        </c:ser>
        <c:ser>
          <c:idx val="5"/>
          <c:order val="5"/>
          <c:tx>
            <c:strRef>
              <c:f>Smile!$AB$2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3">
                <a:shade val="50000"/>
              </a:schemeClr>
            </a:solidFill>
            <a:ln/>
            <a:effectLst/>
            <a:sp3d/>
          </c:spPr>
          <c:cat>
            <c:numRef>
              <c:f>Smile!$V$3:$V$26</c:f>
              <c:numCache>
                <c:formatCode>General</c:formatCode>
                <c:ptCount val="24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  <c:pt idx="13">
                  <c:v>135</c:v>
                </c:pt>
                <c:pt idx="14">
                  <c:v>140</c:v>
                </c:pt>
                <c:pt idx="15">
                  <c:v>145</c:v>
                </c:pt>
                <c:pt idx="16">
                  <c:v>150</c:v>
                </c:pt>
                <c:pt idx="17">
                  <c:v>155</c:v>
                </c:pt>
                <c:pt idx="18">
                  <c:v>160</c:v>
                </c:pt>
                <c:pt idx="19">
                  <c:v>165</c:v>
                </c:pt>
                <c:pt idx="20">
                  <c:v>170</c:v>
                </c:pt>
                <c:pt idx="21">
                  <c:v>175</c:v>
                </c:pt>
                <c:pt idx="22">
                  <c:v>180</c:v>
                </c:pt>
                <c:pt idx="23">
                  <c:v>185</c:v>
                </c:pt>
              </c:numCache>
            </c:numRef>
          </c:cat>
          <c:val>
            <c:numRef>
              <c:f>Smile!$AB$3:$AB$26</c:f>
              <c:numCache>
                <c:formatCode>0.00000</c:formatCode>
                <c:ptCount val="24"/>
                <c:pt idx="0">
                  <c:v>0.61909999999999998</c:v>
                </c:pt>
                <c:pt idx="1">
                  <c:v>0.60629999999999995</c:v>
                </c:pt>
                <c:pt idx="2">
                  <c:v>0.59650000000000003</c:v>
                </c:pt>
                <c:pt idx="3">
                  <c:v>0.5806</c:v>
                </c:pt>
                <c:pt idx="4">
                  <c:v>0.57250000000000001</c:v>
                </c:pt>
                <c:pt idx="5">
                  <c:v>0.57589999999999997</c:v>
                </c:pt>
                <c:pt idx="6">
                  <c:v>0.56030000000000002</c:v>
                </c:pt>
                <c:pt idx="7">
                  <c:v>0.55659999999999998</c:v>
                </c:pt>
                <c:pt idx="8">
                  <c:v>0.55079999999999996</c:v>
                </c:pt>
                <c:pt idx="9">
                  <c:v>0.54139999999999999</c:v>
                </c:pt>
                <c:pt idx="10">
                  <c:v>0.54059999999999997</c:v>
                </c:pt>
                <c:pt idx="11">
                  <c:v>0.53239999999999998</c:v>
                </c:pt>
                <c:pt idx="12">
                  <c:v>0.53269999999999995</c:v>
                </c:pt>
                <c:pt idx="13">
                  <c:v>0.52790000000000004</c:v>
                </c:pt>
                <c:pt idx="14">
                  <c:v>0.52390000000000003</c:v>
                </c:pt>
                <c:pt idx="15">
                  <c:v>0.52080000000000004</c:v>
                </c:pt>
                <c:pt idx="16">
                  <c:v>0.51980000000000004</c:v>
                </c:pt>
                <c:pt idx="17">
                  <c:v>0.51100000000000001</c:v>
                </c:pt>
                <c:pt idx="18">
                  <c:v>0.50890000000000002</c:v>
                </c:pt>
                <c:pt idx="19">
                  <c:v>0.51029999999999998</c:v>
                </c:pt>
                <c:pt idx="20">
                  <c:v>0.50839999999999996</c:v>
                </c:pt>
                <c:pt idx="21">
                  <c:v>0.50349999999999995</c:v>
                </c:pt>
                <c:pt idx="22">
                  <c:v>0.50339999999999996</c:v>
                </c:pt>
                <c:pt idx="23">
                  <c:v>0.50770000000000004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75E-44FA-8FDB-694DFDDAC135}"/>
            </c:ext>
          </c:extLst>
        </c:ser>
        <c:bandFmts>
          <c:bandFmt>
            <c:idx val="0"/>
            <c:spPr>
              <a:solidFill>
                <a:schemeClr val="accent3">
                  <a:tint val="42000"/>
                </a:schemeClr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3">
                  <a:tint val="54000"/>
                </a:schemeClr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>
                  <a:tint val="65000"/>
                </a:schemeClr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3">
                  <a:tint val="77000"/>
                </a:schemeClr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3">
                  <a:tint val="89000"/>
                </a:schemeClr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3">
                  <a:shade val="88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3">
                  <a:shade val="76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shade val="65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3">
                  <a:shade val="53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3">
                  <a:shade val="41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3">
                  <a:shade val="41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3">
                  <a:shade val="41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3">
                  <a:shade val="41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shade val="41000"/>
                </a:schemeClr>
              </a:solidFill>
              <a:ln/>
              <a:effectLst/>
              <a:sp3d/>
            </c:spPr>
          </c:bandFmt>
        </c:bandFmts>
        <c:axId val="626207024"/>
        <c:axId val="626207352"/>
        <c:axId val="590186256"/>
      </c:surface3DChart>
      <c:catAx>
        <c:axId val="626207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it-IT" sz="12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K [$]</a:t>
                </a:r>
              </a:p>
            </c:rich>
          </c:tx>
          <c:layout>
            <c:manualLayout>
              <c:xMode val="edge"/>
              <c:yMode val="edge"/>
              <c:x val="0.28354277777777775"/>
              <c:y val="0.8134954545454545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626207352"/>
        <c:crosses val="autoZero"/>
        <c:auto val="1"/>
        <c:lblAlgn val="ctr"/>
        <c:lblOffset val="100"/>
        <c:noMultiLvlLbl val="0"/>
      </c:catAx>
      <c:valAx>
        <c:axId val="6262073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2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σ</a:t>
                </a:r>
                <a:r>
                  <a:rPr lang="it-IT" sz="1200" baseline="-25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imp</a:t>
                </a:r>
                <a:endParaRPr lang="it-IT" sz="1200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88859037037037036"/>
              <c:y val="0.4557143939393939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626207024"/>
        <c:crosses val="autoZero"/>
        <c:crossBetween val="midCat"/>
      </c:valAx>
      <c:serAx>
        <c:axId val="590186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l-GR" sz="12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τ</a:t>
                </a:r>
                <a:r>
                  <a:rPr lang="it-IT" sz="12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[years]</a:t>
                </a:r>
              </a:p>
            </c:rich>
          </c:tx>
          <c:layout>
            <c:manualLayout>
              <c:xMode val="edge"/>
              <c:yMode val="edge"/>
              <c:x val="0.84931333333333336"/>
              <c:y val="0.8103275252525252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it-IT"/>
          </a:p>
        </c:txPr>
        <c:crossAx val="626207352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15"/>
      <c:rotY val="17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Smile!$M$2</c:f>
              <c:strCache>
                <c:ptCount val="1"/>
                <c:pt idx="0">
                  <c:v>0,083333333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Smile!$L$3:$L$49</c:f>
              <c:numCache>
                <c:formatCode>General</c:formatCode>
                <c:ptCount val="47"/>
                <c:pt idx="0">
                  <c:v>40</c:v>
                </c:pt>
                <c:pt idx="1">
                  <c:v>45</c:v>
                </c:pt>
                <c:pt idx="2">
                  <c:v>50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  <c:pt idx="6">
                  <c:v>70</c:v>
                </c:pt>
                <c:pt idx="7">
                  <c:v>75</c:v>
                </c:pt>
                <c:pt idx="8">
                  <c:v>80</c:v>
                </c:pt>
                <c:pt idx="9">
                  <c:v>85</c:v>
                </c:pt>
                <c:pt idx="10">
                  <c:v>90</c:v>
                </c:pt>
                <c:pt idx="11">
                  <c:v>95</c:v>
                </c:pt>
                <c:pt idx="12">
                  <c:v>100</c:v>
                </c:pt>
                <c:pt idx="13">
                  <c:v>105</c:v>
                </c:pt>
                <c:pt idx="14">
                  <c:v>110</c:v>
                </c:pt>
                <c:pt idx="15">
                  <c:v>115</c:v>
                </c:pt>
                <c:pt idx="16">
                  <c:v>120</c:v>
                </c:pt>
                <c:pt idx="17">
                  <c:v>125</c:v>
                </c:pt>
                <c:pt idx="18">
                  <c:v>130</c:v>
                </c:pt>
                <c:pt idx="19">
                  <c:v>135</c:v>
                </c:pt>
                <c:pt idx="20">
                  <c:v>140</c:v>
                </c:pt>
                <c:pt idx="21">
                  <c:v>145</c:v>
                </c:pt>
                <c:pt idx="22">
                  <c:v>150</c:v>
                </c:pt>
                <c:pt idx="23">
                  <c:v>155</c:v>
                </c:pt>
                <c:pt idx="24">
                  <c:v>160</c:v>
                </c:pt>
                <c:pt idx="25">
                  <c:v>165</c:v>
                </c:pt>
                <c:pt idx="26">
                  <c:v>170</c:v>
                </c:pt>
                <c:pt idx="27">
                  <c:v>175</c:v>
                </c:pt>
                <c:pt idx="28">
                  <c:v>180</c:v>
                </c:pt>
                <c:pt idx="29">
                  <c:v>185</c:v>
                </c:pt>
                <c:pt idx="30">
                  <c:v>190</c:v>
                </c:pt>
                <c:pt idx="31">
                  <c:v>195</c:v>
                </c:pt>
                <c:pt idx="32">
                  <c:v>200</c:v>
                </c:pt>
                <c:pt idx="33">
                  <c:v>205</c:v>
                </c:pt>
                <c:pt idx="34">
                  <c:v>210</c:v>
                </c:pt>
                <c:pt idx="35">
                  <c:v>215</c:v>
                </c:pt>
                <c:pt idx="36">
                  <c:v>220</c:v>
                </c:pt>
                <c:pt idx="37">
                  <c:v>225</c:v>
                </c:pt>
                <c:pt idx="38">
                  <c:v>230</c:v>
                </c:pt>
                <c:pt idx="39">
                  <c:v>235</c:v>
                </c:pt>
                <c:pt idx="40">
                  <c:v>240</c:v>
                </c:pt>
                <c:pt idx="41">
                  <c:v>245</c:v>
                </c:pt>
                <c:pt idx="42">
                  <c:v>250</c:v>
                </c:pt>
                <c:pt idx="43">
                  <c:v>255</c:v>
                </c:pt>
                <c:pt idx="44">
                  <c:v>260</c:v>
                </c:pt>
                <c:pt idx="45">
                  <c:v>265</c:v>
                </c:pt>
                <c:pt idx="46">
                  <c:v>270</c:v>
                </c:pt>
              </c:numCache>
            </c:numRef>
          </c:cat>
          <c:val>
            <c:numRef>
              <c:f>Smile!$M$3:$M$49</c:f>
              <c:numCache>
                <c:formatCode>0.0000</c:formatCode>
                <c:ptCount val="47"/>
                <c:pt idx="1">
                  <c:v>1.5995999999999999</c:v>
                </c:pt>
                <c:pt idx="3">
                  <c:v>1.2070000000000001</c:v>
                </c:pt>
                <c:pt idx="6">
                  <c:v>0.91800000000000004</c:v>
                </c:pt>
                <c:pt idx="7">
                  <c:v>0.89059999999999995</c:v>
                </c:pt>
                <c:pt idx="8">
                  <c:v>0.80759999999999998</c:v>
                </c:pt>
                <c:pt idx="9">
                  <c:v>0.73409999999999997</c:v>
                </c:pt>
                <c:pt idx="10">
                  <c:v>0.70750000000000002</c:v>
                </c:pt>
                <c:pt idx="11">
                  <c:v>0.70650000000000002</c:v>
                </c:pt>
                <c:pt idx="12">
                  <c:v>0.63549999999999995</c:v>
                </c:pt>
                <c:pt idx="13">
                  <c:v>0.626</c:v>
                </c:pt>
                <c:pt idx="14">
                  <c:v>0.6069</c:v>
                </c:pt>
                <c:pt idx="15">
                  <c:v>0.59330000000000005</c:v>
                </c:pt>
                <c:pt idx="16">
                  <c:v>0.60099999999999998</c:v>
                </c:pt>
                <c:pt idx="17">
                  <c:v>0.59119999999999995</c:v>
                </c:pt>
                <c:pt idx="18">
                  <c:v>0.59809999999999997</c:v>
                </c:pt>
                <c:pt idx="19">
                  <c:v>0.62549999999999994</c:v>
                </c:pt>
                <c:pt idx="20">
                  <c:v>0.61770000000000003</c:v>
                </c:pt>
                <c:pt idx="21">
                  <c:v>0.63770000000000004</c:v>
                </c:pt>
                <c:pt idx="22">
                  <c:v>0.63480000000000003</c:v>
                </c:pt>
                <c:pt idx="23">
                  <c:v>0.63529999999999998</c:v>
                </c:pt>
                <c:pt idx="24">
                  <c:v>0.67479999999999996</c:v>
                </c:pt>
                <c:pt idx="25">
                  <c:v>0.6885</c:v>
                </c:pt>
                <c:pt idx="26">
                  <c:v>0.70609999999999995</c:v>
                </c:pt>
                <c:pt idx="27">
                  <c:v>0.71189999999999998</c:v>
                </c:pt>
                <c:pt idx="28">
                  <c:v>0.69730000000000003</c:v>
                </c:pt>
                <c:pt idx="29">
                  <c:v>0.752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E6-4087-8395-892705E6EF56}"/>
            </c:ext>
          </c:extLst>
        </c:ser>
        <c:ser>
          <c:idx val="1"/>
          <c:order val="1"/>
          <c:tx>
            <c:strRef>
              <c:f>Smile!$N$2</c:f>
              <c:strCache>
                <c:ptCount val="1"/>
                <c:pt idx="0">
                  <c:v>0,25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Smile!$L$3:$L$49</c:f>
              <c:numCache>
                <c:formatCode>General</c:formatCode>
                <c:ptCount val="47"/>
                <c:pt idx="0">
                  <c:v>40</c:v>
                </c:pt>
                <c:pt idx="1">
                  <c:v>45</c:v>
                </c:pt>
                <c:pt idx="2">
                  <c:v>50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  <c:pt idx="6">
                  <c:v>70</c:v>
                </c:pt>
                <c:pt idx="7">
                  <c:v>75</c:v>
                </c:pt>
                <c:pt idx="8">
                  <c:v>80</c:v>
                </c:pt>
                <c:pt idx="9">
                  <c:v>85</c:v>
                </c:pt>
                <c:pt idx="10">
                  <c:v>90</c:v>
                </c:pt>
                <c:pt idx="11">
                  <c:v>95</c:v>
                </c:pt>
                <c:pt idx="12">
                  <c:v>100</c:v>
                </c:pt>
                <c:pt idx="13">
                  <c:v>105</c:v>
                </c:pt>
                <c:pt idx="14">
                  <c:v>110</c:v>
                </c:pt>
                <c:pt idx="15">
                  <c:v>115</c:v>
                </c:pt>
                <c:pt idx="16">
                  <c:v>120</c:v>
                </c:pt>
                <c:pt idx="17">
                  <c:v>125</c:v>
                </c:pt>
                <c:pt idx="18">
                  <c:v>130</c:v>
                </c:pt>
                <c:pt idx="19">
                  <c:v>135</c:v>
                </c:pt>
                <c:pt idx="20">
                  <c:v>140</c:v>
                </c:pt>
                <c:pt idx="21">
                  <c:v>145</c:v>
                </c:pt>
                <c:pt idx="22">
                  <c:v>150</c:v>
                </c:pt>
                <c:pt idx="23">
                  <c:v>155</c:v>
                </c:pt>
                <c:pt idx="24">
                  <c:v>160</c:v>
                </c:pt>
                <c:pt idx="25">
                  <c:v>165</c:v>
                </c:pt>
                <c:pt idx="26">
                  <c:v>170</c:v>
                </c:pt>
                <c:pt idx="27">
                  <c:v>175</c:v>
                </c:pt>
                <c:pt idx="28">
                  <c:v>180</c:v>
                </c:pt>
                <c:pt idx="29">
                  <c:v>185</c:v>
                </c:pt>
                <c:pt idx="30">
                  <c:v>190</c:v>
                </c:pt>
                <c:pt idx="31">
                  <c:v>195</c:v>
                </c:pt>
                <c:pt idx="32">
                  <c:v>200</c:v>
                </c:pt>
                <c:pt idx="33">
                  <c:v>205</c:v>
                </c:pt>
                <c:pt idx="34">
                  <c:v>210</c:v>
                </c:pt>
                <c:pt idx="35">
                  <c:v>215</c:v>
                </c:pt>
                <c:pt idx="36">
                  <c:v>220</c:v>
                </c:pt>
                <c:pt idx="37">
                  <c:v>225</c:v>
                </c:pt>
                <c:pt idx="38">
                  <c:v>230</c:v>
                </c:pt>
                <c:pt idx="39">
                  <c:v>235</c:v>
                </c:pt>
                <c:pt idx="40">
                  <c:v>240</c:v>
                </c:pt>
                <c:pt idx="41">
                  <c:v>245</c:v>
                </c:pt>
                <c:pt idx="42">
                  <c:v>250</c:v>
                </c:pt>
                <c:pt idx="43">
                  <c:v>255</c:v>
                </c:pt>
                <c:pt idx="44">
                  <c:v>260</c:v>
                </c:pt>
                <c:pt idx="45">
                  <c:v>265</c:v>
                </c:pt>
                <c:pt idx="46">
                  <c:v>270</c:v>
                </c:pt>
              </c:numCache>
            </c:numRef>
          </c:cat>
          <c:val>
            <c:numRef>
              <c:f>Smile!$N$3:$N$49</c:f>
              <c:numCache>
                <c:formatCode>0.00000</c:formatCode>
                <c:ptCount val="47"/>
                <c:pt idx="0">
                  <c:v>0.99119999999999997</c:v>
                </c:pt>
                <c:pt idx="1">
                  <c:v>0.86040000000000005</c:v>
                </c:pt>
                <c:pt idx="2">
                  <c:v>0.85109999999999997</c:v>
                </c:pt>
                <c:pt idx="3">
                  <c:v>0.74409999999999998</c:v>
                </c:pt>
                <c:pt idx="4">
                  <c:v>0.74950000000000006</c:v>
                </c:pt>
                <c:pt idx="5">
                  <c:v>0.73099999999999998</c:v>
                </c:pt>
                <c:pt idx="6">
                  <c:v>0.71660000000000001</c:v>
                </c:pt>
                <c:pt idx="7">
                  <c:v>0.65700000000000003</c:v>
                </c:pt>
                <c:pt idx="8">
                  <c:v>0.65659999999999996</c:v>
                </c:pt>
                <c:pt idx="9">
                  <c:v>0.62670000000000003</c:v>
                </c:pt>
                <c:pt idx="10">
                  <c:v>0.61429999999999996</c:v>
                </c:pt>
                <c:pt idx="11">
                  <c:v>0.58950000000000002</c:v>
                </c:pt>
                <c:pt idx="12">
                  <c:v>0.57850000000000001</c:v>
                </c:pt>
                <c:pt idx="13">
                  <c:v>0.56999999999999995</c:v>
                </c:pt>
                <c:pt idx="14">
                  <c:v>0.56140000000000001</c:v>
                </c:pt>
                <c:pt idx="15">
                  <c:v>0.56299999999999994</c:v>
                </c:pt>
                <c:pt idx="16">
                  <c:v>0.55679999999999996</c:v>
                </c:pt>
                <c:pt idx="17">
                  <c:v>0.55840000000000001</c:v>
                </c:pt>
                <c:pt idx="18">
                  <c:v>0.55179999999999996</c:v>
                </c:pt>
                <c:pt idx="19">
                  <c:v>0.55120000000000002</c:v>
                </c:pt>
                <c:pt idx="20">
                  <c:v>0.55079999999999996</c:v>
                </c:pt>
                <c:pt idx="21">
                  <c:v>0.55120000000000002</c:v>
                </c:pt>
                <c:pt idx="22">
                  <c:v>0.55369999999999997</c:v>
                </c:pt>
                <c:pt idx="23">
                  <c:v>0.55569999999999997</c:v>
                </c:pt>
                <c:pt idx="24">
                  <c:v>0.55930000000000002</c:v>
                </c:pt>
                <c:pt idx="25">
                  <c:v>0.5625</c:v>
                </c:pt>
                <c:pt idx="26">
                  <c:v>0.56620000000000004</c:v>
                </c:pt>
                <c:pt idx="27">
                  <c:v>0.5706</c:v>
                </c:pt>
                <c:pt idx="28">
                  <c:v>0.57809999999999995</c:v>
                </c:pt>
                <c:pt idx="29">
                  <c:v>0.57669999999999999</c:v>
                </c:pt>
                <c:pt idx="30">
                  <c:v>0.59670000000000001</c:v>
                </c:pt>
                <c:pt idx="31">
                  <c:v>0.59379999999999999</c:v>
                </c:pt>
                <c:pt idx="32">
                  <c:v>0.61329999999999996</c:v>
                </c:pt>
                <c:pt idx="33">
                  <c:v>0.62209999999999999</c:v>
                </c:pt>
                <c:pt idx="34">
                  <c:v>0.625</c:v>
                </c:pt>
                <c:pt idx="35">
                  <c:v>0.62790000000000001</c:v>
                </c:pt>
                <c:pt idx="36">
                  <c:v>0.6431</c:v>
                </c:pt>
                <c:pt idx="37">
                  <c:v>0.65039999999999998</c:v>
                </c:pt>
                <c:pt idx="38">
                  <c:v>0.65139999999999998</c:v>
                </c:pt>
                <c:pt idx="39">
                  <c:v>0.6714</c:v>
                </c:pt>
                <c:pt idx="40">
                  <c:v>0.69430000000000003</c:v>
                </c:pt>
                <c:pt idx="41">
                  <c:v>0.70750000000000002</c:v>
                </c:pt>
                <c:pt idx="42">
                  <c:v>0.6895</c:v>
                </c:pt>
                <c:pt idx="43">
                  <c:v>0.69820000000000004</c:v>
                </c:pt>
                <c:pt idx="44">
                  <c:v>0.74709999999999999</c:v>
                </c:pt>
                <c:pt idx="45">
                  <c:v>0.72170000000000001</c:v>
                </c:pt>
                <c:pt idx="46">
                  <c:v>0.71289999999999998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E6-4087-8395-892705E6EF56}"/>
            </c:ext>
          </c:extLst>
        </c:ser>
        <c:ser>
          <c:idx val="2"/>
          <c:order val="2"/>
          <c:tx>
            <c:strRef>
              <c:f>Smile!$O$2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Smile!$L$3:$L$49</c:f>
              <c:numCache>
                <c:formatCode>General</c:formatCode>
                <c:ptCount val="47"/>
                <c:pt idx="0">
                  <c:v>40</c:v>
                </c:pt>
                <c:pt idx="1">
                  <c:v>45</c:v>
                </c:pt>
                <c:pt idx="2">
                  <c:v>50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  <c:pt idx="6">
                  <c:v>70</c:v>
                </c:pt>
                <c:pt idx="7">
                  <c:v>75</c:v>
                </c:pt>
                <c:pt idx="8">
                  <c:v>80</c:v>
                </c:pt>
                <c:pt idx="9">
                  <c:v>85</c:v>
                </c:pt>
                <c:pt idx="10">
                  <c:v>90</c:v>
                </c:pt>
                <c:pt idx="11">
                  <c:v>95</c:v>
                </c:pt>
                <c:pt idx="12">
                  <c:v>100</c:v>
                </c:pt>
                <c:pt idx="13">
                  <c:v>105</c:v>
                </c:pt>
                <c:pt idx="14">
                  <c:v>110</c:v>
                </c:pt>
                <c:pt idx="15">
                  <c:v>115</c:v>
                </c:pt>
                <c:pt idx="16">
                  <c:v>120</c:v>
                </c:pt>
                <c:pt idx="17">
                  <c:v>125</c:v>
                </c:pt>
                <c:pt idx="18">
                  <c:v>130</c:v>
                </c:pt>
                <c:pt idx="19">
                  <c:v>135</c:v>
                </c:pt>
                <c:pt idx="20">
                  <c:v>140</c:v>
                </c:pt>
                <c:pt idx="21">
                  <c:v>145</c:v>
                </c:pt>
                <c:pt idx="22">
                  <c:v>150</c:v>
                </c:pt>
                <c:pt idx="23">
                  <c:v>155</c:v>
                </c:pt>
                <c:pt idx="24">
                  <c:v>160</c:v>
                </c:pt>
                <c:pt idx="25">
                  <c:v>165</c:v>
                </c:pt>
                <c:pt idx="26">
                  <c:v>170</c:v>
                </c:pt>
                <c:pt idx="27">
                  <c:v>175</c:v>
                </c:pt>
                <c:pt idx="28">
                  <c:v>180</c:v>
                </c:pt>
                <c:pt idx="29">
                  <c:v>185</c:v>
                </c:pt>
                <c:pt idx="30">
                  <c:v>190</c:v>
                </c:pt>
                <c:pt idx="31">
                  <c:v>195</c:v>
                </c:pt>
                <c:pt idx="32">
                  <c:v>200</c:v>
                </c:pt>
                <c:pt idx="33">
                  <c:v>205</c:v>
                </c:pt>
                <c:pt idx="34">
                  <c:v>210</c:v>
                </c:pt>
                <c:pt idx="35">
                  <c:v>215</c:v>
                </c:pt>
                <c:pt idx="36">
                  <c:v>220</c:v>
                </c:pt>
                <c:pt idx="37">
                  <c:v>225</c:v>
                </c:pt>
                <c:pt idx="38">
                  <c:v>230</c:v>
                </c:pt>
                <c:pt idx="39">
                  <c:v>235</c:v>
                </c:pt>
                <c:pt idx="40">
                  <c:v>240</c:v>
                </c:pt>
                <c:pt idx="41">
                  <c:v>245</c:v>
                </c:pt>
                <c:pt idx="42">
                  <c:v>250</c:v>
                </c:pt>
                <c:pt idx="43">
                  <c:v>255</c:v>
                </c:pt>
                <c:pt idx="44">
                  <c:v>260</c:v>
                </c:pt>
                <c:pt idx="45">
                  <c:v>265</c:v>
                </c:pt>
                <c:pt idx="46">
                  <c:v>270</c:v>
                </c:pt>
              </c:numCache>
            </c:numRef>
          </c:cat>
          <c:val>
            <c:numRef>
              <c:f>Smile!$O$3:$O$49</c:f>
              <c:numCache>
                <c:formatCode>General</c:formatCode>
                <c:ptCount val="47"/>
                <c:pt idx="0" formatCode="0.00000">
                  <c:v>1.0183</c:v>
                </c:pt>
                <c:pt idx="5" formatCode="0.00000">
                  <c:v>0.74109999999999998</c:v>
                </c:pt>
                <c:pt idx="6" formatCode="0.00000">
                  <c:v>0.70530000000000004</c:v>
                </c:pt>
                <c:pt idx="7" formatCode="0.00000">
                  <c:v>0.6774</c:v>
                </c:pt>
                <c:pt idx="8" formatCode="0.00000">
                  <c:v>0.6613</c:v>
                </c:pt>
                <c:pt idx="9" formatCode="0.00000">
                  <c:v>0.64359999999999995</c:v>
                </c:pt>
                <c:pt idx="10" formatCode="0.00000">
                  <c:v>0.61660000000000004</c:v>
                </c:pt>
                <c:pt idx="11" formatCode="0.00000">
                  <c:v>0.6069</c:v>
                </c:pt>
                <c:pt idx="12" formatCode="0.00000">
                  <c:v>0.59630000000000005</c:v>
                </c:pt>
                <c:pt idx="13" formatCode="0.00000">
                  <c:v>0.57410000000000005</c:v>
                </c:pt>
                <c:pt idx="14" formatCode="0.00000">
                  <c:v>0.57740000000000002</c:v>
                </c:pt>
                <c:pt idx="15" formatCode="0.00000">
                  <c:v>0.5645</c:v>
                </c:pt>
                <c:pt idx="16" formatCode="0.00000">
                  <c:v>0.56240000000000001</c:v>
                </c:pt>
                <c:pt idx="17" formatCode="0.00000">
                  <c:v>0.55289999999999995</c:v>
                </c:pt>
                <c:pt idx="18" formatCode="0.00000">
                  <c:v>0.54669999999999996</c:v>
                </c:pt>
                <c:pt idx="19" formatCode="0.00000">
                  <c:v>0.54800000000000004</c:v>
                </c:pt>
                <c:pt idx="20" formatCode="0.00000">
                  <c:v>0.54459999999999997</c:v>
                </c:pt>
                <c:pt idx="21" formatCode="0.00000">
                  <c:v>0.54</c:v>
                </c:pt>
                <c:pt idx="22" formatCode="0.00000">
                  <c:v>0.53769999999999996</c:v>
                </c:pt>
                <c:pt idx="23" formatCode="0.00000">
                  <c:v>0.53649999999999998</c:v>
                </c:pt>
                <c:pt idx="24" formatCode="0.00000">
                  <c:v>0.53349999999999997</c:v>
                </c:pt>
                <c:pt idx="25" formatCode="0.00000">
                  <c:v>0.53259999999999996</c:v>
                </c:pt>
                <c:pt idx="26" formatCode="0.00000">
                  <c:v>0.53280000000000005</c:v>
                </c:pt>
                <c:pt idx="27" formatCode="0.00000">
                  <c:v>0.53280000000000005</c:v>
                </c:pt>
                <c:pt idx="28" formatCode="0.00000">
                  <c:v>0.53090000000000004</c:v>
                </c:pt>
                <c:pt idx="29" formatCode="0.00000">
                  <c:v>0.53</c:v>
                </c:pt>
                <c:pt idx="30" formatCode="0.00000">
                  <c:v>0.53910000000000002</c:v>
                </c:pt>
                <c:pt idx="31" formatCode="0.00000">
                  <c:v>0.53459999999999996</c:v>
                </c:pt>
                <c:pt idx="32" formatCode="0.00000">
                  <c:v>0.53739999999999999</c:v>
                </c:pt>
                <c:pt idx="33" formatCode="0.00000">
                  <c:v>0.53520000000000001</c:v>
                </c:pt>
                <c:pt idx="34" formatCode="0.00000">
                  <c:v>0.53580000000000005</c:v>
                </c:pt>
                <c:pt idx="35" formatCode="0.00000">
                  <c:v>0.53779999999999994</c:v>
                </c:pt>
                <c:pt idx="36" formatCode="0.00000">
                  <c:v>0.53810000000000002</c:v>
                </c:pt>
                <c:pt idx="37" formatCode="0.00000">
                  <c:v>0.54520000000000002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E6-4087-8395-892705E6EF56}"/>
            </c:ext>
          </c:extLst>
        </c:ser>
        <c:ser>
          <c:idx val="3"/>
          <c:order val="3"/>
          <c:tx>
            <c:strRef>
              <c:f>Smile!$P$2</c:f>
              <c:strCache>
                <c:ptCount val="1"/>
                <c:pt idx="0">
                  <c:v>0,75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Smile!$L$3:$L$49</c:f>
              <c:numCache>
                <c:formatCode>General</c:formatCode>
                <c:ptCount val="47"/>
                <c:pt idx="0">
                  <c:v>40</c:v>
                </c:pt>
                <c:pt idx="1">
                  <c:v>45</c:v>
                </c:pt>
                <c:pt idx="2">
                  <c:v>50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  <c:pt idx="6">
                  <c:v>70</c:v>
                </c:pt>
                <c:pt idx="7">
                  <c:v>75</c:v>
                </c:pt>
                <c:pt idx="8">
                  <c:v>80</c:v>
                </c:pt>
                <c:pt idx="9">
                  <c:v>85</c:v>
                </c:pt>
                <c:pt idx="10">
                  <c:v>90</c:v>
                </c:pt>
                <c:pt idx="11">
                  <c:v>95</c:v>
                </c:pt>
                <c:pt idx="12">
                  <c:v>100</c:v>
                </c:pt>
                <c:pt idx="13">
                  <c:v>105</c:v>
                </c:pt>
                <c:pt idx="14">
                  <c:v>110</c:v>
                </c:pt>
                <c:pt idx="15">
                  <c:v>115</c:v>
                </c:pt>
                <c:pt idx="16">
                  <c:v>120</c:v>
                </c:pt>
                <c:pt idx="17">
                  <c:v>125</c:v>
                </c:pt>
                <c:pt idx="18">
                  <c:v>130</c:v>
                </c:pt>
                <c:pt idx="19">
                  <c:v>135</c:v>
                </c:pt>
                <c:pt idx="20">
                  <c:v>140</c:v>
                </c:pt>
                <c:pt idx="21">
                  <c:v>145</c:v>
                </c:pt>
                <c:pt idx="22">
                  <c:v>150</c:v>
                </c:pt>
                <c:pt idx="23">
                  <c:v>155</c:v>
                </c:pt>
                <c:pt idx="24">
                  <c:v>160</c:v>
                </c:pt>
                <c:pt idx="25">
                  <c:v>165</c:v>
                </c:pt>
                <c:pt idx="26">
                  <c:v>170</c:v>
                </c:pt>
                <c:pt idx="27">
                  <c:v>175</c:v>
                </c:pt>
                <c:pt idx="28">
                  <c:v>180</c:v>
                </c:pt>
                <c:pt idx="29">
                  <c:v>185</c:v>
                </c:pt>
                <c:pt idx="30">
                  <c:v>190</c:v>
                </c:pt>
                <c:pt idx="31">
                  <c:v>195</c:v>
                </c:pt>
                <c:pt idx="32">
                  <c:v>200</c:v>
                </c:pt>
                <c:pt idx="33">
                  <c:v>205</c:v>
                </c:pt>
                <c:pt idx="34">
                  <c:v>210</c:v>
                </c:pt>
                <c:pt idx="35">
                  <c:v>215</c:v>
                </c:pt>
                <c:pt idx="36">
                  <c:v>220</c:v>
                </c:pt>
                <c:pt idx="37">
                  <c:v>225</c:v>
                </c:pt>
                <c:pt idx="38">
                  <c:v>230</c:v>
                </c:pt>
                <c:pt idx="39">
                  <c:v>235</c:v>
                </c:pt>
                <c:pt idx="40">
                  <c:v>240</c:v>
                </c:pt>
                <c:pt idx="41">
                  <c:v>245</c:v>
                </c:pt>
                <c:pt idx="42">
                  <c:v>250</c:v>
                </c:pt>
                <c:pt idx="43">
                  <c:v>255</c:v>
                </c:pt>
                <c:pt idx="44">
                  <c:v>260</c:v>
                </c:pt>
                <c:pt idx="45">
                  <c:v>265</c:v>
                </c:pt>
                <c:pt idx="46">
                  <c:v>270</c:v>
                </c:pt>
              </c:numCache>
            </c:numRef>
          </c:cat>
          <c:val>
            <c:numRef>
              <c:f>Smile!$P$3:$P$49</c:f>
              <c:numCache>
                <c:formatCode>0.00000</c:formatCode>
                <c:ptCount val="47"/>
                <c:pt idx="0">
                  <c:v>0.84719999999999995</c:v>
                </c:pt>
                <c:pt idx="1">
                  <c:v>0.79969999999999997</c:v>
                </c:pt>
                <c:pt idx="2">
                  <c:v>0.77310000000000001</c:v>
                </c:pt>
                <c:pt idx="3">
                  <c:v>0.74450000000000005</c:v>
                </c:pt>
                <c:pt idx="4">
                  <c:v>0.69930000000000003</c:v>
                </c:pt>
                <c:pt idx="5">
                  <c:v>0.68559999999999999</c:v>
                </c:pt>
                <c:pt idx="6">
                  <c:v>0.65659999999999996</c:v>
                </c:pt>
                <c:pt idx="7">
                  <c:v>0.63380000000000003</c:v>
                </c:pt>
                <c:pt idx="8">
                  <c:v>0.61350000000000005</c:v>
                </c:pt>
                <c:pt idx="9">
                  <c:v>0.61260000000000003</c:v>
                </c:pt>
                <c:pt idx="10">
                  <c:v>0.59419999999999995</c:v>
                </c:pt>
                <c:pt idx="11">
                  <c:v>0.57769999999999999</c:v>
                </c:pt>
                <c:pt idx="12">
                  <c:v>0.56840000000000002</c:v>
                </c:pt>
                <c:pt idx="13">
                  <c:v>0.56459999999999999</c:v>
                </c:pt>
                <c:pt idx="14">
                  <c:v>0.55879999999999996</c:v>
                </c:pt>
                <c:pt idx="15">
                  <c:v>0.54990000000000006</c:v>
                </c:pt>
                <c:pt idx="16">
                  <c:v>0.54410000000000003</c:v>
                </c:pt>
                <c:pt idx="17">
                  <c:v>0.54020000000000001</c:v>
                </c:pt>
                <c:pt idx="18">
                  <c:v>0.53590000000000004</c:v>
                </c:pt>
                <c:pt idx="19">
                  <c:v>0.53120000000000001</c:v>
                </c:pt>
                <c:pt idx="20">
                  <c:v>0.5272</c:v>
                </c:pt>
                <c:pt idx="21">
                  <c:v>0.5242</c:v>
                </c:pt>
                <c:pt idx="22">
                  <c:v>0.52100000000000002</c:v>
                </c:pt>
                <c:pt idx="23">
                  <c:v>0.51939999999999997</c:v>
                </c:pt>
                <c:pt idx="24">
                  <c:v>0.51739999999999997</c:v>
                </c:pt>
                <c:pt idx="25">
                  <c:v>0.51529999999999998</c:v>
                </c:pt>
                <c:pt idx="26">
                  <c:v>0.50960000000000005</c:v>
                </c:pt>
                <c:pt idx="27">
                  <c:v>0.51259999999999994</c:v>
                </c:pt>
                <c:pt idx="28">
                  <c:v>0.51170000000000004</c:v>
                </c:pt>
                <c:pt idx="29">
                  <c:v>0.51180000000000003</c:v>
                </c:pt>
                <c:pt idx="30">
                  <c:v>0.51229999999999998</c:v>
                </c:pt>
                <c:pt idx="31">
                  <c:v>0.51180000000000003</c:v>
                </c:pt>
                <c:pt idx="32">
                  <c:v>0.51229999999999998</c:v>
                </c:pt>
                <c:pt idx="34">
                  <c:v>0.51290000000000002</c:v>
                </c:pt>
                <c:pt idx="36">
                  <c:v>0.51539999999999997</c:v>
                </c:pt>
                <c:pt idx="38">
                  <c:v>0.51839999999999997</c:v>
                </c:pt>
                <c:pt idx="39">
                  <c:v>0.51949999999999996</c:v>
                </c:pt>
                <c:pt idx="40">
                  <c:v>0.52100000000000002</c:v>
                </c:pt>
                <c:pt idx="41">
                  <c:v>0.52270000000000005</c:v>
                </c:pt>
                <c:pt idx="42">
                  <c:v>0.52500000000000002</c:v>
                </c:pt>
                <c:pt idx="43">
                  <c:v>0.52659999999999996</c:v>
                </c:pt>
                <c:pt idx="44">
                  <c:v>0.52839999999999998</c:v>
                </c:pt>
                <c:pt idx="45">
                  <c:v>0.53169999999999995</c:v>
                </c:pt>
                <c:pt idx="46">
                  <c:v>0.53220000000000001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E6-4087-8395-892705E6EF56}"/>
            </c:ext>
          </c:extLst>
        </c:ser>
        <c:ser>
          <c:idx val="4"/>
          <c:order val="4"/>
          <c:tx>
            <c:strRef>
              <c:f>Smile!$Q$2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Smile!$L$3:$L$49</c:f>
              <c:numCache>
                <c:formatCode>General</c:formatCode>
                <c:ptCount val="47"/>
                <c:pt idx="0">
                  <c:v>40</c:v>
                </c:pt>
                <c:pt idx="1">
                  <c:v>45</c:v>
                </c:pt>
                <c:pt idx="2">
                  <c:v>50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  <c:pt idx="6">
                  <c:v>70</c:v>
                </c:pt>
                <c:pt idx="7">
                  <c:v>75</c:v>
                </c:pt>
                <c:pt idx="8">
                  <c:v>80</c:v>
                </c:pt>
                <c:pt idx="9">
                  <c:v>85</c:v>
                </c:pt>
                <c:pt idx="10">
                  <c:v>90</c:v>
                </c:pt>
                <c:pt idx="11">
                  <c:v>95</c:v>
                </c:pt>
                <c:pt idx="12">
                  <c:v>100</c:v>
                </c:pt>
                <c:pt idx="13">
                  <c:v>105</c:v>
                </c:pt>
                <c:pt idx="14">
                  <c:v>110</c:v>
                </c:pt>
                <c:pt idx="15">
                  <c:v>115</c:v>
                </c:pt>
                <c:pt idx="16">
                  <c:v>120</c:v>
                </c:pt>
                <c:pt idx="17">
                  <c:v>125</c:v>
                </c:pt>
                <c:pt idx="18">
                  <c:v>130</c:v>
                </c:pt>
                <c:pt idx="19">
                  <c:v>135</c:v>
                </c:pt>
                <c:pt idx="20">
                  <c:v>140</c:v>
                </c:pt>
                <c:pt idx="21">
                  <c:v>145</c:v>
                </c:pt>
                <c:pt idx="22">
                  <c:v>150</c:v>
                </c:pt>
                <c:pt idx="23">
                  <c:v>155</c:v>
                </c:pt>
                <c:pt idx="24">
                  <c:v>160</c:v>
                </c:pt>
                <c:pt idx="25">
                  <c:v>165</c:v>
                </c:pt>
                <c:pt idx="26">
                  <c:v>170</c:v>
                </c:pt>
                <c:pt idx="27">
                  <c:v>175</c:v>
                </c:pt>
                <c:pt idx="28">
                  <c:v>180</c:v>
                </c:pt>
                <c:pt idx="29">
                  <c:v>185</c:v>
                </c:pt>
                <c:pt idx="30">
                  <c:v>190</c:v>
                </c:pt>
                <c:pt idx="31">
                  <c:v>195</c:v>
                </c:pt>
                <c:pt idx="32">
                  <c:v>200</c:v>
                </c:pt>
                <c:pt idx="33">
                  <c:v>205</c:v>
                </c:pt>
                <c:pt idx="34">
                  <c:v>210</c:v>
                </c:pt>
                <c:pt idx="35">
                  <c:v>215</c:v>
                </c:pt>
                <c:pt idx="36">
                  <c:v>220</c:v>
                </c:pt>
                <c:pt idx="37">
                  <c:v>225</c:v>
                </c:pt>
                <c:pt idx="38">
                  <c:v>230</c:v>
                </c:pt>
                <c:pt idx="39">
                  <c:v>235</c:v>
                </c:pt>
                <c:pt idx="40">
                  <c:v>240</c:v>
                </c:pt>
                <c:pt idx="41">
                  <c:v>245</c:v>
                </c:pt>
                <c:pt idx="42">
                  <c:v>250</c:v>
                </c:pt>
                <c:pt idx="43">
                  <c:v>255</c:v>
                </c:pt>
                <c:pt idx="44">
                  <c:v>260</c:v>
                </c:pt>
                <c:pt idx="45">
                  <c:v>265</c:v>
                </c:pt>
                <c:pt idx="46">
                  <c:v>270</c:v>
                </c:pt>
              </c:numCache>
            </c:numRef>
          </c:cat>
          <c:val>
            <c:numRef>
              <c:f>Smile!$Q$3:$Q$49</c:f>
              <c:numCache>
                <c:formatCode>General</c:formatCode>
                <c:ptCount val="47"/>
                <c:pt idx="0" formatCode="0.00000">
                  <c:v>0.78779999999999994</c:v>
                </c:pt>
                <c:pt idx="2" formatCode="0.00000">
                  <c:v>0.70799999999999996</c:v>
                </c:pt>
                <c:pt idx="3" formatCode="0.00000">
                  <c:v>0.68630000000000002</c:v>
                </c:pt>
                <c:pt idx="4" formatCode="0.00000">
                  <c:v>0.66110000000000002</c:v>
                </c:pt>
                <c:pt idx="5" formatCode="0.00000">
                  <c:v>0.65049999999999997</c:v>
                </c:pt>
                <c:pt idx="6" formatCode="0.00000">
                  <c:v>0.62970000000000004</c:v>
                </c:pt>
                <c:pt idx="7" formatCode="0.00000">
                  <c:v>0.61519999999999997</c:v>
                </c:pt>
                <c:pt idx="8" formatCode="0.00000">
                  <c:v>0.59630000000000005</c:v>
                </c:pt>
                <c:pt idx="9" formatCode="0.00000">
                  <c:v>0.59219999999999995</c:v>
                </c:pt>
                <c:pt idx="10" formatCode="0.00000">
                  <c:v>0.57930000000000004</c:v>
                </c:pt>
                <c:pt idx="11" formatCode="0.00000">
                  <c:v>0.57599999999999996</c:v>
                </c:pt>
                <c:pt idx="12" formatCode="0.00000">
                  <c:v>0.55710000000000004</c:v>
                </c:pt>
                <c:pt idx="13" formatCode="0.00000">
                  <c:v>0.56140000000000001</c:v>
                </c:pt>
                <c:pt idx="14" formatCode="0.00000">
                  <c:v>0.54349999999999998</c:v>
                </c:pt>
                <c:pt idx="15" formatCode="0.00000">
                  <c:v>0.54590000000000005</c:v>
                </c:pt>
                <c:pt idx="16" formatCode="0.00000">
                  <c:v>0.54769999999999996</c:v>
                </c:pt>
                <c:pt idx="17" formatCode="0.00000">
                  <c:v>0.53110000000000002</c:v>
                </c:pt>
                <c:pt idx="18" formatCode="0.00000">
                  <c:v>0.51780000000000004</c:v>
                </c:pt>
                <c:pt idx="19" formatCode="0.00000">
                  <c:v>0.51290000000000002</c:v>
                </c:pt>
                <c:pt idx="20" formatCode="0.00000">
                  <c:v>0.51239999999999997</c:v>
                </c:pt>
                <c:pt idx="21" formatCode="0.00000">
                  <c:v>0.51629999999999998</c:v>
                </c:pt>
                <c:pt idx="22" formatCode="0.00000">
                  <c:v>0.51200000000000001</c:v>
                </c:pt>
                <c:pt idx="23" formatCode="0.00000">
                  <c:v>0.51249999999999996</c:v>
                </c:pt>
                <c:pt idx="24" formatCode="0.00000">
                  <c:v>0.50590000000000002</c:v>
                </c:pt>
                <c:pt idx="25" formatCode="0.00000">
                  <c:v>0.51419999999999999</c:v>
                </c:pt>
                <c:pt idx="26" formatCode="0.00000">
                  <c:v>0.50529999999999997</c:v>
                </c:pt>
                <c:pt idx="27" formatCode="0.00000">
                  <c:v>0.50319999999999998</c:v>
                </c:pt>
                <c:pt idx="28" formatCode="0.00000">
                  <c:v>0.51500000000000001</c:v>
                </c:pt>
                <c:pt idx="29" formatCode="0.00000">
                  <c:v>0.50970000000000004</c:v>
                </c:pt>
                <c:pt idx="30" formatCode="0.00000">
                  <c:v>0.50590000000000002</c:v>
                </c:pt>
                <c:pt idx="31" formatCode="0.00000">
                  <c:v>0.50980000000000003</c:v>
                </c:pt>
                <c:pt idx="32" formatCode="0.00000">
                  <c:v>0.50960000000000005</c:v>
                </c:pt>
                <c:pt idx="33" formatCode="0.00000">
                  <c:v>0.50060000000000004</c:v>
                </c:pt>
                <c:pt idx="34" formatCode="0.00000">
                  <c:v>0.50280000000000002</c:v>
                </c:pt>
                <c:pt idx="35" formatCode="0.00000">
                  <c:v>0.50319999999999998</c:v>
                </c:pt>
                <c:pt idx="36" formatCode="0.00000">
                  <c:v>0.50680000000000003</c:v>
                </c:pt>
                <c:pt idx="37" formatCode="0.00000">
                  <c:v>0.505</c:v>
                </c:pt>
                <c:pt idx="38" formatCode="0.00000">
                  <c:v>0.51490000000000002</c:v>
                </c:pt>
                <c:pt idx="40" formatCode="0.00000">
                  <c:v>0.50039999999999996</c:v>
                </c:pt>
                <c:pt idx="42" formatCode="0.00000">
                  <c:v>0.51529999999999998</c:v>
                </c:pt>
                <c:pt idx="44" formatCode="0.00000">
                  <c:v>0.51659999999999995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E6-4087-8395-892705E6EF56}"/>
            </c:ext>
          </c:extLst>
        </c:ser>
        <c:ser>
          <c:idx val="5"/>
          <c:order val="5"/>
          <c:tx>
            <c:strRef>
              <c:f>Smile!$R$2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Smile!$L$3:$L$49</c:f>
              <c:numCache>
                <c:formatCode>General</c:formatCode>
                <c:ptCount val="47"/>
                <c:pt idx="0">
                  <c:v>40</c:v>
                </c:pt>
                <c:pt idx="1">
                  <c:v>45</c:v>
                </c:pt>
                <c:pt idx="2">
                  <c:v>50</c:v>
                </c:pt>
                <c:pt idx="3">
                  <c:v>55</c:v>
                </c:pt>
                <c:pt idx="4">
                  <c:v>60</c:v>
                </c:pt>
                <c:pt idx="5">
                  <c:v>65</c:v>
                </c:pt>
                <c:pt idx="6">
                  <c:v>70</c:v>
                </c:pt>
                <c:pt idx="7">
                  <c:v>75</c:v>
                </c:pt>
                <c:pt idx="8">
                  <c:v>80</c:v>
                </c:pt>
                <c:pt idx="9">
                  <c:v>85</c:v>
                </c:pt>
                <c:pt idx="10">
                  <c:v>90</c:v>
                </c:pt>
                <c:pt idx="11">
                  <c:v>95</c:v>
                </c:pt>
                <c:pt idx="12">
                  <c:v>100</c:v>
                </c:pt>
                <c:pt idx="13">
                  <c:v>105</c:v>
                </c:pt>
                <c:pt idx="14">
                  <c:v>110</c:v>
                </c:pt>
                <c:pt idx="15">
                  <c:v>115</c:v>
                </c:pt>
                <c:pt idx="16">
                  <c:v>120</c:v>
                </c:pt>
                <c:pt idx="17">
                  <c:v>125</c:v>
                </c:pt>
                <c:pt idx="18">
                  <c:v>130</c:v>
                </c:pt>
                <c:pt idx="19">
                  <c:v>135</c:v>
                </c:pt>
                <c:pt idx="20">
                  <c:v>140</c:v>
                </c:pt>
                <c:pt idx="21">
                  <c:v>145</c:v>
                </c:pt>
                <c:pt idx="22">
                  <c:v>150</c:v>
                </c:pt>
                <c:pt idx="23">
                  <c:v>155</c:v>
                </c:pt>
                <c:pt idx="24">
                  <c:v>160</c:v>
                </c:pt>
                <c:pt idx="25">
                  <c:v>165</c:v>
                </c:pt>
                <c:pt idx="26">
                  <c:v>170</c:v>
                </c:pt>
                <c:pt idx="27">
                  <c:v>175</c:v>
                </c:pt>
                <c:pt idx="28">
                  <c:v>180</c:v>
                </c:pt>
                <c:pt idx="29">
                  <c:v>185</c:v>
                </c:pt>
                <c:pt idx="30">
                  <c:v>190</c:v>
                </c:pt>
                <c:pt idx="31">
                  <c:v>195</c:v>
                </c:pt>
                <c:pt idx="32">
                  <c:v>200</c:v>
                </c:pt>
                <c:pt idx="33">
                  <c:v>205</c:v>
                </c:pt>
                <c:pt idx="34">
                  <c:v>210</c:v>
                </c:pt>
                <c:pt idx="35">
                  <c:v>215</c:v>
                </c:pt>
                <c:pt idx="36">
                  <c:v>220</c:v>
                </c:pt>
                <c:pt idx="37">
                  <c:v>225</c:v>
                </c:pt>
                <c:pt idx="38">
                  <c:v>230</c:v>
                </c:pt>
                <c:pt idx="39">
                  <c:v>235</c:v>
                </c:pt>
                <c:pt idx="40">
                  <c:v>240</c:v>
                </c:pt>
                <c:pt idx="41">
                  <c:v>245</c:v>
                </c:pt>
                <c:pt idx="42">
                  <c:v>250</c:v>
                </c:pt>
                <c:pt idx="43">
                  <c:v>255</c:v>
                </c:pt>
                <c:pt idx="44">
                  <c:v>260</c:v>
                </c:pt>
                <c:pt idx="45">
                  <c:v>265</c:v>
                </c:pt>
                <c:pt idx="46">
                  <c:v>270</c:v>
                </c:pt>
              </c:numCache>
            </c:numRef>
          </c:cat>
          <c:val>
            <c:numRef>
              <c:f>Smile!$R$3:$R$49</c:f>
              <c:numCache>
                <c:formatCode>0.00000</c:formatCode>
                <c:ptCount val="47"/>
                <c:pt idx="0">
                  <c:v>0.74099999999999999</c:v>
                </c:pt>
                <c:pt idx="1">
                  <c:v>0.70089999999999997</c:v>
                </c:pt>
                <c:pt idx="2">
                  <c:v>0.69769999999999999</c:v>
                </c:pt>
                <c:pt idx="3">
                  <c:v>0.66610000000000003</c:v>
                </c:pt>
                <c:pt idx="4">
                  <c:v>0.6532</c:v>
                </c:pt>
                <c:pt idx="5">
                  <c:v>0.63070000000000004</c:v>
                </c:pt>
                <c:pt idx="6">
                  <c:v>0.61909999999999998</c:v>
                </c:pt>
                <c:pt idx="7">
                  <c:v>0.60629999999999995</c:v>
                </c:pt>
                <c:pt idx="8">
                  <c:v>0.59650000000000003</c:v>
                </c:pt>
                <c:pt idx="9">
                  <c:v>0.5806</c:v>
                </c:pt>
                <c:pt idx="10">
                  <c:v>0.57250000000000001</c:v>
                </c:pt>
                <c:pt idx="11">
                  <c:v>0.57589999999999997</c:v>
                </c:pt>
                <c:pt idx="12">
                  <c:v>0.56030000000000002</c:v>
                </c:pt>
                <c:pt idx="13">
                  <c:v>0.55659999999999998</c:v>
                </c:pt>
                <c:pt idx="14">
                  <c:v>0.55079999999999996</c:v>
                </c:pt>
                <c:pt idx="15">
                  <c:v>0.54139999999999999</c:v>
                </c:pt>
                <c:pt idx="16">
                  <c:v>0.54059999999999997</c:v>
                </c:pt>
                <c:pt idx="17">
                  <c:v>0.53239999999999998</c:v>
                </c:pt>
                <c:pt idx="18">
                  <c:v>0.53269999999999995</c:v>
                </c:pt>
                <c:pt idx="19">
                  <c:v>0.52790000000000004</c:v>
                </c:pt>
                <c:pt idx="20">
                  <c:v>0.52390000000000003</c:v>
                </c:pt>
                <c:pt idx="21">
                  <c:v>0.52080000000000004</c:v>
                </c:pt>
                <c:pt idx="22">
                  <c:v>0.51980000000000004</c:v>
                </c:pt>
                <c:pt idx="23">
                  <c:v>0.51100000000000001</c:v>
                </c:pt>
                <c:pt idx="24">
                  <c:v>0.50890000000000002</c:v>
                </c:pt>
                <c:pt idx="25">
                  <c:v>0.51029999999999998</c:v>
                </c:pt>
                <c:pt idx="26">
                  <c:v>0.50839999999999996</c:v>
                </c:pt>
                <c:pt idx="27">
                  <c:v>0.50349999999999995</c:v>
                </c:pt>
                <c:pt idx="28">
                  <c:v>0.50339999999999996</c:v>
                </c:pt>
                <c:pt idx="29">
                  <c:v>0.50770000000000004</c:v>
                </c:pt>
                <c:pt idx="30">
                  <c:v>0.50690000000000002</c:v>
                </c:pt>
                <c:pt idx="31">
                  <c:v>0.50429999999999997</c:v>
                </c:pt>
                <c:pt idx="32">
                  <c:v>0.50290000000000001</c:v>
                </c:pt>
                <c:pt idx="34">
                  <c:v>0.49990000000000001</c:v>
                </c:pt>
                <c:pt idx="36">
                  <c:v>0.502</c:v>
                </c:pt>
                <c:pt idx="38">
                  <c:v>0.50080000000000002</c:v>
                </c:pt>
                <c:pt idx="39">
                  <c:v>0.498</c:v>
                </c:pt>
                <c:pt idx="40">
                  <c:v>0.49840000000000001</c:v>
                </c:pt>
                <c:pt idx="41">
                  <c:v>0.49830000000000002</c:v>
                </c:pt>
                <c:pt idx="42">
                  <c:v>0.49640000000000001</c:v>
                </c:pt>
                <c:pt idx="43">
                  <c:v>0.4995</c:v>
                </c:pt>
                <c:pt idx="44">
                  <c:v>0.4995</c:v>
                </c:pt>
                <c:pt idx="45">
                  <c:v>0.50039999999999996</c:v>
                </c:pt>
                <c:pt idx="46">
                  <c:v>0.49959999999999999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E6-4087-8395-892705E6EF5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580166936"/>
        <c:axId val="580167592"/>
        <c:axId val="590564856"/>
      </c:surface3DChart>
      <c:catAx>
        <c:axId val="580166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80167592"/>
        <c:crosses val="autoZero"/>
        <c:auto val="1"/>
        <c:lblAlgn val="ctr"/>
        <c:lblOffset val="100"/>
        <c:noMultiLvlLbl val="0"/>
      </c:catAx>
      <c:valAx>
        <c:axId val="5801675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80166936"/>
        <c:crosses val="autoZero"/>
        <c:crossBetween val="midCat"/>
      </c:valAx>
      <c:serAx>
        <c:axId val="59056485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8016759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44</xdr:row>
      <xdr:rowOff>0</xdr:rowOff>
    </xdr:from>
    <xdr:to>
      <xdr:col>10</xdr:col>
      <xdr:colOff>561300</xdr:colOff>
      <xdr:row>65</xdr:row>
      <xdr:rowOff>119520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36B5414-9E24-4FF8-B1A7-827D0272CA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15240</xdr:colOff>
      <xdr:row>68</xdr:row>
      <xdr:rowOff>0</xdr:rowOff>
    </xdr:from>
    <xdr:to>
      <xdr:col>10</xdr:col>
      <xdr:colOff>576540</xdr:colOff>
      <xdr:row>89</xdr:row>
      <xdr:rowOff>119520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72F1E037-6D12-408C-825A-03E1915324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15240</xdr:colOff>
      <xdr:row>91</xdr:row>
      <xdr:rowOff>167640</xdr:rowOff>
    </xdr:from>
    <xdr:to>
      <xdr:col>10</xdr:col>
      <xdr:colOff>576540</xdr:colOff>
      <xdr:row>113</xdr:row>
      <xdr:rowOff>104280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C91A1D01-B63D-4F5A-AB25-D701C3CC1D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198120</xdr:colOff>
      <xdr:row>116</xdr:row>
      <xdr:rowOff>0</xdr:rowOff>
    </xdr:from>
    <xdr:to>
      <xdr:col>10</xdr:col>
      <xdr:colOff>759420</xdr:colOff>
      <xdr:row>137</xdr:row>
      <xdr:rowOff>119520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4F77E1BE-E397-42C0-9F0C-05CE472D8C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861060</xdr:colOff>
      <xdr:row>20</xdr:row>
      <xdr:rowOff>7620</xdr:rowOff>
    </xdr:from>
    <xdr:to>
      <xdr:col>10</xdr:col>
      <xdr:colOff>553680</xdr:colOff>
      <xdr:row>41</xdr:row>
      <xdr:rowOff>127140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3D2199-A7FB-4177-8604-0B15DC87E7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0</xdr:colOff>
      <xdr:row>19</xdr:row>
      <xdr:rowOff>175260</xdr:rowOff>
    </xdr:from>
    <xdr:to>
      <xdr:col>29</xdr:col>
      <xdr:colOff>96480</xdr:colOff>
      <xdr:row>41</xdr:row>
      <xdr:rowOff>111900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FB92DE65-ECCE-4934-A9FE-8B0EF3BCB9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510540</xdr:colOff>
      <xdr:row>43</xdr:row>
      <xdr:rowOff>167640</xdr:rowOff>
    </xdr:from>
    <xdr:to>
      <xdr:col>28</xdr:col>
      <xdr:colOff>393660</xdr:colOff>
      <xdr:row>65</xdr:row>
      <xdr:rowOff>104280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BB5E0373-ADF6-46B4-AB6C-D5DF829685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358140</xdr:colOff>
      <xdr:row>67</xdr:row>
      <xdr:rowOff>167640</xdr:rowOff>
    </xdr:from>
    <xdr:to>
      <xdr:col>29</xdr:col>
      <xdr:colOff>454620</xdr:colOff>
      <xdr:row>89</xdr:row>
      <xdr:rowOff>104280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7D336E33-C00A-472A-AF23-3FD8F1EF62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251460</xdr:colOff>
      <xdr:row>91</xdr:row>
      <xdr:rowOff>167640</xdr:rowOff>
    </xdr:from>
    <xdr:to>
      <xdr:col>29</xdr:col>
      <xdr:colOff>347940</xdr:colOff>
      <xdr:row>113</xdr:row>
      <xdr:rowOff>104280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C71B6A6-F4F5-490D-B690-979F65923C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190500</xdr:colOff>
      <xdr:row>115</xdr:row>
      <xdr:rowOff>167640</xdr:rowOff>
    </xdr:from>
    <xdr:to>
      <xdr:col>29</xdr:col>
      <xdr:colOff>286980</xdr:colOff>
      <xdr:row>137</xdr:row>
      <xdr:rowOff>104280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E91C793E-DC62-4A81-B9FB-07DD253E2D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39</xdr:col>
      <xdr:colOff>236220</xdr:colOff>
      <xdr:row>20</xdr:row>
      <xdr:rowOff>7620</xdr:rowOff>
    </xdr:from>
    <xdr:to>
      <xdr:col>45</xdr:col>
      <xdr:colOff>424140</xdr:colOff>
      <xdr:row>41</xdr:row>
      <xdr:rowOff>127140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84C55A5-4FC0-4DC9-A1A1-5F6F6773E1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40</xdr:col>
      <xdr:colOff>83820</xdr:colOff>
      <xdr:row>44</xdr:row>
      <xdr:rowOff>7620</xdr:rowOff>
    </xdr:from>
    <xdr:to>
      <xdr:col>46</xdr:col>
      <xdr:colOff>271740</xdr:colOff>
      <xdr:row>65</xdr:row>
      <xdr:rowOff>127140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2304876-A28D-485C-BC7A-FE5BB51F7A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39</xdr:col>
      <xdr:colOff>594360</xdr:colOff>
      <xdr:row>67</xdr:row>
      <xdr:rowOff>152400</xdr:rowOff>
    </xdr:from>
    <xdr:to>
      <xdr:col>45</xdr:col>
      <xdr:colOff>782280</xdr:colOff>
      <xdr:row>89</xdr:row>
      <xdr:rowOff>89040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84A7470B-0E93-4D55-A2AB-16BB31E96C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39</xdr:col>
      <xdr:colOff>838200</xdr:colOff>
      <xdr:row>92</xdr:row>
      <xdr:rowOff>0</xdr:rowOff>
    </xdr:from>
    <xdr:to>
      <xdr:col>46</xdr:col>
      <xdr:colOff>157440</xdr:colOff>
      <xdr:row>113</xdr:row>
      <xdr:rowOff>119520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EF2319C1-8C82-49D7-8EE0-2537C6B920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39</xdr:col>
      <xdr:colOff>609600</xdr:colOff>
      <xdr:row>116</xdr:row>
      <xdr:rowOff>7620</xdr:rowOff>
    </xdr:from>
    <xdr:to>
      <xdr:col>45</xdr:col>
      <xdr:colOff>797520</xdr:colOff>
      <xdr:row>137</xdr:row>
      <xdr:rowOff>127140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676B8A88-D2DE-4273-9899-0E8AABA0BB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411480</xdr:colOff>
      <xdr:row>1</xdr:row>
      <xdr:rowOff>392430</xdr:rowOff>
    </xdr:from>
    <xdr:to>
      <xdr:col>9</xdr:col>
      <xdr:colOff>325080</xdr:colOff>
      <xdr:row>6</xdr:row>
      <xdr:rowOff>656730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EB213531-BC0E-4FC4-82F9-00E58BFA57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312420</xdr:colOff>
      <xdr:row>1</xdr:row>
      <xdr:rowOff>240030</xdr:rowOff>
    </xdr:from>
    <xdr:to>
      <xdr:col>10</xdr:col>
      <xdr:colOff>226020</xdr:colOff>
      <xdr:row>6</xdr:row>
      <xdr:rowOff>504330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11D0CBFA-44BF-4C0E-9111-FD0129808B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556260</xdr:colOff>
      <xdr:row>1</xdr:row>
      <xdr:rowOff>240030</xdr:rowOff>
    </xdr:from>
    <xdr:to>
      <xdr:col>10</xdr:col>
      <xdr:colOff>469860</xdr:colOff>
      <xdr:row>6</xdr:row>
      <xdr:rowOff>502920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DED7D73A-883B-4833-A111-F0EB49CBB4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243840</xdr:colOff>
      <xdr:row>0</xdr:row>
      <xdr:rowOff>476250</xdr:rowOff>
    </xdr:from>
    <xdr:to>
      <xdr:col>12</xdr:col>
      <xdr:colOff>157440</xdr:colOff>
      <xdr:row>6</xdr:row>
      <xdr:rowOff>184290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16421A6D-6495-4BB7-9234-8C7E4E677F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449580</xdr:colOff>
      <xdr:row>1</xdr:row>
      <xdr:rowOff>148590</xdr:rowOff>
    </xdr:from>
    <xdr:to>
      <xdr:col>10</xdr:col>
      <xdr:colOff>363180</xdr:colOff>
      <xdr:row>6</xdr:row>
      <xdr:rowOff>412890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B95ED4BC-F5E4-4A36-AC25-434A64F8BC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91440</xdr:colOff>
      <xdr:row>1</xdr:row>
      <xdr:rowOff>194310</xdr:rowOff>
    </xdr:from>
    <xdr:to>
      <xdr:col>12</xdr:col>
      <xdr:colOff>5040</xdr:colOff>
      <xdr:row>6</xdr:row>
      <xdr:rowOff>458610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3BF15C3E-8832-4D2E-A878-685ECFB635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91440</xdr:colOff>
      <xdr:row>3</xdr:row>
      <xdr:rowOff>186690</xdr:rowOff>
    </xdr:from>
    <xdr:to>
      <xdr:col>29</xdr:col>
      <xdr:colOff>5040</xdr:colOff>
      <xdr:row>24</xdr:row>
      <xdr:rowOff>146190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16E1F00D-A6E8-496A-9EBE-ACD30CE02D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411480</xdr:colOff>
      <xdr:row>5</xdr:row>
      <xdr:rowOff>140970</xdr:rowOff>
    </xdr:from>
    <xdr:to>
      <xdr:col>18</xdr:col>
      <xdr:colOff>106680</xdr:colOff>
      <xdr:row>20</xdr:row>
      <xdr:rowOff>26670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F3FD5D08-F286-4C9F-AB48-343D2CD153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finance.yahoo.com/quote/BABA/options?strike=103&amp;straddle=false" TargetMode="External"/><Relationship Id="rId21" Type="http://schemas.openxmlformats.org/officeDocument/2006/relationships/hyperlink" Target="https://finance.yahoo.com/quote/BABA220506C00101000?p=BABA220506C00101000" TargetMode="External"/><Relationship Id="rId34" Type="http://schemas.openxmlformats.org/officeDocument/2006/relationships/hyperlink" Target="https://finance.yahoo.com/quote/BABA/options?strike=108&amp;straddle=false" TargetMode="External"/><Relationship Id="rId42" Type="http://schemas.openxmlformats.org/officeDocument/2006/relationships/hyperlink" Target="https://finance.yahoo.com/quote/BABA/options?strike=112&amp;straddle=false" TargetMode="External"/><Relationship Id="rId47" Type="http://schemas.openxmlformats.org/officeDocument/2006/relationships/hyperlink" Target="https://finance.yahoo.com/quote/BABA220506C00115000?p=BABA220506C00115000" TargetMode="External"/><Relationship Id="rId50" Type="http://schemas.openxmlformats.org/officeDocument/2006/relationships/hyperlink" Target="https://finance.yahoo.com/quote/BABA/options?strike=116&amp;straddle=false" TargetMode="External"/><Relationship Id="rId55" Type="http://schemas.openxmlformats.org/officeDocument/2006/relationships/hyperlink" Target="https://finance.yahoo.com/quote/BABA220506C00119000?p=BABA220506C00119000" TargetMode="External"/><Relationship Id="rId63" Type="http://schemas.openxmlformats.org/officeDocument/2006/relationships/hyperlink" Target="https://finance.yahoo.com/quote/BABA220506C00123000?p=BABA220506C00123000" TargetMode="External"/><Relationship Id="rId68" Type="http://schemas.openxmlformats.org/officeDocument/2006/relationships/hyperlink" Target="https://finance.yahoo.com/quote/BABA/options?strike=125&amp;straddle=false" TargetMode="External"/><Relationship Id="rId76" Type="http://schemas.openxmlformats.org/officeDocument/2006/relationships/hyperlink" Target="https://finance.yahoo.com/quote/BABA/options?strike=130&amp;straddle=false" TargetMode="External"/><Relationship Id="rId84" Type="http://schemas.openxmlformats.org/officeDocument/2006/relationships/hyperlink" Target="https://finance.yahoo.com/quote/BABA/options?strike=150&amp;straddle=false" TargetMode="External"/><Relationship Id="rId89" Type="http://schemas.openxmlformats.org/officeDocument/2006/relationships/hyperlink" Target="https://finance.yahoo.com/quote/BABA220506C00165000?p=BABA220506C00165000" TargetMode="External"/><Relationship Id="rId97" Type="http://schemas.openxmlformats.org/officeDocument/2006/relationships/hyperlink" Target="https://finance.yahoo.com/quote/BABA220506C00185000?p=BABA220506C00185000" TargetMode="External"/><Relationship Id="rId7" Type="http://schemas.openxmlformats.org/officeDocument/2006/relationships/hyperlink" Target="https://finance.yahoo.com/quote/BABA220506C00075000?p=BABA220506C00075000" TargetMode="External"/><Relationship Id="rId71" Type="http://schemas.openxmlformats.org/officeDocument/2006/relationships/hyperlink" Target="https://finance.yahoo.com/quote/BABA220506C00127000?p=BABA220506C00127000" TargetMode="External"/><Relationship Id="rId92" Type="http://schemas.openxmlformats.org/officeDocument/2006/relationships/hyperlink" Target="https://finance.yahoo.com/quote/BABA/options?strike=170&amp;straddle=false" TargetMode="External"/><Relationship Id="rId2" Type="http://schemas.openxmlformats.org/officeDocument/2006/relationships/hyperlink" Target="https://finance.yahoo.com/quote/BABA/options?strike=45&amp;straddle=false" TargetMode="External"/><Relationship Id="rId16" Type="http://schemas.openxmlformats.org/officeDocument/2006/relationships/hyperlink" Target="https://finance.yahoo.com/quote/BABA/options?strike=95&amp;straddle=false" TargetMode="External"/><Relationship Id="rId29" Type="http://schemas.openxmlformats.org/officeDocument/2006/relationships/hyperlink" Target="https://finance.yahoo.com/quote/BABA220506C00105000?p=BABA220506C00105000" TargetMode="External"/><Relationship Id="rId11" Type="http://schemas.openxmlformats.org/officeDocument/2006/relationships/hyperlink" Target="https://finance.yahoo.com/quote/BABA220506C00085000?p=BABA220506C00085000" TargetMode="External"/><Relationship Id="rId24" Type="http://schemas.openxmlformats.org/officeDocument/2006/relationships/hyperlink" Target="https://finance.yahoo.com/quote/BABA/options?strike=102&amp;straddle=false" TargetMode="External"/><Relationship Id="rId32" Type="http://schemas.openxmlformats.org/officeDocument/2006/relationships/hyperlink" Target="https://finance.yahoo.com/quote/BABA/options?strike=107&amp;straddle=false" TargetMode="External"/><Relationship Id="rId37" Type="http://schemas.openxmlformats.org/officeDocument/2006/relationships/hyperlink" Target="https://finance.yahoo.com/quote/BABA220506C00110000?p=BABA220506C00110000" TargetMode="External"/><Relationship Id="rId40" Type="http://schemas.openxmlformats.org/officeDocument/2006/relationships/hyperlink" Target="https://finance.yahoo.com/quote/BABA/options?strike=111&amp;straddle=false" TargetMode="External"/><Relationship Id="rId45" Type="http://schemas.openxmlformats.org/officeDocument/2006/relationships/hyperlink" Target="https://finance.yahoo.com/quote/BABA220506C00114000?p=BABA220506C00114000" TargetMode="External"/><Relationship Id="rId53" Type="http://schemas.openxmlformats.org/officeDocument/2006/relationships/hyperlink" Target="https://finance.yahoo.com/quote/BABA220506C00118000?p=BABA220506C00118000" TargetMode="External"/><Relationship Id="rId58" Type="http://schemas.openxmlformats.org/officeDocument/2006/relationships/hyperlink" Target="https://finance.yahoo.com/quote/BABA/options?strike=120&amp;straddle=false" TargetMode="External"/><Relationship Id="rId66" Type="http://schemas.openxmlformats.org/officeDocument/2006/relationships/hyperlink" Target="https://finance.yahoo.com/quote/BABA/options?strike=124&amp;straddle=false" TargetMode="External"/><Relationship Id="rId74" Type="http://schemas.openxmlformats.org/officeDocument/2006/relationships/hyperlink" Target="https://finance.yahoo.com/quote/BABA/options?strike=128&amp;straddle=false" TargetMode="External"/><Relationship Id="rId79" Type="http://schemas.openxmlformats.org/officeDocument/2006/relationships/hyperlink" Target="https://finance.yahoo.com/quote/BABA220506C00140000?p=BABA220506C00140000" TargetMode="External"/><Relationship Id="rId87" Type="http://schemas.openxmlformats.org/officeDocument/2006/relationships/hyperlink" Target="https://finance.yahoo.com/quote/BABA220506C00160000?p=BABA220506C00160000" TargetMode="External"/><Relationship Id="rId5" Type="http://schemas.openxmlformats.org/officeDocument/2006/relationships/hyperlink" Target="https://finance.yahoo.com/quote/BABA220506C00070000?p=BABA220506C00070000" TargetMode="External"/><Relationship Id="rId61" Type="http://schemas.openxmlformats.org/officeDocument/2006/relationships/hyperlink" Target="https://finance.yahoo.com/quote/BABA220506C00122000?p=BABA220506C00122000" TargetMode="External"/><Relationship Id="rId82" Type="http://schemas.openxmlformats.org/officeDocument/2006/relationships/hyperlink" Target="https://finance.yahoo.com/quote/BABA/options?strike=145&amp;straddle=false" TargetMode="External"/><Relationship Id="rId90" Type="http://schemas.openxmlformats.org/officeDocument/2006/relationships/hyperlink" Target="https://finance.yahoo.com/quote/BABA/options?strike=165&amp;straddle=false" TargetMode="External"/><Relationship Id="rId95" Type="http://schemas.openxmlformats.org/officeDocument/2006/relationships/hyperlink" Target="https://finance.yahoo.com/quote/BABA220506C00180000?p=BABA220506C00180000" TargetMode="External"/><Relationship Id="rId19" Type="http://schemas.openxmlformats.org/officeDocument/2006/relationships/hyperlink" Target="https://finance.yahoo.com/quote/BABA220506C00100000?p=BABA220506C00100000" TargetMode="External"/><Relationship Id="rId14" Type="http://schemas.openxmlformats.org/officeDocument/2006/relationships/hyperlink" Target="https://finance.yahoo.com/quote/BABA/options?strike=90&amp;straddle=false" TargetMode="External"/><Relationship Id="rId22" Type="http://schemas.openxmlformats.org/officeDocument/2006/relationships/hyperlink" Target="https://finance.yahoo.com/quote/BABA/options?strike=101&amp;straddle=false" TargetMode="External"/><Relationship Id="rId27" Type="http://schemas.openxmlformats.org/officeDocument/2006/relationships/hyperlink" Target="https://finance.yahoo.com/quote/BABA220506C00104000?p=BABA220506C00104000" TargetMode="External"/><Relationship Id="rId30" Type="http://schemas.openxmlformats.org/officeDocument/2006/relationships/hyperlink" Target="https://finance.yahoo.com/quote/BABA/options?strike=105&amp;straddle=false" TargetMode="External"/><Relationship Id="rId35" Type="http://schemas.openxmlformats.org/officeDocument/2006/relationships/hyperlink" Target="https://finance.yahoo.com/quote/BABA220506C00109000?p=BABA220506C00109000" TargetMode="External"/><Relationship Id="rId43" Type="http://schemas.openxmlformats.org/officeDocument/2006/relationships/hyperlink" Target="https://finance.yahoo.com/quote/BABA220506C00113000?p=BABA220506C00113000" TargetMode="External"/><Relationship Id="rId48" Type="http://schemas.openxmlformats.org/officeDocument/2006/relationships/hyperlink" Target="https://finance.yahoo.com/quote/BABA/options?strike=115&amp;straddle=false" TargetMode="External"/><Relationship Id="rId56" Type="http://schemas.openxmlformats.org/officeDocument/2006/relationships/hyperlink" Target="https://finance.yahoo.com/quote/BABA/options?strike=119&amp;straddle=false" TargetMode="External"/><Relationship Id="rId64" Type="http://schemas.openxmlformats.org/officeDocument/2006/relationships/hyperlink" Target="https://finance.yahoo.com/quote/BABA/options?strike=123&amp;straddle=false" TargetMode="External"/><Relationship Id="rId69" Type="http://schemas.openxmlformats.org/officeDocument/2006/relationships/hyperlink" Target="https://finance.yahoo.com/quote/BABA220506C00126000?p=BABA220506C00126000" TargetMode="External"/><Relationship Id="rId77" Type="http://schemas.openxmlformats.org/officeDocument/2006/relationships/hyperlink" Target="https://finance.yahoo.com/quote/BABA220506C00135000?p=BABA220506C00135000" TargetMode="External"/><Relationship Id="rId100" Type="http://schemas.openxmlformats.org/officeDocument/2006/relationships/drawing" Target="../drawings/drawing2.xml"/><Relationship Id="rId8" Type="http://schemas.openxmlformats.org/officeDocument/2006/relationships/hyperlink" Target="https://finance.yahoo.com/quote/BABA/options?strike=75&amp;straddle=false" TargetMode="External"/><Relationship Id="rId51" Type="http://schemas.openxmlformats.org/officeDocument/2006/relationships/hyperlink" Target="https://finance.yahoo.com/quote/BABA220506C00117000?p=BABA220506C00117000" TargetMode="External"/><Relationship Id="rId72" Type="http://schemas.openxmlformats.org/officeDocument/2006/relationships/hyperlink" Target="https://finance.yahoo.com/quote/BABA/options?strike=127&amp;straddle=false" TargetMode="External"/><Relationship Id="rId80" Type="http://schemas.openxmlformats.org/officeDocument/2006/relationships/hyperlink" Target="https://finance.yahoo.com/quote/BABA/options?strike=140&amp;straddle=false" TargetMode="External"/><Relationship Id="rId85" Type="http://schemas.openxmlformats.org/officeDocument/2006/relationships/hyperlink" Target="https://finance.yahoo.com/quote/BABA220506C00155000?p=BABA220506C00155000" TargetMode="External"/><Relationship Id="rId93" Type="http://schemas.openxmlformats.org/officeDocument/2006/relationships/hyperlink" Target="https://finance.yahoo.com/quote/BABA220506C00175000?p=BABA220506C00175000" TargetMode="External"/><Relationship Id="rId98" Type="http://schemas.openxmlformats.org/officeDocument/2006/relationships/hyperlink" Target="https://finance.yahoo.com/quote/BABA/options?strike=185&amp;straddle=false" TargetMode="External"/><Relationship Id="rId3" Type="http://schemas.openxmlformats.org/officeDocument/2006/relationships/hyperlink" Target="https://finance.yahoo.com/quote/BABA220506C00055000?p=BABA220506C00055000" TargetMode="External"/><Relationship Id="rId12" Type="http://schemas.openxmlformats.org/officeDocument/2006/relationships/hyperlink" Target="https://finance.yahoo.com/quote/BABA/options?strike=85&amp;straddle=false" TargetMode="External"/><Relationship Id="rId17" Type="http://schemas.openxmlformats.org/officeDocument/2006/relationships/hyperlink" Target="https://finance.yahoo.com/quote/BABA220506C00099000?p=BABA220506C00099000" TargetMode="External"/><Relationship Id="rId25" Type="http://schemas.openxmlformats.org/officeDocument/2006/relationships/hyperlink" Target="https://finance.yahoo.com/quote/BABA220506C00103000?p=BABA220506C00103000" TargetMode="External"/><Relationship Id="rId33" Type="http://schemas.openxmlformats.org/officeDocument/2006/relationships/hyperlink" Target="https://finance.yahoo.com/quote/BABA220506C00108000?p=BABA220506C00108000" TargetMode="External"/><Relationship Id="rId38" Type="http://schemas.openxmlformats.org/officeDocument/2006/relationships/hyperlink" Target="https://finance.yahoo.com/quote/BABA/options?strike=110&amp;straddle=false" TargetMode="External"/><Relationship Id="rId46" Type="http://schemas.openxmlformats.org/officeDocument/2006/relationships/hyperlink" Target="https://finance.yahoo.com/quote/BABA/options?strike=114&amp;straddle=false" TargetMode="External"/><Relationship Id="rId59" Type="http://schemas.openxmlformats.org/officeDocument/2006/relationships/hyperlink" Target="https://finance.yahoo.com/quote/BABA220506C00121000?p=BABA220506C00121000" TargetMode="External"/><Relationship Id="rId67" Type="http://schemas.openxmlformats.org/officeDocument/2006/relationships/hyperlink" Target="https://finance.yahoo.com/quote/BABA220506C00125000?p=BABA220506C00125000" TargetMode="External"/><Relationship Id="rId20" Type="http://schemas.openxmlformats.org/officeDocument/2006/relationships/hyperlink" Target="https://finance.yahoo.com/quote/BABA/options?strike=100&amp;straddle=false" TargetMode="External"/><Relationship Id="rId41" Type="http://schemas.openxmlformats.org/officeDocument/2006/relationships/hyperlink" Target="https://finance.yahoo.com/quote/BABA220506C00112000?p=BABA220506C00112000" TargetMode="External"/><Relationship Id="rId54" Type="http://schemas.openxmlformats.org/officeDocument/2006/relationships/hyperlink" Target="https://finance.yahoo.com/quote/BABA/options?strike=118&amp;straddle=false" TargetMode="External"/><Relationship Id="rId62" Type="http://schemas.openxmlformats.org/officeDocument/2006/relationships/hyperlink" Target="https://finance.yahoo.com/quote/BABA/options?strike=122&amp;straddle=false" TargetMode="External"/><Relationship Id="rId70" Type="http://schemas.openxmlformats.org/officeDocument/2006/relationships/hyperlink" Target="https://finance.yahoo.com/quote/BABA/options?strike=126&amp;straddle=false" TargetMode="External"/><Relationship Id="rId75" Type="http://schemas.openxmlformats.org/officeDocument/2006/relationships/hyperlink" Target="https://finance.yahoo.com/quote/BABA220506C00130000?p=BABA220506C00130000" TargetMode="External"/><Relationship Id="rId83" Type="http://schemas.openxmlformats.org/officeDocument/2006/relationships/hyperlink" Target="https://finance.yahoo.com/quote/BABA220506C00150000?p=BABA220506C00150000" TargetMode="External"/><Relationship Id="rId88" Type="http://schemas.openxmlformats.org/officeDocument/2006/relationships/hyperlink" Target="https://finance.yahoo.com/quote/BABA/options?strike=160&amp;straddle=false" TargetMode="External"/><Relationship Id="rId91" Type="http://schemas.openxmlformats.org/officeDocument/2006/relationships/hyperlink" Target="https://finance.yahoo.com/quote/BABA220506C00170000?p=BABA220506C00170000" TargetMode="External"/><Relationship Id="rId96" Type="http://schemas.openxmlformats.org/officeDocument/2006/relationships/hyperlink" Target="https://finance.yahoo.com/quote/BABA/options?strike=180&amp;straddle=false" TargetMode="External"/><Relationship Id="rId1" Type="http://schemas.openxmlformats.org/officeDocument/2006/relationships/hyperlink" Target="https://finance.yahoo.com/quote/BABA220506C00045000?p=BABA220506C00045000" TargetMode="External"/><Relationship Id="rId6" Type="http://schemas.openxmlformats.org/officeDocument/2006/relationships/hyperlink" Target="https://finance.yahoo.com/quote/BABA/options?strike=70&amp;straddle=false" TargetMode="External"/><Relationship Id="rId15" Type="http://schemas.openxmlformats.org/officeDocument/2006/relationships/hyperlink" Target="https://finance.yahoo.com/quote/BABA220506C00095000?p=BABA220506C00095000" TargetMode="External"/><Relationship Id="rId23" Type="http://schemas.openxmlformats.org/officeDocument/2006/relationships/hyperlink" Target="https://finance.yahoo.com/quote/BABA220506C00102000?p=BABA220506C00102000" TargetMode="External"/><Relationship Id="rId28" Type="http://schemas.openxmlformats.org/officeDocument/2006/relationships/hyperlink" Target="https://finance.yahoo.com/quote/BABA/options?strike=104&amp;straddle=false" TargetMode="External"/><Relationship Id="rId36" Type="http://schemas.openxmlformats.org/officeDocument/2006/relationships/hyperlink" Target="https://finance.yahoo.com/quote/BABA/options?strike=109&amp;straddle=false" TargetMode="External"/><Relationship Id="rId49" Type="http://schemas.openxmlformats.org/officeDocument/2006/relationships/hyperlink" Target="https://finance.yahoo.com/quote/BABA220506C00116000?p=BABA220506C00116000" TargetMode="External"/><Relationship Id="rId57" Type="http://schemas.openxmlformats.org/officeDocument/2006/relationships/hyperlink" Target="https://finance.yahoo.com/quote/BABA220506C00120000?p=BABA220506C00120000" TargetMode="External"/><Relationship Id="rId10" Type="http://schemas.openxmlformats.org/officeDocument/2006/relationships/hyperlink" Target="https://finance.yahoo.com/quote/BABA/options?strike=80&amp;straddle=false" TargetMode="External"/><Relationship Id="rId31" Type="http://schemas.openxmlformats.org/officeDocument/2006/relationships/hyperlink" Target="https://finance.yahoo.com/quote/BABA220506C00107000?p=BABA220506C00107000" TargetMode="External"/><Relationship Id="rId44" Type="http://schemas.openxmlformats.org/officeDocument/2006/relationships/hyperlink" Target="https://finance.yahoo.com/quote/BABA/options?strike=113&amp;straddle=false" TargetMode="External"/><Relationship Id="rId52" Type="http://schemas.openxmlformats.org/officeDocument/2006/relationships/hyperlink" Target="https://finance.yahoo.com/quote/BABA/options?strike=117&amp;straddle=false" TargetMode="External"/><Relationship Id="rId60" Type="http://schemas.openxmlformats.org/officeDocument/2006/relationships/hyperlink" Target="https://finance.yahoo.com/quote/BABA/options?strike=121&amp;straddle=false" TargetMode="External"/><Relationship Id="rId65" Type="http://schemas.openxmlformats.org/officeDocument/2006/relationships/hyperlink" Target="https://finance.yahoo.com/quote/BABA220506C00124000?p=BABA220506C00124000" TargetMode="External"/><Relationship Id="rId73" Type="http://schemas.openxmlformats.org/officeDocument/2006/relationships/hyperlink" Target="https://finance.yahoo.com/quote/BABA220506C00128000?p=BABA220506C00128000" TargetMode="External"/><Relationship Id="rId78" Type="http://schemas.openxmlformats.org/officeDocument/2006/relationships/hyperlink" Target="https://finance.yahoo.com/quote/BABA/options?strike=135&amp;straddle=false" TargetMode="External"/><Relationship Id="rId81" Type="http://schemas.openxmlformats.org/officeDocument/2006/relationships/hyperlink" Target="https://finance.yahoo.com/quote/BABA220506C00145000?p=BABA220506C00145000" TargetMode="External"/><Relationship Id="rId86" Type="http://schemas.openxmlformats.org/officeDocument/2006/relationships/hyperlink" Target="https://finance.yahoo.com/quote/BABA/options?strike=155&amp;straddle=false" TargetMode="External"/><Relationship Id="rId94" Type="http://schemas.openxmlformats.org/officeDocument/2006/relationships/hyperlink" Target="https://finance.yahoo.com/quote/BABA/options?strike=175&amp;straddle=false" TargetMode="External"/><Relationship Id="rId99" Type="http://schemas.openxmlformats.org/officeDocument/2006/relationships/printerSettings" Target="../printerSettings/printerSettings1.bin"/><Relationship Id="rId4" Type="http://schemas.openxmlformats.org/officeDocument/2006/relationships/hyperlink" Target="https://finance.yahoo.com/quote/BABA/options?strike=55&amp;straddle=false" TargetMode="External"/><Relationship Id="rId9" Type="http://schemas.openxmlformats.org/officeDocument/2006/relationships/hyperlink" Target="https://finance.yahoo.com/quote/BABA220506C00080000?p=BABA220506C00080000" TargetMode="External"/><Relationship Id="rId13" Type="http://schemas.openxmlformats.org/officeDocument/2006/relationships/hyperlink" Target="https://finance.yahoo.com/quote/BABA220506C00090000?p=BABA220506C00090000" TargetMode="External"/><Relationship Id="rId18" Type="http://schemas.openxmlformats.org/officeDocument/2006/relationships/hyperlink" Target="https://finance.yahoo.com/quote/BABA/options?strike=99&amp;straddle=false" TargetMode="External"/><Relationship Id="rId39" Type="http://schemas.openxmlformats.org/officeDocument/2006/relationships/hyperlink" Target="https://finance.yahoo.com/quote/BABA220506C00111000?p=BABA220506C00111000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finance.yahoo.com/quote/BABA220715C00070000?p=BABA220715C00070000" TargetMode="External"/><Relationship Id="rId18" Type="http://schemas.openxmlformats.org/officeDocument/2006/relationships/hyperlink" Target="https://finance.yahoo.com/quote/BABA/options?strike=80&amp;straddle=false" TargetMode="External"/><Relationship Id="rId26" Type="http://schemas.openxmlformats.org/officeDocument/2006/relationships/hyperlink" Target="https://finance.yahoo.com/quote/BABA/options?strike=100&amp;straddle=false" TargetMode="External"/><Relationship Id="rId39" Type="http://schemas.openxmlformats.org/officeDocument/2006/relationships/hyperlink" Target="https://finance.yahoo.com/quote/BABA220715C00135000?p=BABA220715C00135000" TargetMode="External"/><Relationship Id="rId21" Type="http://schemas.openxmlformats.org/officeDocument/2006/relationships/hyperlink" Target="https://finance.yahoo.com/quote/BABA220715C00090000?p=BABA220715C00090000" TargetMode="External"/><Relationship Id="rId34" Type="http://schemas.openxmlformats.org/officeDocument/2006/relationships/hyperlink" Target="https://finance.yahoo.com/quote/BABA/options?strike=120&amp;straddle=false" TargetMode="External"/><Relationship Id="rId42" Type="http://schemas.openxmlformats.org/officeDocument/2006/relationships/hyperlink" Target="https://finance.yahoo.com/quote/BABA/options?strike=140&amp;straddle=false" TargetMode="External"/><Relationship Id="rId47" Type="http://schemas.openxmlformats.org/officeDocument/2006/relationships/hyperlink" Target="https://finance.yahoo.com/quote/BABA220715C00155000?p=BABA220715C00155000" TargetMode="External"/><Relationship Id="rId50" Type="http://schemas.openxmlformats.org/officeDocument/2006/relationships/hyperlink" Target="https://finance.yahoo.com/quote/BABA/options?strike=160&amp;straddle=false" TargetMode="External"/><Relationship Id="rId55" Type="http://schemas.openxmlformats.org/officeDocument/2006/relationships/hyperlink" Target="https://finance.yahoo.com/quote/BABA220715C00175000?p=BABA220715C00175000" TargetMode="External"/><Relationship Id="rId63" Type="http://schemas.openxmlformats.org/officeDocument/2006/relationships/hyperlink" Target="https://finance.yahoo.com/quote/BABA220715C00195000?p=BABA220715C00195000" TargetMode="External"/><Relationship Id="rId68" Type="http://schemas.openxmlformats.org/officeDocument/2006/relationships/hyperlink" Target="https://finance.yahoo.com/quote/BABA/options?strike=205&amp;straddle=false" TargetMode="External"/><Relationship Id="rId76" Type="http://schemas.openxmlformats.org/officeDocument/2006/relationships/hyperlink" Target="https://finance.yahoo.com/quote/BABA/options?strike=225&amp;straddle=false" TargetMode="External"/><Relationship Id="rId84" Type="http://schemas.openxmlformats.org/officeDocument/2006/relationships/hyperlink" Target="https://finance.yahoo.com/quote/BABA/options?strike=245&amp;straddle=false" TargetMode="External"/><Relationship Id="rId89" Type="http://schemas.openxmlformats.org/officeDocument/2006/relationships/hyperlink" Target="https://finance.yahoo.com/quote/BABA220715C00260000?p=BABA220715C00260000" TargetMode="External"/><Relationship Id="rId7" Type="http://schemas.openxmlformats.org/officeDocument/2006/relationships/hyperlink" Target="https://finance.yahoo.com/quote/BABA220715C00055000?p=BABA220715C00055000" TargetMode="External"/><Relationship Id="rId71" Type="http://schemas.openxmlformats.org/officeDocument/2006/relationships/hyperlink" Target="https://finance.yahoo.com/quote/BABA220715C00215000?p=BABA220715C00215000" TargetMode="External"/><Relationship Id="rId92" Type="http://schemas.openxmlformats.org/officeDocument/2006/relationships/hyperlink" Target="https://finance.yahoo.com/quote/BABA/options?strike=265&amp;straddle=false" TargetMode="External"/><Relationship Id="rId2" Type="http://schemas.openxmlformats.org/officeDocument/2006/relationships/hyperlink" Target="https://finance.yahoo.com/quote/BABA/options?strike=40&amp;straddle=false" TargetMode="External"/><Relationship Id="rId16" Type="http://schemas.openxmlformats.org/officeDocument/2006/relationships/hyperlink" Target="https://finance.yahoo.com/quote/BABA/options?strike=75&amp;straddle=false" TargetMode="External"/><Relationship Id="rId29" Type="http://schemas.openxmlformats.org/officeDocument/2006/relationships/hyperlink" Target="https://finance.yahoo.com/quote/BABA220715C00110000?p=BABA220715C00110000" TargetMode="External"/><Relationship Id="rId11" Type="http://schemas.openxmlformats.org/officeDocument/2006/relationships/hyperlink" Target="https://finance.yahoo.com/quote/BABA220715C00065000?p=BABA220715C00065000" TargetMode="External"/><Relationship Id="rId24" Type="http://schemas.openxmlformats.org/officeDocument/2006/relationships/hyperlink" Target="https://finance.yahoo.com/quote/BABA/options?strike=95&amp;straddle=false" TargetMode="External"/><Relationship Id="rId32" Type="http://schemas.openxmlformats.org/officeDocument/2006/relationships/hyperlink" Target="https://finance.yahoo.com/quote/BABA/options?strike=115&amp;straddle=false" TargetMode="External"/><Relationship Id="rId37" Type="http://schemas.openxmlformats.org/officeDocument/2006/relationships/hyperlink" Target="https://finance.yahoo.com/quote/BABA220715C00130000?p=BABA220715C00130000" TargetMode="External"/><Relationship Id="rId40" Type="http://schemas.openxmlformats.org/officeDocument/2006/relationships/hyperlink" Target="https://finance.yahoo.com/quote/BABA/options?strike=135&amp;straddle=false" TargetMode="External"/><Relationship Id="rId45" Type="http://schemas.openxmlformats.org/officeDocument/2006/relationships/hyperlink" Target="https://finance.yahoo.com/quote/BABA220715C00150000?p=BABA220715C00150000" TargetMode="External"/><Relationship Id="rId53" Type="http://schemas.openxmlformats.org/officeDocument/2006/relationships/hyperlink" Target="https://finance.yahoo.com/quote/BABA220715C00170000?p=BABA220715C00170000" TargetMode="External"/><Relationship Id="rId58" Type="http://schemas.openxmlformats.org/officeDocument/2006/relationships/hyperlink" Target="https://finance.yahoo.com/quote/BABA/options?strike=180&amp;straddle=false" TargetMode="External"/><Relationship Id="rId66" Type="http://schemas.openxmlformats.org/officeDocument/2006/relationships/hyperlink" Target="https://finance.yahoo.com/quote/BABA/options?strike=200&amp;straddle=false" TargetMode="External"/><Relationship Id="rId74" Type="http://schemas.openxmlformats.org/officeDocument/2006/relationships/hyperlink" Target="https://finance.yahoo.com/quote/BABA/options?strike=220&amp;straddle=false" TargetMode="External"/><Relationship Id="rId79" Type="http://schemas.openxmlformats.org/officeDocument/2006/relationships/hyperlink" Target="https://finance.yahoo.com/quote/BABA220715C00235000?p=BABA220715C00235000" TargetMode="External"/><Relationship Id="rId87" Type="http://schemas.openxmlformats.org/officeDocument/2006/relationships/hyperlink" Target="https://finance.yahoo.com/quote/BABA220715C00255000?p=BABA220715C00255000" TargetMode="External"/><Relationship Id="rId5" Type="http://schemas.openxmlformats.org/officeDocument/2006/relationships/hyperlink" Target="https://finance.yahoo.com/quote/BABA220715C00050000?p=BABA220715C00050000" TargetMode="External"/><Relationship Id="rId61" Type="http://schemas.openxmlformats.org/officeDocument/2006/relationships/hyperlink" Target="https://finance.yahoo.com/quote/BABA220715C00190000?p=BABA220715C00190000" TargetMode="External"/><Relationship Id="rId82" Type="http://schemas.openxmlformats.org/officeDocument/2006/relationships/hyperlink" Target="https://finance.yahoo.com/quote/BABA/options?strike=240&amp;straddle=false" TargetMode="External"/><Relationship Id="rId90" Type="http://schemas.openxmlformats.org/officeDocument/2006/relationships/hyperlink" Target="https://finance.yahoo.com/quote/BABA/options?strike=260&amp;straddle=false" TargetMode="External"/><Relationship Id="rId95" Type="http://schemas.openxmlformats.org/officeDocument/2006/relationships/printerSettings" Target="../printerSettings/printerSettings2.bin"/><Relationship Id="rId19" Type="http://schemas.openxmlformats.org/officeDocument/2006/relationships/hyperlink" Target="https://finance.yahoo.com/quote/BABA220715C00085000?p=BABA220715C00085000" TargetMode="External"/><Relationship Id="rId14" Type="http://schemas.openxmlformats.org/officeDocument/2006/relationships/hyperlink" Target="https://finance.yahoo.com/quote/BABA/options?strike=70&amp;straddle=false" TargetMode="External"/><Relationship Id="rId22" Type="http://schemas.openxmlformats.org/officeDocument/2006/relationships/hyperlink" Target="https://finance.yahoo.com/quote/BABA/options?strike=90&amp;straddle=false" TargetMode="External"/><Relationship Id="rId27" Type="http://schemas.openxmlformats.org/officeDocument/2006/relationships/hyperlink" Target="https://finance.yahoo.com/quote/BABA220715C00105000?p=BABA220715C00105000" TargetMode="External"/><Relationship Id="rId30" Type="http://schemas.openxmlformats.org/officeDocument/2006/relationships/hyperlink" Target="https://finance.yahoo.com/quote/BABA/options?strike=110&amp;straddle=false" TargetMode="External"/><Relationship Id="rId35" Type="http://schemas.openxmlformats.org/officeDocument/2006/relationships/hyperlink" Target="https://finance.yahoo.com/quote/BABA220715C00125000?p=BABA220715C00125000" TargetMode="External"/><Relationship Id="rId43" Type="http://schemas.openxmlformats.org/officeDocument/2006/relationships/hyperlink" Target="https://finance.yahoo.com/quote/BABA220715C00145000?p=BABA220715C00145000" TargetMode="External"/><Relationship Id="rId48" Type="http://schemas.openxmlformats.org/officeDocument/2006/relationships/hyperlink" Target="https://finance.yahoo.com/quote/BABA/options?strike=155&amp;straddle=false" TargetMode="External"/><Relationship Id="rId56" Type="http://schemas.openxmlformats.org/officeDocument/2006/relationships/hyperlink" Target="https://finance.yahoo.com/quote/BABA/options?strike=175&amp;straddle=false" TargetMode="External"/><Relationship Id="rId64" Type="http://schemas.openxmlformats.org/officeDocument/2006/relationships/hyperlink" Target="https://finance.yahoo.com/quote/BABA/options?strike=195&amp;straddle=false" TargetMode="External"/><Relationship Id="rId69" Type="http://schemas.openxmlformats.org/officeDocument/2006/relationships/hyperlink" Target="https://finance.yahoo.com/quote/BABA220715C00210000?p=BABA220715C00210000" TargetMode="External"/><Relationship Id="rId77" Type="http://schemas.openxmlformats.org/officeDocument/2006/relationships/hyperlink" Target="https://finance.yahoo.com/quote/BABA220715C00230000?p=BABA220715C00230000" TargetMode="External"/><Relationship Id="rId8" Type="http://schemas.openxmlformats.org/officeDocument/2006/relationships/hyperlink" Target="https://finance.yahoo.com/quote/BABA/options?strike=55&amp;straddle=false" TargetMode="External"/><Relationship Id="rId51" Type="http://schemas.openxmlformats.org/officeDocument/2006/relationships/hyperlink" Target="https://finance.yahoo.com/quote/BABA220715C00165000?p=BABA220715C00165000" TargetMode="External"/><Relationship Id="rId72" Type="http://schemas.openxmlformats.org/officeDocument/2006/relationships/hyperlink" Target="https://finance.yahoo.com/quote/BABA/options?strike=215&amp;straddle=false" TargetMode="External"/><Relationship Id="rId80" Type="http://schemas.openxmlformats.org/officeDocument/2006/relationships/hyperlink" Target="https://finance.yahoo.com/quote/BABA/options?strike=235&amp;straddle=false" TargetMode="External"/><Relationship Id="rId85" Type="http://schemas.openxmlformats.org/officeDocument/2006/relationships/hyperlink" Target="https://finance.yahoo.com/quote/BABA220715C00250000?p=BABA220715C00250000" TargetMode="External"/><Relationship Id="rId93" Type="http://schemas.openxmlformats.org/officeDocument/2006/relationships/hyperlink" Target="https://finance.yahoo.com/quote/BABA220715C00270000?p=BABA220715C00270000" TargetMode="External"/><Relationship Id="rId3" Type="http://schemas.openxmlformats.org/officeDocument/2006/relationships/hyperlink" Target="https://finance.yahoo.com/quote/BABA220715C00045000?p=BABA220715C00045000" TargetMode="External"/><Relationship Id="rId12" Type="http://schemas.openxmlformats.org/officeDocument/2006/relationships/hyperlink" Target="https://finance.yahoo.com/quote/BABA/options?strike=65&amp;straddle=false" TargetMode="External"/><Relationship Id="rId17" Type="http://schemas.openxmlformats.org/officeDocument/2006/relationships/hyperlink" Target="https://finance.yahoo.com/quote/BABA220715C00080000?p=BABA220715C00080000" TargetMode="External"/><Relationship Id="rId25" Type="http://schemas.openxmlformats.org/officeDocument/2006/relationships/hyperlink" Target="https://finance.yahoo.com/quote/BABA220715C00100000?p=BABA220715C00100000" TargetMode="External"/><Relationship Id="rId33" Type="http://schemas.openxmlformats.org/officeDocument/2006/relationships/hyperlink" Target="https://finance.yahoo.com/quote/BABA220715C00120000?p=BABA220715C00120000" TargetMode="External"/><Relationship Id="rId38" Type="http://schemas.openxmlformats.org/officeDocument/2006/relationships/hyperlink" Target="https://finance.yahoo.com/quote/BABA/options?strike=130&amp;straddle=false" TargetMode="External"/><Relationship Id="rId46" Type="http://schemas.openxmlformats.org/officeDocument/2006/relationships/hyperlink" Target="https://finance.yahoo.com/quote/BABA/options?strike=150&amp;straddle=false" TargetMode="External"/><Relationship Id="rId59" Type="http://schemas.openxmlformats.org/officeDocument/2006/relationships/hyperlink" Target="https://finance.yahoo.com/quote/BABA220715C00185000?p=BABA220715C00185000" TargetMode="External"/><Relationship Id="rId67" Type="http://schemas.openxmlformats.org/officeDocument/2006/relationships/hyperlink" Target="https://finance.yahoo.com/quote/BABA220715C00205000?p=BABA220715C00205000" TargetMode="External"/><Relationship Id="rId20" Type="http://schemas.openxmlformats.org/officeDocument/2006/relationships/hyperlink" Target="https://finance.yahoo.com/quote/BABA/options?strike=85&amp;straddle=false" TargetMode="External"/><Relationship Id="rId41" Type="http://schemas.openxmlformats.org/officeDocument/2006/relationships/hyperlink" Target="https://finance.yahoo.com/quote/BABA220715C00140000?p=BABA220715C00140000" TargetMode="External"/><Relationship Id="rId54" Type="http://schemas.openxmlformats.org/officeDocument/2006/relationships/hyperlink" Target="https://finance.yahoo.com/quote/BABA/options?strike=170&amp;straddle=false" TargetMode="External"/><Relationship Id="rId62" Type="http://schemas.openxmlformats.org/officeDocument/2006/relationships/hyperlink" Target="https://finance.yahoo.com/quote/BABA/options?strike=190&amp;straddle=false" TargetMode="External"/><Relationship Id="rId70" Type="http://schemas.openxmlformats.org/officeDocument/2006/relationships/hyperlink" Target="https://finance.yahoo.com/quote/BABA/options?strike=210&amp;straddle=false" TargetMode="External"/><Relationship Id="rId75" Type="http://schemas.openxmlformats.org/officeDocument/2006/relationships/hyperlink" Target="https://finance.yahoo.com/quote/BABA220715C00225000?p=BABA220715C00225000" TargetMode="External"/><Relationship Id="rId83" Type="http://schemas.openxmlformats.org/officeDocument/2006/relationships/hyperlink" Target="https://finance.yahoo.com/quote/BABA220715C00245000?p=BABA220715C00245000" TargetMode="External"/><Relationship Id="rId88" Type="http://schemas.openxmlformats.org/officeDocument/2006/relationships/hyperlink" Target="https://finance.yahoo.com/quote/BABA/options?strike=255&amp;straddle=false" TargetMode="External"/><Relationship Id="rId91" Type="http://schemas.openxmlformats.org/officeDocument/2006/relationships/hyperlink" Target="https://finance.yahoo.com/quote/BABA220715C00265000?p=BABA220715C00265000" TargetMode="External"/><Relationship Id="rId96" Type="http://schemas.openxmlformats.org/officeDocument/2006/relationships/drawing" Target="../drawings/drawing3.xml"/><Relationship Id="rId1" Type="http://schemas.openxmlformats.org/officeDocument/2006/relationships/hyperlink" Target="https://finance.yahoo.com/quote/BABA220715C00040000?p=BABA220715C00040000" TargetMode="External"/><Relationship Id="rId6" Type="http://schemas.openxmlformats.org/officeDocument/2006/relationships/hyperlink" Target="https://finance.yahoo.com/quote/BABA/options?strike=50&amp;straddle=false" TargetMode="External"/><Relationship Id="rId15" Type="http://schemas.openxmlformats.org/officeDocument/2006/relationships/hyperlink" Target="https://finance.yahoo.com/quote/BABA220715C00075000?p=BABA220715C00075000" TargetMode="External"/><Relationship Id="rId23" Type="http://schemas.openxmlformats.org/officeDocument/2006/relationships/hyperlink" Target="https://finance.yahoo.com/quote/BABA220715C00095000?p=BABA220715C00095000" TargetMode="External"/><Relationship Id="rId28" Type="http://schemas.openxmlformats.org/officeDocument/2006/relationships/hyperlink" Target="https://finance.yahoo.com/quote/BABA/options?strike=105&amp;straddle=false" TargetMode="External"/><Relationship Id="rId36" Type="http://schemas.openxmlformats.org/officeDocument/2006/relationships/hyperlink" Target="https://finance.yahoo.com/quote/BABA/options?strike=125&amp;straddle=false" TargetMode="External"/><Relationship Id="rId49" Type="http://schemas.openxmlformats.org/officeDocument/2006/relationships/hyperlink" Target="https://finance.yahoo.com/quote/BABA220715C00160000?p=BABA220715C00160000" TargetMode="External"/><Relationship Id="rId57" Type="http://schemas.openxmlformats.org/officeDocument/2006/relationships/hyperlink" Target="https://finance.yahoo.com/quote/BABA220715C00180000?p=BABA220715C00180000" TargetMode="External"/><Relationship Id="rId10" Type="http://schemas.openxmlformats.org/officeDocument/2006/relationships/hyperlink" Target="https://finance.yahoo.com/quote/BABA/options?strike=60&amp;straddle=false" TargetMode="External"/><Relationship Id="rId31" Type="http://schemas.openxmlformats.org/officeDocument/2006/relationships/hyperlink" Target="https://finance.yahoo.com/quote/BABA220715C00115000?p=BABA220715C00115000" TargetMode="External"/><Relationship Id="rId44" Type="http://schemas.openxmlformats.org/officeDocument/2006/relationships/hyperlink" Target="https://finance.yahoo.com/quote/BABA/options?strike=145&amp;straddle=false" TargetMode="External"/><Relationship Id="rId52" Type="http://schemas.openxmlformats.org/officeDocument/2006/relationships/hyperlink" Target="https://finance.yahoo.com/quote/BABA/options?strike=165&amp;straddle=false" TargetMode="External"/><Relationship Id="rId60" Type="http://schemas.openxmlformats.org/officeDocument/2006/relationships/hyperlink" Target="https://finance.yahoo.com/quote/BABA/options?strike=185&amp;straddle=false" TargetMode="External"/><Relationship Id="rId65" Type="http://schemas.openxmlformats.org/officeDocument/2006/relationships/hyperlink" Target="https://finance.yahoo.com/quote/BABA220715C00200000?p=BABA220715C00200000" TargetMode="External"/><Relationship Id="rId73" Type="http://schemas.openxmlformats.org/officeDocument/2006/relationships/hyperlink" Target="https://finance.yahoo.com/quote/BABA220715C00220000?p=BABA220715C00220000" TargetMode="External"/><Relationship Id="rId78" Type="http://schemas.openxmlformats.org/officeDocument/2006/relationships/hyperlink" Target="https://finance.yahoo.com/quote/BABA/options?strike=230&amp;straddle=false" TargetMode="External"/><Relationship Id="rId81" Type="http://schemas.openxmlformats.org/officeDocument/2006/relationships/hyperlink" Target="https://finance.yahoo.com/quote/BABA220715C00240000?p=BABA220715C00240000" TargetMode="External"/><Relationship Id="rId86" Type="http://schemas.openxmlformats.org/officeDocument/2006/relationships/hyperlink" Target="https://finance.yahoo.com/quote/BABA/options?strike=250&amp;straddle=false" TargetMode="External"/><Relationship Id="rId94" Type="http://schemas.openxmlformats.org/officeDocument/2006/relationships/hyperlink" Target="https://finance.yahoo.com/quote/BABA/options?strike=270&amp;straddle=false" TargetMode="External"/><Relationship Id="rId4" Type="http://schemas.openxmlformats.org/officeDocument/2006/relationships/hyperlink" Target="https://finance.yahoo.com/quote/BABA/options?strike=45&amp;straddle=false" TargetMode="External"/><Relationship Id="rId9" Type="http://schemas.openxmlformats.org/officeDocument/2006/relationships/hyperlink" Target="https://finance.yahoo.com/quote/BABA220715C00060000?p=BABA220715C00060000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s://finance.yahoo.com/quote/BABA221021C00075000?p=BABA221021C00075000" TargetMode="External"/><Relationship Id="rId18" Type="http://schemas.openxmlformats.org/officeDocument/2006/relationships/hyperlink" Target="https://finance.yahoo.com/quote/BABA/options?strike=85&amp;straddle=false" TargetMode="External"/><Relationship Id="rId26" Type="http://schemas.openxmlformats.org/officeDocument/2006/relationships/hyperlink" Target="https://finance.yahoo.com/quote/BABA/options?strike=105&amp;straddle=false" TargetMode="External"/><Relationship Id="rId39" Type="http://schemas.openxmlformats.org/officeDocument/2006/relationships/hyperlink" Target="https://finance.yahoo.com/quote/BABA221021C00140000?p=BABA221021C00140000" TargetMode="External"/><Relationship Id="rId21" Type="http://schemas.openxmlformats.org/officeDocument/2006/relationships/hyperlink" Target="https://finance.yahoo.com/quote/BABA221021C00095000?p=BABA221021C00095000" TargetMode="External"/><Relationship Id="rId34" Type="http://schemas.openxmlformats.org/officeDocument/2006/relationships/hyperlink" Target="https://finance.yahoo.com/quote/BABA/options?strike=125&amp;straddle=false" TargetMode="External"/><Relationship Id="rId42" Type="http://schemas.openxmlformats.org/officeDocument/2006/relationships/hyperlink" Target="https://finance.yahoo.com/quote/BABA/options?strike=145&amp;straddle=false" TargetMode="External"/><Relationship Id="rId47" Type="http://schemas.openxmlformats.org/officeDocument/2006/relationships/hyperlink" Target="https://finance.yahoo.com/quote/BABA221021C00160000?p=BABA221021C00160000" TargetMode="External"/><Relationship Id="rId50" Type="http://schemas.openxmlformats.org/officeDocument/2006/relationships/hyperlink" Target="https://finance.yahoo.com/quote/BABA/options?strike=165&amp;straddle=false" TargetMode="External"/><Relationship Id="rId55" Type="http://schemas.openxmlformats.org/officeDocument/2006/relationships/hyperlink" Target="https://finance.yahoo.com/quote/BABA221021C00180000?p=BABA221021C00180000" TargetMode="External"/><Relationship Id="rId63" Type="http://schemas.openxmlformats.org/officeDocument/2006/relationships/hyperlink" Target="https://finance.yahoo.com/quote/BABA221021C00200000?p=BABA221021C00200000" TargetMode="External"/><Relationship Id="rId68" Type="http://schemas.openxmlformats.org/officeDocument/2006/relationships/hyperlink" Target="https://finance.yahoo.com/quote/BABA/options?strike=210&amp;straddle=false" TargetMode="External"/><Relationship Id="rId7" Type="http://schemas.openxmlformats.org/officeDocument/2006/relationships/hyperlink" Target="https://finance.yahoo.com/quote/BABA221021C00040000?p=BABA221021C00040000" TargetMode="External"/><Relationship Id="rId71" Type="http://schemas.openxmlformats.org/officeDocument/2006/relationships/hyperlink" Target="https://finance.yahoo.com/quote/BABA221021C00220000?p=BABA221021C00220000" TargetMode="External"/><Relationship Id="rId2" Type="http://schemas.openxmlformats.org/officeDocument/2006/relationships/hyperlink" Target="https://finance.yahoo.com/quote/BABA/options?strike=25&amp;straddle=false" TargetMode="External"/><Relationship Id="rId16" Type="http://schemas.openxmlformats.org/officeDocument/2006/relationships/hyperlink" Target="https://finance.yahoo.com/quote/BABA/options?strike=80&amp;straddle=false" TargetMode="External"/><Relationship Id="rId29" Type="http://schemas.openxmlformats.org/officeDocument/2006/relationships/hyperlink" Target="https://finance.yahoo.com/quote/BABA221021C00115000?p=BABA221021C00115000" TargetMode="External"/><Relationship Id="rId11" Type="http://schemas.openxmlformats.org/officeDocument/2006/relationships/hyperlink" Target="https://finance.yahoo.com/quote/BABA221021C00070000?p=BABA221021C00070000" TargetMode="External"/><Relationship Id="rId24" Type="http://schemas.openxmlformats.org/officeDocument/2006/relationships/hyperlink" Target="https://finance.yahoo.com/quote/BABA/options?strike=100&amp;straddle=false" TargetMode="External"/><Relationship Id="rId32" Type="http://schemas.openxmlformats.org/officeDocument/2006/relationships/hyperlink" Target="https://finance.yahoo.com/quote/BABA/options?strike=120&amp;straddle=false" TargetMode="External"/><Relationship Id="rId37" Type="http://schemas.openxmlformats.org/officeDocument/2006/relationships/hyperlink" Target="https://finance.yahoo.com/quote/BABA221021C00135000?p=BABA221021C00135000" TargetMode="External"/><Relationship Id="rId40" Type="http://schemas.openxmlformats.org/officeDocument/2006/relationships/hyperlink" Target="https://finance.yahoo.com/quote/BABA/options?strike=140&amp;straddle=false" TargetMode="External"/><Relationship Id="rId45" Type="http://schemas.openxmlformats.org/officeDocument/2006/relationships/hyperlink" Target="https://finance.yahoo.com/quote/BABA221021C00155000?p=BABA221021C00155000" TargetMode="External"/><Relationship Id="rId53" Type="http://schemas.openxmlformats.org/officeDocument/2006/relationships/hyperlink" Target="https://finance.yahoo.com/quote/BABA221021C00175000?p=BABA221021C00175000" TargetMode="External"/><Relationship Id="rId58" Type="http://schemas.openxmlformats.org/officeDocument/2006/relationships/hyperlink" Target="https://finance.yahoo.com/quote/BABA/options?strike=185&amp;straddle=false" TargetMode="External"/><Relationship Id="rId66" Type="http://schemas.openxmlformats.org/officeDocument/2006/relationships/hyperlink" Target="https://finance.yahoo.com/quote/BABA/options?strike=205&amp;straddle=false" TargetMode="External"/><Relationship Id="rId74" Type="http://schemas.openxmlformats.org/officeDocument/2006/relationships/hyperlink" Target="https://finance.yahoo.com/quote/BABA/options?strike=225&amp;straddle=false" TargetMode="External"/><Relationship Id="rId5" Type="http://schemas.openxmlformats.org/officeDocument/2006/relationships/hyperlink" Target="https://finance.yahoo.com/quote/BABA221021C00035000?p=BABA221021C00035000" TargetMode="External"/><Relationship Id="rId15" Type="http://schemas.openxmlformats.org/officeDocument/2006/relationships/hyperlink" Target="https://finance.yahoo.com/quote/BABA221021C00080000?p=BABA221021C00080000" TargetMode="External"/><Relationship Id="rId23" Type="http://schemas.openxmlformats.org/officeDocument/2006/relationships/hyperlink" Target="https://finance.yahoo.com/quote/BABA221021C00100000?p=BABA221021C00100000" TargetMode="External"/><Relationship Id="rId28" Type="http://schemas.openxmlformats.org/officeDocument/2006/relationships/hyperlink" Target="https://finance.yahoo.com/quote/BABA/options?strike=110&amp;straddle=false" TargetMode="External"/><Relationship Id="rId36" Type="http://schemas.openxmlformats.org/officeDocument/2006/relationships/hyperlink" Target="https://finance.yahoo.com/quote/BABA/options?strike=130&amp;straddle=false" TargetMode="External"/><Relationship Id="rId49" Type="http://schemas.openxmlformats.org/officeDocument/2006/relationships/hyperlink" Target="https://finance.yahoo.com/quote/BABA221021C00165000?p=BABA221021C00165000" TargetMode="External"/><Relationship Id="rId57" Type="http://schemas.openxmlformats.org/officeDocument/2006/relationships/hyperlink" Target="https://finance.yahoo.com/quote/BABA221021C00185000?p=BABA221021C00185000" TargetMode="External"/><Relationship Id="rId61" Type="http://schemas.openxmlformats.org/officeDocument/2006/relationships/hyperlink" Target="https://finance.yahoo.com/quote/BABA221021C00195000?p=BABA221021C00195000" TargetMode="External"/><Relationship Id="rId10" Type="http://schemas.openxmlformats.org/officeDocument/2006/relationships/hyperlink" Target="https://finance.yahoo.com/quote/BABA/options?strike=65&amp;straddle=false" TargetMode="External"/><Relationship Id="rId19" Type="http://schemas.openxmlformats.org/officeDocument/2006/relationships/hyperlink" Target="https://finance.yahoo.com/quote/BABA221021C00090000?p=BABA221021C00090000" TargetMode="External"/><Relationship Id="rId31" Type="http://schemas.openxmlformats.org/officeDocument/2006/relationships/hyperlink" Target="https://finance.yahoo.com/quote/BABA221021C00120000?p=BABA221021C00120000" TargetMode="External"/><Relationship Id="rId44" Type="http://schemas.openxmlformats.org/officeDocument/2006/relationships/hyperlink" Target="https://finance.yahoo.com/quote/BABA/options?strike=150&amp;straddle=false" TargetMode="External"/><Relationship Id="rId52" Type="http://schemas.openxmlformats.org/officeDocument/2006/relationships/hyperlink" Target="https://finance.yahoo.com/quote/BABA/options?strike=170&amp;straddle=false" TargetMode="External"/><Relationship Id="rId60" Type="http://schemas.openxmlformats.org/officeDocument/2006/relationships/hyperlink" Target="https://finance.yahoo.com/quote/BABA/options?strike=190&amp;straddle=false" TargetMode="External"/><Relationship Id="rId65" Type="http://schemas.openxmlformats.org/officeDocument/2006/relationships/hyperlink" Target="https://finance.yahoo.com/quote/BABA221021C00205000?p=BABA221021C00205000" TargetMode="External"/><Relationship Id="rId73" Type="http://schemas.openxmlformats.org/officeDocument/2006/relationships/hyperlink" Target="https://finance.yahoo.com/quote/BABA221021C00225000?p=BABA221021C00225000" TargetMode="External"/><Relationship Id="rId4" Type="http://schemas.openxmlformats.org/officeDocument/2006/relationships/hyperlink" Target="https://finance.yahoo.com/quote/BABA/options?strike=30&amp;straddle=false" TargetMode="External"/><Relationship Id="rId9" Type="http://schemas.openxmlformats.org/officeDocument/2006/relationships/hyperlink" Target="https://finance.yahoo.com/quote/BABA221021C00065000?p=BABA221021C00065000" TargetMode="External"/><Relationship Id="rId14" Type="http://schemas.openxmlformats.org/officeDocument/2006/relationships/hyperlink" Target="https://finance.yahoo.com/quote/BABA/options?strike=75&amp;straddle=false" TargetMode="External"/><Relationship Id="rId22" Type="http://schemas.openxmlformats.org/officeDocument/2006/relationships/hyperlink" Target="https://finance.yahoo.com/quote/BABA/options?strike=95&amp;straddle=false" TargetMode="External"/><Relationship Id="rId27" Type="http://schemas.openxmlformats.org/officeDocument/2006/relationships/hyperlink" Target="https://finance.yahoo.com/quote/BABA221021C00110000?p=BABA221021C00110000" TargetMode="External"/><Relationship Id="rId30" Type="http://schemas.openxmlformats.org/officeDocument/2006/relationships/hyperlink" Target="https://finance.yahoo.com/quote/BABA/options?strike=115&amp;straddle=false" TargetMode="External"/><Relationship Id="rId35" Type="http://schemas.openxmlformats.org/officeDocument/2006/relationships/hyperlink" Target="https://finance.yahoo.com/quote/BABA221021C00130000?p=BABA221021C00130000" TargetMode="External"/><Relationship Id="rId43" Type="http://schemas.openxmlformats.org/officeDocument/2006/relationships/hyperlink" Target="https://finance.yahoo.com/quote/BABA221021C00150000?p=BABA221021C00150000" TargetMode="External"/><Relationship Id="rId48" Type="http://schemas.openxmlformats.org/officeDocument/2006/relationships/hyperlink" Target="https://finance.yahoo.com/quote/BABA/options?strike=160&amp;straddle=false" TargetMode="External"/><Relationship Id="rId56" Type="http://schemas.openxmlformats.org/officeDocument/2006/relationships/hyperlink" Target="https://finance.yahoo.com/quote/BABA/options?strike=180&amp;straddle=false" TargetMode="External"/><Relationship Id="rId64" Type="http://schemas.openxmlformats.org/officeDocument/2006/relationships/hyperlink" Target="https://finance.yahoo.com/quote/BABA/options?strike=200&amp;straddle=false" TargetMode="External"/><Relationship Id="rId69" Type="http://schemas.openxmlformats.org/officeDocument/2006/relationships/hyperlink" Target="https://finance.yahoo.com/quote/BABA221021C00215000?p=BABA221021C00215000" TargetMode="External"/><Relationship Id="rId8" Type="http://schemas.openxmlformats.org/officeDocument/2006/relationships/hyperlink" Target="https://finance.yahoo.com/quote/BABA/options?strike=40&amp;straddle=false" TargetMode="External"/><Relationship Id="rId51" Type="http://schemas.openxmlformats.org/officeDocument/2006/relationships/hyperlink" Target="https://finance.yahoo.com/quote/BABA221021C00170000?p=BABA221021C00170000" TargetMode="External"/><Relationship Id="rId72" Type="http://schemas.openxmlformats.org/officeDocument/2006/relationships/hyperlink" Target="https://finance.yahoo.com/quote/BABA/options?strike=220&amp;straddle=false" TargetMode="External"/><Relationship Id="rId3" Type="http://schemas.openxmlformats.org/officeDocument/2006/relationships/hyperlink" Target="https://finance.yahoo.com/quote/BABA221021C00030000?p=BABA221021C00030000" TargetMode="External"/><Relationship Id="rId12" Type="http://schemas.openxmlformats.org/officeDocument/2006/relationships/hyperlink" Target="https://finance.yahoo.com/quote/BABA/options?strike=70&amp;straddle=false" TargetMode="External"/><Relationship Id="rId17" Type="http://schemas.openxmlformats.org/officeDocument/2006/relationships/hyperlink" Target="https://finance.yahoo.com/quote/BABA221021C00085000?p=BABA221021C00085000" TargetMode="External"/><Relationship Id="rId25" Type="http://schemas.openxmlformats.org/officeDocument/2006/relationships/hyperlink" Target="https://finance.yahoo.com/quote/BABA221021C00105000?p=BABA221021C00105000" TargetMode="External"/><Relationship Id="rId33" Type="http://schemas.openxmlformats.org/officeDocument/2006/relationships/hyperlink" Target="https://finance.yahoo.com/quote/BABA221021C00125000?p=BABA221021C00125000" TargetMode="External"/><Relationship Id="rId38" Type="http://schemas.openxmlformats.org/officeDocument/2006/relationships/hyperlink" Target="https://finance.yahoo.com/quote/BABA/options?strike=135&amp;straddle=false" TargetMode="External"/><Relationship Id="rId46" Type="http://schemas.openxmlformats.org/officeDocument/2006/relationships/hyperlink" Target="https://finance.yahoo.com/quote/BABA/options?strike=155&amp;straddle=false" TargetMode="External"/><Relationship Id="rId59" Type="http://schemas.openxmlformats.org/officeDocument/2006/relationships/hyperlink" Target="https://finance.yahoo.com/quote/BABA221021C00190000?p=BABA221021C00190000" TargetMode="External"/><Relationship Id="rId67" Type="http://schemas.openxmlformats.org/officeDocument/2006/relationships/hyperlink" Target="https://finance.yahoo.com/quote/BABA221021C00210000?p=BABA221021C00210000" TargetMode="External"/><Relationship Id="rId20" Type="http://schemas.openxmlformats.org/officeDocument/2006/relationships/hyperlink" Target="https://finance.yahoo.com/quote/BABA/options?strike=90&amp;straddle=false" TargetMode="External"/><Relationship Id="rId41" Type="http://schemas.openxmlformats.org/officeDocument/2006/relationships/hyperlink" Target="https://finance.yahoo.com/quote/BABA221021C00145000?p=BABA221021C00145000" TargetMode="External"/><Relationship Id="rId54" Type="http://schemas.openxmlformats.org/officeDocument/2006/relationships/hyperlink" Target="https://finance.yahoo.com/quote/BABA/options?strike=175&amp;straddle=false" TargetMode="External"/><Relationship Id="rId62" Type="http://schemas.openxmlformats.org/officeDocument/2006/relationships/hyperlink" Target="https://finance.yahoo.com/quote/BABA/options?strike=195&amp;straddle=false" TargetMode="External"/><Relationship Id="rId70" Type="http://schemas.openxmlformats.org/officeDocument/2006/relationships/hyperlink" Target="https://finance.yahoo.com/quote/BABA/options?strike=215&amp;straddle=false" TargetMode="External"/><Relationship Id="rId75" Type="http://schemas.openxmlformats.org/officeDocument/2006/relationships/drawing" Target="../drawings/drawing4.xml"/><Relationship Id="rId1" Type="http://schemas.openxmlformats.org/officeDocument/2006/relationships/hyperlink" Target="https://finance.yahoo.com/quote/BABA221021C00025000?p=BABA221021C00025000" TargetMode="External"/><Relationship Id="rId6" Type="http://schemas.openxmlformats.org/officeDocument/2006/relationships/hyperlink" Target="https://finance.yahoo.com/quote/BABA/options?strike=35&amp;straddle=false" TargetMode="Externa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https://finance.yahoo.com/quote/BABA/options?strike=80&amp;straddle=false" TargetMode="External"/><Relationship Id="rId117" Type="http://schemas.openxmlformats.org/officeDocument/2006/relationships/hyperlink" Target="https://finance.yahoo.com/quote/BABA230120C00330000?p=BABA230120C00330000" TargetMode="External"/><Relationship Id="rId21" Type="http://schemas.openxmlformats.org/officeDocument/2006/relationships/hyperlink" Target="https://finance.yahoo.com/quote/BABA230120C00070000?p=BABA230120C00070000" TargetMode="External"/><Relationship Id="rId42" Type="http://schemas.openxmlformats.org/officeDocument/2006/relationships/hyperlink" Target="https://finance.yahoo.com/quote/BABA/options?strike=120&amp;straddle=false" TargetMode="External"/><Relationship Id="rId47" Type="http://schemas.openxmlformats.org/officeDocument/2006/relationships/hyperlink" Target="https://finance.yahoo.com/quote/BABA230120C00135000?p=BABA230120C00135000" TargetMode="External"/><Relationship Id="rId63" Type="http://schemas.openxmlformats.org/officeDocument/2006/relationships/hyperlink" Target="https://finance.yahoo.com/quote/BABA230120C00175000?p=BABA230120C00175000" TargetMode="External"/><Relationship Id="rId68" Type="http://schemas.openxmlformats.org/officeDocument/2006/relationships/hyperlink" Target="https://finance.yahoo.com/quote/BABA/options?strike=185&amp;straddle=false" TargetMode="External"/><Relationship Id="rId84" Type="http://schemas.openxmlformats.org/officeDocument/2006/relationships/hyperlink" Target="https://finance.yahoo.com/quote/BABA/options?strike=240&amp;straddle=false" TargetMode="External"/><Relationship Id="rId89" Type="http://schemas.openxmlformats.org/officeDocument/2006/relationships/hyperlink" Target="https://finance.yahoo.com/quote/BABA230120C00255000?p=BABA230120C00255000" TargetMode="External"/><Relationship Id="rId112" Type="http://schemas.openxmlformats.org/officeDocument/2006/relationships/hyperlink" Target="https://finance.yahoo.com/quote/BABA/options?strike=310&amp;straddle=false" TargetMode="External"/><Relationship Id="rId133" Type="http://schemas.openxmlformats.org/officeDocument/2006/relationships/hyperlink" Target="https://finance.yahoo.com/quote/BABA230120C00410000?p=BABA230120C00410000" TargetMode="External"/><Relationship Id="rId138" Type="http://schemas.openxmlformats.org/officeDocument/2006/relationships/hyperlink" Target="https://finance.yahoo.com/quote/BABA/options?strike=430&amp;straddle=false" TargetMode="External"/><Relationship Id="rId16" Type="http://schemas.openxmlformats.org/officeDocument/2006/relationships/hyperlink" Target="https://finance.yahoo.com/quote/BABA/options?strike=55&amp;straddle=false" TargetMode="External"/><Relationship Id="rId107" Type="http://schemas.openxmlformats.org/officeDocument/2006/relationships/hyperlink" Target="https://finance.yahoo.com/quote/BABA230120C00300000?p=BABA230120C00300000" TargetMode="External"/><Relationship Id="rId11" Type="http://schemas.openxmlformats.org/officeDocument/2006/relationships/hyperlink" Target="https://finance.yahoo.com/quote/BABA230120C00045000?p=BABA230120C00045000" TargetMode="External"/><Relationship Id="rId32" Type="http://schemas.openxmlformats.org/officeDocument/2006/relationships/hyperlink" Target="https://finance.yahoo.com/quote/BABA/options?strike=95&amp;straddle=false" TargetMode="External"/><Relationship Id="rId37" Type="http://schemas.openxmlformats.org/officeDocument/2006/relationships/hyperlink" Target="https://finance.yahoo.com/quote/BABA230120C00110000?p=BABA230120C00110000" TargetMode="External"/><Relationship Id="rId53" Type="http://schemas.openxmlformats.org/officeDocument/2006/relationships/hyperlink" Target="https://finance.yahoo.com/quote/BABA230120C00150000?p=BABA230120C00150000" TargetMode="External"/><Relationship Id="rId58" Type="http://schemas.openxmlformats.org/officeDocument/2006/relationships/hyperlink" Target="https://finance.yahoo.com/quote/BABA/options?strike=160&amp;straddle=false" TargetMode="External"/><Relationship Id="rId74" Type="http://schemas.openxmlformats.org/officeDocument/2006/relationships/hyperlink" Target="https://finance.yahoo.com/quote/BABA/options?strike=200&amp;straddle=false" TargetMode="External"/><Relationship Id="rId79" Type="http://schemas.openxmlformats.org/officeDocument/2006/relationships/hyperlink" Target="https://finance.yahoo.com/quote/BABA230120C00230000?p=BABA230120C00230000" TargetMode="External"/><Relationship Id="rId102" Type="http://schemas.openxmlformats.org/officeDocument/2006/relationships/hyperlink" Target="https://finance.yahoo.com/quote/BABA/options?strike=285&amp;straddle=false" TargetMode="External"/><Relationship Id="rId123" Type="http://schemas.openxmlformats.org/officeDocument/2006/relationships/hyperlink" Target="https://finance.yahoo.com/quote/BABA230120C00360000?p=BABA230120C00360000" TargetMode="External"/><Relationship Id="rId128" Type="http://schemas.openxmlformats.org/officeDocument/2006/relationships/hyperlink" Target="https://finance.yahoo.com/quote/BABA/options?strike=380&amp;straddle=false" TargetMode="External"/><Relationship Id="rId144" Type="http://schemas.openxmlformats.org/officeDocument/2006/relationships/hyperlink" Target="https://finance.yahoo.com/quote/BABA/options?strike=460&amp;straddle=false" TargetMode="External"/><Relationship Id="rId5" Type="http://schemas.openxmlformats.org/officeDocument/2006/relationships/hyperlink" Target="https://finance.yahoo.com/quote/BABA230120C00030000?p=BABA230120C00030000" TargetMode="External"/><Relationship Id="rId90" Type="http://schemas.openxmlformats.org/officeDocument/2006/relationships/hyperlink" Target="https://finance.yahoo.com/quote/BABA/options?strike=255&amp;straddle=false" TargetMode="External"/><Relationship Id="rId95" Type="http://schemas.openxmlformats.org/officeDocument/2006/relationships/hyperlink" Target="https://finance.yahoo.com/quote/BABA230120C00270000?p=BABA230120C00270000" TargetMode="External"/><Relationship Id="rId22" Type="http://schemas.openxmlformats.org/officeDocument/2006/relationships/hyperlink" Target="https://finance.yahoo.com/quote/BABA/options?strike=70&amp;straddle=false" TargetMode="External"/><Relationship Id="rId27" Type="http://schemas.openxmlformats.org/officeDocument/2006/relationships/hyperlink" Target="https://finance.yahoo.com/quote/BABA230120C00085000?p=BABA230120C00085000" TargetMode="External"/><Relationship Id="rId43" Type="http://schemas.openxmlformats.org/officeDocument/2006/relationships/hyperlink" Target="https://finance.yahoo.com/quote/BABA230120C00125000?p=BABA230120C00125000" TargetMode="External"/><Relationship Id="rId48" Type="http://schemas.openxmlformats.org/officeDocument/2006/relationships/hyperlink" Target="https://finance.yahoo.com/quote/BABA/options?strike=135&amp;straddle=false" TargetMode="External"/><Relationship Id="rId64" Type="http://schemas.openxmlformats.org/officeDocument/2006/relationships/hyperlink" Target="https://finance.yahoo.com/quote/BABA/options?strike=175&amp;straddle=false" TargetMode="External"/><Relationship Id="rId69" Type="http://schemas.openxmlformats.org/officeDocument/2006/relationships/hyperlink" Target="https://finance.yahoo.com/quote/BABA230120C00190000?p=BABA230120C00190000" TargetMode="External"/><Relationship Id="rId113" Type="http://schemas.openxmlformats.org/officeDocument/2006/relationships/hyperlink" Target="https://finance.yahoo.com/quote/BABA230120C00315000?p=BABA230120C00315000" TargetMode="External"/><Relationship Id="rId118" Type="http://schemas.openxmlformats.org/officeDocument/2006/relationships/hyperlink" Target="https://finance.yahoo.com/quote/BABA/options?strike=330&amp;straddle=false" TargetMode="External"/><Relationship Id="rId134" Type="http://schemas.openxmlformats.org/officeDocument/2006/relationships/hyperlink" Target="https://finance.yahoo.com/quote/BABA/options?strike=410&amp;straddle=false" TargetMode="External"/><Relationship Id="rId139" Type="http://schemas.openxmlformats.org/officeDocument/2006/relationships/hyperlink" Target="https://finance.yahoo.com/quote/BABA230120C00440000?p=BABA230120C00440000" TargetMode="External"/><Relationship Id="rId80" Type="http://schemas.openxmlformats.org/officeDocument/2006/relationships/hyperlink" Target="https://finance.yahoo.com/quote/BABA/options?strike=230&amp;straddle=false" TargetMode="External"/><Relationship Id="rId85" Type="http://schemas.openxmlformats.org/officeDocument/2006/relationships/hyperlink" Target="https://finance.yahoo.com/quote/BABA230120C00245000?p=BABA230120C00245000" TargetMode="External"/><Relationship Id="rId3" Type="http://schemas.openxmlformats.org/officeDocument/2006/relationships/hyperlink" Target="https://finance.yahoo.com/quote/BABA230120C00025000?p=BABA230120C00025000" TargetMode="External"/><Relationship Id="rId12" Type="http://schemas.openxmlformats.org/officeDocument/2006/relationships/hyperlink" Target="https://finance.yahoo.com/quote/BABA/options?strike=45&amp;straddle=false" TargetMode="External"/><Relationship Id="rId17" Type="http://schemas.openxmlformats.org/officeDocument/2006/relationships/hyperlink" Target="https://finance.yahoo.com/quote/BABA230120C00060000?p=BABA230120C00060000" TargetMode="External"/><Relationship Id="rId25" Type="http://schemas.openxmlformats.org/officeDocument/2006/relationships/hyperlink" Target="https://finance.yahoo.com/quote/BABA230120C00080000?p=BABA230120C00080000" TargetMode="External"/><Relationship Id="rId33" Type="http://schemas.openxmlformats.org/officeDocument/2006/relationships/hyperlink" Target="https://finance.yahoo.com/quote/BABA230120C00100000?p=BABA230120C00100000" TargetMode="External"/><Relationship Id="rId38" Type="http://schemas.openxmlformats.org/officeDocument/2006/relationships/hyperlink" Target="https://finance.yahoo.com/quote/BABA/options?strike=110&amp;straddle=false" TargetMode="External"/><Relationship Id="rId46" Type="http://schemas.openxmlformats.org/officeDocument/2006/relationships/hyperlink" Target="https://finance.yahoo.com/quote/BABA/options?strike=130&amp;straddle=false" TargetMode="External"/><Relationship Id="rId59" Type="http://schemas.openxmlformats.org/officeDocument/2006/relationships/hyperlink" Target="https://finance.yahoo.com/quote/BABA230120C00165000?p=BABA230120C00165000" TargetMode="External"/><Relationship Id="rId67" Type="http://schemas.openxmlformats.org/officeDocument/2006/relationships/hyperlink" Target="https://finance.yahoo.com/quote/BABA230120C00185000?p=BABA230120C00185000" TargetMode="External"/><Relationship Id="rId103" Type="http://schemas.openxmlformats.org/officeDocument/2006/relationships/hyperlink" Target="https://finance.yahoo.com/quote/BABA230120C00290000?p=BABA230120C00290000" TargetMode="External"/><Relationship Id="rId108" Type="http://schemas.openxmlformats.org/officeDocument/2006/relationships/hyperlink" Target="https://finance.yahoo.com/quote/BABA/options?strike=300&amp;straddle=false" TargetMode="External"/><Relationship Id="rId116" Type="http://schemas.openxmlformats.org/officeDocument/2006/relationships/hyperlink" Target="https://finance.yahoo.com/quote/BABA/options?strike=320&amp;straddle=false" TargetMode="External"/><Relationship Id="rId124" Type="http://schemas.openxmlformats.org/officeDocument/2006/relationships/hyperlink" Target="https://finance.yahoo.com/quote/BABA/options?strike=360&amp;straddle=false" TargetMode="External"/><Relationship Id="rId129" Type="http://schemas.openxmlformats.org/officeDocument/2006/relationships/hyperlink" Target="https://finance.yahoo.com/quote/BABA230120C00390000?p=BABA230120C00390000" TargetMode="External"/><Relationship Id="rId137" Type="http://schemas.openxmlformats.org/officeDocument/2006/relationships/hyperlink" Target="https://finance.yahoo.com/quote/BABA230120C00430000?p=BABA230120C00430000" TargetMode="External"/><Relationship Id="rId20" Type="http://schemas.openxmlformats.org/officeDocument/2006/relationships/hyperlink" Target="https://finance.yahoo.com/quote/BABA/options?strike=65&amp;straddle=false" TargetMode="External"/><Relationship Id="rId41" Type="http://schemas.openxmlformats.org/officeDocument/2006/relationships/hyperlink" Target="https://finance.yahoo.com/quote/BABA230120C00120000?p=BABA230120C00120000" TargetMode="External"/><Relationship Id="rId54" Type="http://schemas.openxmlformats.org/officeDocument/2006/relationships/hyperlink" Target="https://finance.yahoo.com/quote/BABA/options?strike=150&amp;straddle=false" TargetMode="External"/><Relationship Id="rId62" Type="http://schemas.openxmlformats.org/officeDocument/2006/relationships/hyperlink" Target="https://finance.yahoo.com/quote/BABA/options?strike=170&amp;straddle=false" TargetMode="External"/><Relationship Id="rId70" Type="http://schemas.openxmlformats.org/officeDocument/2006/relationships/hyperlink" Target="https://finance.yahoo.com/quote/BABA/options?strike=190&amp;straddle=false" TargetMode="External"/><Relationship Id="rId75" Type="http://schemas.openxmlformats.org/officeDocument/2006/relationships/hyperlink" Target="https://finance.yahoo.com/quote/BABA230120C00210000?p=BABA230120C00210000" TargetMode="External"/><Relationship Id="rId83" Type="http://schemas.openxmlformats.org/officeDocument/2006/relationships/hyperlink" Target="https://finance.yahoo.com/quote/BABA230120C00240000?p=BABA230120C00240000" TargetMode="External"/><Relationship Id="rId88" Type="http://schemas.openxmlformats.org/officeDocument/2006/relationships/hyperlink" Target="https://finance.yahoo.com/quote/BABA/options?strike=250&amp;straddle=false" TargetMode="External"/><Relationship Id="rId91" Type="http://schemas.openxmlformats.org/officeDocument/2006/relationships/hyperlink" Target="https://finance.yahoo.com/quote/BABA230120C00260000?p=BABA230120C00260000" TargetMode="External"/><Relationship Id="rId96" Type="http://schemas.openxmlformats.org/officeDocument/2006/relationships/hyperlink" Target="https://finance.yahoo.com/quote/BABA/options?strike=270&amp;straddle=false" TargetMode="External"/><Relationship Id="rId111" Type="http://schemas.openxmlformats.org/officeDocument/2006/relationships/hyperlink" Target="https://finance.yahoo.com/quote/BABA230120C00310000?p=BABA230120C00310000" TargetMode="External"/><Relationship Id="rId132" Type="http://schemas.openxmlformats.org/officeDocument/2006/relationships/hyperlink" Target="https://finance.yahoo.com/quote/BABA/options?strike=400&amp;straddle=false" TargetMode="External"/><Relationship Id="rId140" Type="http://schemas.openxmlformats.org/officeDocument/2006/relationships/hyperlink" Target="https://finance.yahoo.com/quote/BABA/options?strike=440&amp;straddle=false" TargetMode="External"/><Relationship Id="rId145" Type="http://schemas.openxmlformats.org/officeDocument/2006/relationships/drawing" Target="../drawings/drawing5.xml"/><Relationship Id="rId1" Type="http://schemas.openxmlformats.org/officeDocument/2006/relationships/hyperlink" Target="https://finance.yahoo.com/quote/BABA230120C00020000?p=BABA230120C00020000" TargetMode="External"/><Relationship Id="rId6" Type="http://schemas.openxmlformats.org/officeDocument/2006/relationships/hyperlink" Target="https://finance.yahoo.com/quote/BABA/options?strike=30&amp;straddle=false" TargetMode="External"/><Relationship Id="rId15" Type="http://schemas.openxmlformats.org/officeDocument/2006/relationships/hyperlink" Target="https://finance.yahoo.com/quote/BABA230120C00055000?p=BABA230120C00055000" TargetMode="External"/><Relationship Id="rId23" Type="http://schemas.openxmlformats.org/officeDocument/2006/relationships/hyperlink" Target="https://finance.yahoo.com/quote/BABA230120C00075000?p=BABA230120C00075000" TargetMode="External"/><Relationship Id="rId28" Type="http://schemas.openxmlformats.org/officeDocument/2006/relationships/hyperlink" Target="https://finance.yahoo.com/quote/BABA/options?strike=85&amp;straddle=false" TargetMode="External"/><Relationship Id="rId36" Type="http://schemas.openxmlformats.org/officeDocument/2006/relationships/hyperlink" Target="https://finance.yahoo.com/quote/BABA/options?strike=105&amp;straddle=false" TargetMode="External"/><Relationship Id="rId49" Type="http://schemas.openxmlformats.org/officeDocument/2006/relationships/hyperlink" Target="https://finance.yahoo.com/quote/BABA230120C00140000?p=BABA230120C00140000" TargetMode="External"/><Relationship Id="rId57" Type="http://schemas.openxmlformats.org/officeDocument/2006/relationships/hyperlink" Target="https://finance.yahoo.com/quote/BABA230120C00160000?p=BABA230120C00160000" TargetMode="External"/><Relationship Id="rId106" Type="http://schemas.openxmlformats.org/officeDocument/2006/relationships/hyperlink" Target="https://finance.yahoo.com/quote/BABA/options?strike=295&amp;straddle=false" TargetMode="External"/><Relationship Id="rId114" Type="http://schemas.openxmlformats.org/officeDocument/2006/relationships/hyperlink" Target="https://finance.yahoo.com/quote/BABA/options?strike=315&amp;straddle=false" TargetMode="External"/><Relationship Id="rId119" Type="http://schemas.openxmlformats.org/officeDocument/2006/relationships/hyperlink" Target="https://finance.yahoo.com/quote/BABA230120C00340000?p=BABA230120C00340000" TargetMode="External"/><Relationship Id="rId127" Type="http://schemas.openxmlformats.org/officeDocument/2006/relationships/hyperlink" Target="https://finance.yahoo.com/quote/BABA230120C00380000?p=BABA230120C00380000" TargetMode="External"/><Relationship Id="rId10" Type="http://schemas.openxmlformats.org/officeDocument/2006/relationships/hyperlink" Target="https://finance.yahoo.com/quote/BABA/options?strike=40&amp;straddle=false" TargetMode="External"/><Relationship Id="rId31" Type="http://schemas.openxmlformats.org/officeDocument/2006/relationships/hyperlink" Target="https://finance.yahoo.com/quote/BABA230120C00095000?p=BABA230120C00095000" TargetMode="External"/><Relationship Id="rId44" Type="http://schemas.openxmlformats.org/officeDocument/2006/relationships/hyperlink" Target="https://finance.yahoo.com/quote/BABA/options?strike=125&amp;straddle=false" TargetMode="External"/><Relationship Id="rId52" Type="http://schemas.openxmlformats.org/officeDocument/2006/relationships/hyperlink" Target="https://finance.yahoo.com/quote/BABA/options?strike=145&amp;straddle=false" TargetMode="External"/><Relationship Id="rId60" Type="http://schemas.openxmlformats.org/officeDocument/2006/relationships/hyperlink" Target="https://finance.yahoo.com/quote/BABA/options?strike=165&amp;straddle=false" TargetMode="External"/><Relationship Id="rId65" Type="http://schemas.openxmlformats.org/officeDocument/2006/relationships/hyperlink" Target="https://finance.yahoo.com/quote/BABA230120C00180000?p=BABA230120C00180000" TargetMode="External"/><Relationship Id="rId73" Type="http://schemas.openxmlformats.org/officeDocument/2006/relationships/hyperlink" Target="https://finance.yahoo.com/quote/BABA230120C00200000?p=BABA230120C00200000" TargetMode="External"/><Relationship Id="rId78" Type="http://schemas.openxmlformats.org/officeDocument/2006/relationships/hyperlink" Target="https://finance.yahoo.com/quote/BABA/options?strike=220&amp;straddle=false" TargetMode="External"/><Relationship Id="rId81" Type="http://schemas.openxmlformats.org/officeDocument/2006/relationships/hyperlink" Target="https://finance.yahoo.com/quote/BABA230120C00235000?p=BABA230120C00235000" TargetMode="External"/><Relationship Id="rId86" Type="http://schemas.openxmlformats.org/officeDocument/2006/relationships/hyperlink" Target="https://finance.yahoo.com/quote/BABA/options?strike=245&amp;straddle=false" TargetMode="External"/><Relationship Id="rId94" Type="http://schemas.openxmlformats.org/officeDocument/2006/relationships/hyperlink" Target="https://finance.yahoo.com/quote/BABA/options?strike=265&amp;straddle=false" TargetMode="External"/><Relationship Id="rId99" Type="http://schemas.openxmlformats.org/officeDocument/2006/relationships/hyperlink" Target="https://finance.yahoo.com/quote/BABA230120C00280000?p=BABA230120C00280000" TargetMode="External"/><Relationship Id="rId101" Type="http://schemas.openxmlformats.org/officeDocument/2006/relationships/hyperlink" Target="https://finance.yahoo.com/quote/BABA230120C00285000?p=BABA230120C00285000" TargetMode="External"/><Relationship Id="rId122" Type="http://schemas.openxmlformats.org/officeDocument/2006/relationships/hyperlink" Target="https://finance.yahoo.com/quote/BABA/options?strike=350&amp;straddle=false" TargetMode="External"/><Relationship Id="rId130" Type="http://schemas.openxmlformats.org/officeDocument/2006/relationships/hyperlink" Target="https://finance.yahoo.com/quote/BABA/options?strike=390&amp;straddle=false" TargetMode="External"/><Relationship Id="rId135" Type="http://schemas.openxmlformats.org/officeDocument/2006/relationships/hyperlink" Target="https://finance.yahoo.com/quote/BABA230120C00420000?p=BABA230120C00420000" TargetMode="External"/><Relationship Id="rId143" Type="http://schemas.openxmlformats.org/officeDocument/2006/relationships/hyperlink" Target="https://finance.yahoo.com/quote/BABA230120C00460000?p=BABA230120C00460000" TargetMode="External"/><Relationship Id="rId4" Type="http://schemas.openxmlformats.org/officeDocument/2006/relationships/hyperlink" Target="https://finance.yahoo.com/quote/BABA/options?strike=25&amp;straddle=false" TargetMode="External"/><Relationship Id="rId9" Type="http://schemas.openxmlformats.org/officeDocument/2006/relationships/hyperlink" Target="https://finance.yahoo.com/quote/BABA230120C00040000?p=BABA230120C00040000" TargetMode="External"/><Relationship Id="rId13" Type="http://schemas.openxmlformats.org/officeDocument/2006/relationships/hyperlink" Target="https://finance.yahoo.com/quote/BABA230120C00050000?p=BABA230120C00050000" TargetMode="External"/><Relationship Id="rId18" Type="http://schemas.openxmlformats.org/officeDocument/2006/relationships/hyperlink" Target="https://finance.yahoo.com/quote/BABA/options?strike=60&amp;straddle=false" TargetMode="External"/><Relationship Id="rId39" Type="http://schemas.openxmlformats.org/officeDocument/2006/relationships/hyperlink" Target="https://finance.yahoo.com/quote/BABA230120C00115000?p=BABA230120C00115000" TargetMode="External"/><Relationship Id="rId109" Type="http://schemas.openxmlformats.org/officeDocument/2006/relationships/hyperlink" Target="https://finance.yahoo.com/quote/BABA230120C00305000?p=BABA230120C00305000" TargetMode="External"/><Relationship Id="rId34" Type="http://schemas.openxmlformats.org/officeDocument/2006/relationships/hyperlink" Target="https://finance.yahoo.com/quote/BABA/options?strike=100&amp;straddle=false" TargetMode="External"/><Relationship Id="rId50" Type="http://schemas.openxmlformats.org/officeDocument/2006/relationships/hyperlink" Target="https://finance.yahoo.com/quote/BABA/options?strike=140&amp;straddle=false" TargetMode="External"/><Relationship Id="rId55" Type="http://schemas.openxmlformats.org/officeDocument/2006/relationships/hyperlink" Target="https://finance.yahoo.com/quote/BABA230120C00155000?p=BABA230120C00155000" TargetMode="External"/><Relationship Id="rId76" Type="http://schemas.openxmlformats.org/officeDocument/2006/relationships/hyperlink" Target="https://finance.yahoo.com/quote/BABA/options?strike=210&amp;straddle=false" TargetMode="External"/><Relationship Id="rId97" Type="http://schemas.openxmlformats.org/officeDocument/2006/relationships/hyperlink" Target="https://finance.yahoo.com/quote/BABA230120C00275000?p=BABA230120C00275000" TargetMode="External"/><Relationship Id="rId104" Type="http://schemas.openxmlformats.org/officeDocument/2006/relationships/hyperlink" Target="https://finance.yahoo.com/quote/BABA/options?strike=290&amp;straddle=false" TargetMode="External"/><Relationship Id="rId120" Type="http://schemas.openxmlformats.org/officeDocument/2006/relationships/hyperlink" Target="https://finance.yahoo.com/quote/BABA/options?strike=340&amp;straddle=false" TargetMode="External"/><Relationship Id="rId125" Type="http://schemas.openxmlformats.org/officeDocument/2006/relationships/hyperlink" Target="https://finance.yahoo.com/quote/BABA230120C00370000?p=BABA230120C00370000" TargetMode="External"/><Relationship Id="rId141" Type="http://schemas.openxmlformats.org/officeDocument/2006/relationships/hyperlink" Target="https://finance.yahoo.com/quote/BABA230120C00450000?p=BABA230120C00450000" TargetMode="External"/><Relationship Id="rId7" Type="http://schemas.openxmlformats.org/officeDocument/2006/relationships/hyperlink" Target="https://finance.yahoo.com/quote/BABA230120C00035000?p=BABA230120C00035000" TargetMode="External"/><Relationship Id="rId71" Type="http://schemas.openxmlformats.org/officeDocument/2006/relationships/hyperlink" Target="https://finance.yahoo.com/quote/BABA230120C00195000?p=BABA230120C00195000" TargetMode="External"/><Relationship Id="rId92" Type="http://schemas.openxmlformats.org/officeDocument/2006/relationships/hyperlink" Target="https://finance.yahoo.com/quote/BABA/options?strike=260&amp;straddle=false" TargetMode="External"/><Relationship Id="rId2" Type="http://schemas.openxmlformats.org/officeDocument/2006/relationships/hyperlink" Target="https://finance.yahoo.com/quote/BABA/options?strike=20&amp;straddle=false" TargetMode="External"/><Relationship Id="rId29" Type="http://schemas.openxmlformats.org/officeDocument/2006/relationships/hyperlink" Target="https://finance.yahoo.com/quote/BABA230120C00090000?p=BABA230120C00090000" TargetMode="External"/><Relationship Id="rId24" Type="http://schemas.openxmlformats.org/officeDocument/2006/relationships/hyperlink" Target="https://finance.yahoo.com/quote/BABA/options?strike=75&amp;straddle=false" TargetMode="External"/><Relationship Id="rId40" Type="http://schemas.openxmlformats.org/officeDocument/2006/relationships/hyperlink" Target="https://finance.yahoo.com/quote/BABA/options?strike=115&amp;straddle=false" TargetMode="External"/><Relationship Id="rId45" Type="http://schemas.openxmlformats.org/officeDocument/2006/relationships/hyperlink" Target="https://finance.yahoo.com/quote/BABA230120C00130000?p=BABA230120C00130000" TargetMode="External"/><Relationship Id="rId66" Type="http://schemas.openxmlformats.org/officeDocument/2006/relationships/hyperlink" Target="https://finance.yahoo.com/quote/BABA/options?strike=180&amp;straddle=false" TargetMode="External"/><Relationship Id="rId87" Type="http://schemas.openxmlformats.org/officeDocument/2006/relationships/hyperlink" Target="https://finance.yahoo.com/quote/BABA230120C00250000?p=BABA230120C00250000" TargetMode="External"/><Relationship Id="rId110" Type="http://schemas.openxmlformats.org/officeDocument/2006/relationships/hyperlink" Target="https://finance.yahoo.com/quote/BABA/options?strike=305&amp;straddle=false" TargetMode="External"/><Relationship Id="rId115" Type="http://schemas.openxmlformats.org/officeDocument/2006/relationships/hyperlink" Target="https://finance.yahoo.com/quote/BABA230120C00320000?p=BABA230120C00320000" TargetMode="External"/><Relationship Id="rId131" Type="http://schemas.openxmlformats.org/officeDocument/2006/relationships/hyperlink" Target="https://finance.yahoo.com/quote/BABA230120C00400000?p=BABA230120C00400000" TargetMode="External"/><Relationship Id="rId136" Type="http://schemas.openxmlformats.org/officeDocument/2006/relationships/hyperlink" Target="https://finance.yahoo.com/quote/BABA/options?strike=420&amp;straddle=false" TargetMode="External"/><Relationship Id="rId61" Type="http://schemas.openxmlformats.org/officeDocument/2006/relationships/hyperlink" Target="https://finance.yahoo.com/quote/BABA230120C00170000?p=BABA230120C00170000" TargetMode="External"/><Relationship Id="rId82" Type="http://schemas.openxmlformats.org/officeDocument/2006/relationships/hyperlink" Target="https://finance.yahoo.com/quote/BABA/options?strike=235&amp;straddle=false" TargetMode="External"/><Relationship Id="rId19" Type="http://schemas.openxmlformats.org/officeDocument/2006/relationships/hyperlink" Target="https://finance.yahoo.com/quote/BABA230120C00065000?p=BABA230120C00065000" TargetMode="External"/><Relationship Id="rId14" Type="http://schemas.openxmlformats.org/officeDocument/2006/relationships/hyperlink" Target="https://finance.yahoo.com/quote/BABA/options?strike=50&amp;straddle=false" TargetMode="External"/><Relationship Id="rId30" Type="http://schemas.openxmlformats.org/officeDocument/2006/relationships/hyperlink" Target="https://finance.yahoo.com/quote/BABA/options?strike=90&amp;straddle=false" TargetMode="External"/><Relationship Id="rId35" Type="http://schemas.openxmlformats.org/officeDocument/2006/relationships/hyperlink" Target="https://finance.yahoo.com/quote/BABA230120C00105000?p=BABA230120C00105000" TargetMode="External"/><Relationship Id="rId56" Type="http://schemas.openxmlformats.org/officeDocument/2006/relationships/hyperlink" Target="https://finance.yahoo.com/quote/BABA/options?strike=155&amp;straddle=false" TargetMode="External"/><Relationship Id="rId77" Type="http://schemas.openxmlformats.org/officeDocument/2006/relationships/hyperlink" Target="https://finance.yahoo.com/quote/BABA230120C00220000?p=BABA230120C00220000" TargetMode="External"/><Relationship Id="rId100" Type="http://schemas.openxmlformats.org/officeDocument/2006/relationships/hyperlink" Target="https://finance.yahoo.com/quote/BABA/options?strike=280&amp;straddle=false" TargetMode="External"/><Relationship Id="rId105" Type="http://schemas.openxmlformats.org/officeDocument/2006/relationships/hyperlink" Target="https://finance.yahoo.com/quote/BABA230120C00295000?p=BABA230120C00295000" TargetMode="External"/><Relationship Id="rId126" Type="http://schemas.openxmlformats.org/officeDocument/2006/relationships/hyperlink" Target="https://finance.yahoo.com/quote/BABA/options?strike=370&amp;straddle=false" TargetMode="External"/><Relationship Id="rId8" Type="http://schemas.openxmlformats.org/officeDocument/2006/relationships/hyperlink" Target="https://finance.yahoo.com/quote/BABA/options?strike=35&amp;straddle=false" TargetMode="External"/><Relationship Id="rId51" Type="http://schemas.openxmlformats.org/officeDocument/2006/relationships/hyperlink" Target="https://finance.yahoo.com/quote/BABA230120C00145000?p=BABA230120C00145000" TargetMode="External"/><Relationship Id="rId72" Type="http://schemas.openxmlformats.org/officeDocument/2006/relationships/hyperlink" Target="https://finance.yahoo.com/quote/BABA/options?strike=195&amp;straddle=false" TargetMode="External"/><Relationship Id="rId93" Type="http://schemas.openxmlformats.org/officeDocument/2006/relationships/hyperlink" Target="https://finance.yahoo.com/quote/BABA230120C00265000?p=BABA230120C00265000" TargetMode="External"/><Relationship Id="rId98" Type="http://schemas.openxmlformats.org/officeDocument/2006/relationships/hyperlink" Target="https://finance.yahoo.com/quote/BABA/options?strike=275&amp;straddle=false" TargetMode="External"/><Relationship Id="rId121" Type="http://schemas.openxmlformats.org/officeDocument/2006/relationships/hyperlink" Target="https://finance.yahoo.com/quote/BABA230120C00350000?p=BABA230120C00350000" TargetMode="External"/><Relationship Id="rId142" Type="http://schemas.openxmlformats.org/officeDocument/2006/relationships/hyperlink" Target="https://finance.yahoo.com/quote/BABA/options?strike=450&amp;straddle=false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finance.yahoo.com/quote/BABA230317C00075000?p=BABA230317C00075000" TargetMode="External"/><Relationship Id="rId18" Type="http://schemas.openxmlformats.org/officeDocument/2006/relationships/hyperlink" Target="https://finance.yahoo.com/quote/BABA/options?strike=85&amp;straddle=false" TargetMode="External"/><Relationship Id="rId26" Type="http://schemas.openxmlformats.org/officeDocument/2006/relationships/hyperlink" Target="https://finance.yahoo.com/quote/BABA/options?strike=105&amp;straddle=false" TargetMode="External"/><Relationship Id="rId39" Type="http://schemas.openxmlformats.org/officeDocument/2006/relationships/hyperlink" Target="https://finance.yahoo.com/quote/BABA230317C00140000?p=BABA230317C00140000" TargetMode="External"/><Relationship Id="rId21" Type="http://schemas.openxmlformats.org/officeDocument/2006/relationships/hyperlink" Target="https://finance.yahoo.com/quote/BABA230317C00095000?p=BABA230317C00095000" TargetMode="External"/><Relationship Id="rId34" Type="http://schemas.openxmlformats.org/officeDocument/2006/relationships/hyperlink" Target="https://finance.yahoo.com/quote/BABA/options?strike=125&amp;straddle=false" TargetMode="External"/><Relationship Id="rId42" Type="http://schemas.openxmlformats.org/officeDocument/2006/relationships/hyperlink" Target="https://finance.yahoo.com/quote/BABA/options?strike=145&amp;straddle=false" TargetMode="External"/><Relationship Id="rId47" Type="http://schemas.openxmlformats.org/officeDocument/2006/relationships/hyperlink" Target="https://finance.yahoo.com/quote/BABA230317C00160000?p=BABA230317C00160000" TargetMode="External"/><Relationship Id="rId50" Type="http://schemas.openxmlformats.org/officeDocument/2006/relationships/hyperlink" Target="https://finance.yahoo.com/quote/BABA/options?strike=165&amp;straddle=false" TargetMode="External"/><Relationship Id="rId55" Type="http://schemas.openxmlformats.org/officeDocument/2006/relationships/hyperlink" Target="https://finance.yahoo.com/quote/BABA230317C00180000?p=BABA230317C00180000" TargetMode="External"/><Relationship Id="rId63" Type="http://schemas.openxmlformats.org/officeDocument/2006/relationships/hyperlink" Target="https://finance.yahoo.com/quote/BABA230317C00200000?p=BABA230317C00200000" TargetMode="External"/><Relationship Id="rId68" Type="http://schemas.openxmlformats.org/officeDocument/2006/relationships/hyperlink" Target="https://finance.yahoo.com/quote/BABA/options?strike=210&amp;straddle=false" TargetMode="External"/><Relationship Id="rId76" Type="http://schemas.openxmlformats.org/officeDocument/2006/relationships/hyperlink" Target="https://finance.yahoo.com/quote/BABA/options?strike=230&amp;straddle=false" TargetMode="External"/><Relationship Id="rId7" Type="http://schemas.openxmlformats.org/officeDocument/2006/relationships/hyperlink" Target="https://finance.yahoo.com/quote/BABA230317C00060000?p=BABA230317C00060000" TargetMode="External"/><Relationship Id="rId71" Type="http://schemas.openxmlformats.org/officeDocument/2006/relationships/hyperlink" Target="https://finance.yahoo.com/quote/BABA230317C00220000?p=BABA230317C00220000" TargetMode="External"/><Relationship Id="rId2" Type="http://schemas.openxmlformats.org/officeDocument/2006/relationships/hyperlink" Target="https://finance.yahoo.com/quote/BABA/options?strike=40&amp;straddle=false" TargetMode="External"/><Relationship Id="rId16" Type="http://schemas.openxmlformats.org/officeDocument/2006/relationships/hyperlink" Target="https://finance.yahoo.com/quote/BABA/options?strike=80&amp;straddle=false" TargetMode="External"/><Relationship Id="rId29" Type="http://schemas.openxmlformats.org/officeDocument/2006/relationships/hyperlink" Target="https://finance.yahoo.com/quote/BABA230317C00115000?p=BABA230317C00115000" TargetMode="External"/><Relationship Id="rId11" Type="http://schemas.openxmlformats.org/officeDocument/2006/relationships/hyperlink" Target="https://finance.yahoo.com/quote/BABA230317C00070000?p=BABA230317C00070000" TargetMode="External"/><Relationship Id="rId24" Type="http://schemas.openxmlformats.org/officeDocument/2006/relationships/hyperlink" Target="https://finance.yahoo.com/quote/BABA/options?strike=100&amp;straddle=false" TargetMode="External"/><Relationship Id="rId32" Type="http://schemas.openxmlformats.org/officeDocument/2006/relationships/hyperlink" Target="https://finance.yahoo.com/quote/BABA/options?strike=120&amp;straddle=false" TargetMode="External"/><Relationship Id="rId37" Type="http://schemas.openxmlformats.org/officeDocument/2006/relationships/hyperlink" Target="https://finance.yahoo.com/quote/BABA230317C00135000?p=BABA230317C00135000" TargetMode="External"/><Relationship Id="rId40" Type="http://schemas.openxmlformats.org/officeDocument/2006/relationships/hyperlink" Target="https://finance.yahoo.com/quote/BABA/options?strike=140&amp;straddle=false" TargetMode="External"/><Relationship Id="rId45" Type="http://schemas.openxmlformats.org/officeDocument/2006/relationships/hyperlink" Target="https://finance.yahoo.com/quote/BABA230317C00155000?p=BABA230317C00155000" TargetMode="External"/><Relationship Id="rId53" Type="http://schemas.openxmlformats.org/officeDocument/2006/relationships/hyperlink" Target="https://finance.yahoo.com/quote/BABA230317C00175000?p=BABA230317C00175000" TargetMode="External"/><Relationship Id="rId58" Type="http://schemas.openxmlformats.org/officeDocument/2006/relationships/hyperlink" Target="https://finance.yahoo.com/quote/BABA/options?strike=185&amp;straddle=false" TargetMode="External"/><Relationship Id="rId66" Type="http://schemas.openxmlformats.org/officeDocument/2006/relationships/hyperlink" Target="https://finance.yahoo.com/quote/BABA/options?strike=205&amp;straddle=false" TargetMode="External"/><Relationship Id="rId74" Type="http://schemas.openxmlformats.org/officeDocument/2006/relationships/hyperlink" Target="https://finance.yahoo.com/quote/BABA/options?strike=225&amp;straddle=false" TargetMode="External"/><Relationship Id="rId79" Type="http://schemas.openxmlformats.org/officeDocument/2006/relationships/hyperlink" Target="https://finance.yahoo.com/quote/BABA230317C00250000?p=BABA230317C00250000" TargetMode="External"/><Relationship Id="rId5" Type="http://schemas.openxmlformats.org/officeDocument/2006/relationships/hyperlink" Target="https://finance.yahoo.com/quote/BABA230317C00055000?p=BABA230317C00055000" TargetMode="External"/><Relationship Id="rId61" Type="http://schemas.openxmlformats.org/officeDocument/2006/relationships/hyperlink" Target="https://finance.yahoo.com/quote/BABA230317C00195000?p=BABA230317C00195000" TargetMode="External"/><Relationship Id="rId82" Type="http://schemas.openxmlformats.org/officeDocument/2006/relationships/hyperlink" Target="https://finance.yahoo.com/quote/BABA/options?strike=260&amp;straddle=false" TargetMode="External"/><Relationship Id="rId10" Type="http://schemas.openxmlformats.org/officeDocument/2006/relationships/hyperlink" Target="https://finance.yahoo.com/quote/BABA/options?strike=65&amp;straddle=false" TargetMode="External"/><Relationship Id="rId19" Type="http://schemas.openxmlformats.org/officeDocument/2006/relationships/hyperlink" Target="https://finance.yahoo.com/quote/BABA230317C00090000?p=BABA230317C00090000" TargetMode="External"/><Relationship Id="rId31" Type="http://schemas.openxmlformats.org/officeDocument/2006/relationships/hyperlink" Target="https://finance.yahoo.com/quote/BABA230317C00120000?p=BABA230317C00120000" TargetMode="External"/><Relationship Id="rId44" Type="http://schemas.openxmlformats.org/officeDocument/2006/relationships/hyperlink" Target="https://finance.yahoo.com/quote/BABA/options?strike=150&amp;straddle=false" TargetMode="External"/><Relationship Id="rId52" Type="http://schemas.openxmlformats.org/officeDocument/2006/relationships/hyperlink" Target="https://finance.yahoo.com/quote/BABA/options?strike=170&amp;straddle=false" TargetMode="External"/><Relationship Id="rId60" Type="http://schemas.openxmlformats.org/officeDocument/2006/relationships/hyperlink" Target="https://finance.yahoo.com/quote/BABA/options?strike=190&amp;straddle=false" TargetMode="External"/><Relationship Id="rId65" Type="http://schemas.openxmlformats.org/officeDocument/2006/relationships/hyperlink" Target="https://finance.yahoo.com/quote/BABA230317C00205000?p=BABA230317C00205000" TargetMode="External"/><Relationship Id="rId73" Type="http://schemas.openxmlformats.org/officeDocument/2006/relationships/hyperlink" Target="https://finance.yahoo.com/quote/BABA230317C00225000?p=BABA230317C00225000" TargetMode="External"/><Relationship Id="rId78" Type="http://schemas.openxmlformats.org/officeDocument/2006/relationships/hyperlink" Target="https://finance.yahoo.com/quote/BABA/options?strike=240&amp;straddle=false" TargetMode="External"/><Relationship Id="rId81" Type="http://schemas.openxmlformats.org/officeDocument/2006/relationships/hyperlink" Target="https://finance.yahoo.com/quote/BABA230317C00260000?p=BABA230317C00260000" TargetMode="External"/><Relationship Id="rId4" Type="http://schemas.openxmlformats.org/officeDocument/2006/relationships/hyperlink" Target="https://finance.yahoo.com/quote/BABA/options?strike=50&amp;straddle=false" TargetMode="External"/><Relationship Id="rId9" Type="http://schemas.openxmlformats.org/officeDocument/2006/relationships/hyperlink" Target="https://finance.yahoo.com/quote/BABA230317C00065000?p=BABA230317C00065000" TargetMode="External"/><Relationship Id="rId14" Type="http://schemas.openxmlformats.org/officeDocument/2006/relationships/hyperlink" Target="https://finance.yahoo.com/quote/BABA/options?strike=75&amp;straddle=false" TargetMode="External"/><Relationship Id="rId22" Type="http://schemas.openxmlformats.org/officeDocument/2006/relationships/hyperlink" Target="https://finance.yahoo.com/quote/BABA/options?strike=95&amp;straddle=false" TargetMode="External"/><Relationship Id="rId27" Type="http://schemas.openxmlformats.org/officeDocument/2006/relationships/hyperlink" Target="https://finance.yahoo.com/quote/BABA230317C00110000?p=BABA230317C00110000" TargetMode="External"/><Relationship Id="rId30" Type="http://schemas.openxmlformats.org/officeDocument/2006/relationships/hyperlink" Target="https://finance.yahoo.com/quote/BABA/options?strike=115&amp;straddle=false" TargetMode="External"/><Relationship Id="rId35" Type="http://schemas.openxmlformats.org/officeDocument/2006/relationships/hyperlink" Target="https://finance.yahoo.com/quote/BABA230317C00130000?p=BABA230317C00130000" TargetMode="External"/><Relationship Id="rId43" Type="http://schemas.openxmlformats.org/officeDocument/2006/relationships/hyperlink" Target="https://finance.yahoo.com/quote/BABA230317C00150000?p=BABA230317C00150000" TargetMode="External"/><Relationship Id="rId48" Type="http://schemas.openxmlformats.org/officeDocument/2006/relationships/hyperlink" Target="https://finance.yahoo.com/quote/BABA/options?strike=160&amp;straddle=false" TargetMode="External"/><Relationship Id="rId56" Type="http://schemas.openxmlformats.org/officeDocument/2006/relationships/hyperlink" Target="https://finance.yahoo.com/quote/BABA/options?strike=180&amp;straddle=false" TargetMode="External"/><Relationship Id="rId64" Type="http://schemas.openxmlformats.org/officeDocument/2006/relationships/hyperlink" Target="https://finance.yahoo.com/quote/BABA/options?strike=200&amp;straddle=false" TargetMode="External"/><Relationship Id="rId69" Type="http://schemas.openxmlformats.org/officeDocument/2006/relationships/hyperlink" Target="https://finance.yahoo.com/quote/BABA230317C00215000?p=BABA230317C00215000" TargetMode="External"/><Relationship Id="rId77" Type="http://schemas.openxmlformats.org/officeDocument/2006/relationships/hyperlink" Target="https://finance.yahoo.com/quote/BABA230317C00240000?p=BABA230317C00240000" TargetMode="External"/><Relationship Id="rId8" Type="http://schemas.openxmlformats.org/officeDocument/2006/relationships/hyperlink" Target="https://finance.yahoo.com/quote/BABA/options?strike=60&amp;straddle=false" TargetMode="External"/><Relationship Id="rId51" Type="http://schemas.openxmlformats.org/officeDocument/2006/relationships/hyperlink" Target="https://finance.yahoo.com/quote/BABA230317C00170000?p=BABA230317C00170000" TargetMode="External"/><Relationship Id="rId72" Type="http://schemas.openxmlformats.org/officeDocument/2006/relationships/hyperlink" Target="https://finance.yahoo.com/quote/BABA/options?strike=220&amp;straddle=false" TargetMode="External"/><Relationship Id="rId80" Type="http://schemas.openxmlformats.org/officeDocument/2006/relationships/hyperlink" Target="https://finance.yahoo.com/quote/BABA/options?strike=250&amp;straddle=false" TargetMode="External"/><Relationship Id="rId3" Type="http://schemas.openxmlformats.org/officeDocument/2006/relationships/hyperlink" Target="https://finance.yahoo.com/quote/BABA230317C00050000?p=BABA230317C00050000" TargetMode="External"/><Relationship Id="rId12" Type="http://schemas.openxmlformats.org/officeDocument/2006/relationships/hyperlink" Target="https://finance.yahoo.com/quote/BABA/options?strike=70&amp;straddle=false" TargetMode="External"/><Relationship Id="rId17" Type="http://schemas.openxmlformats.org/officeDocument/2006/relationships/hyperlink" Target="https://finance.yahoo.com/quote/BABA230317C00085000?p=BABA230317C00085000" TargetMode="External"/><Relationship Id="rId25" Type="http://schemas.openxmlformats.org/officeDocument/2006/relationships/hyperlink" Target="https://finance.yahoo.com/quote/BABA230317C00105000?p=BABA230317C00105000" TargetMode="External"/><Relationship Id="rId33" Type="http://schemas.openxmlformats.org/officeDocument/2006/relationships/hyperlink" Target="https://finance.yahoo.com/quote/BABA230317C00125000?p=BABA230317C00125000" TargetMode="External"/><Relationship Id="rId38" Type="http://schemas.openxmlformats.org/officeDocument/2006/relationships/hyperlink" Target="https://finance.yahoo.com/quote/BABA/options?strike=135&amp;straddle=false" TargetMode="External"/><Relationship Id="rId46" Type="http://schemas.openxmlformats.org/officeDocument/2006/relationships/hyperlink" Target="https://finance.yahoo.com/quote/BABA/options?strike=155&amp;straddle=false" TargetMode="External"/><Relationship Id="rId59" Type="http://schemas.openxmlformats.org/officeDocument/2006/relationships/hyperlink" Target="https://finance.yahoo.com/quote/BABA230317C00190000?p=BABA230317C00190000" TargetMode="External"/><Relationship Id="rId67" Type="http://schemas.openxmlformats.org/officeDocument/2006/relationships/hyperlink" Target="https://finance.yahoo.com/quote/BABA230317C00210000?p=BABA230317C00210000" TargetMode="External"/><Relationship Id="rId20" Type="http://schemas.openxmlformats.org/officeDocument/2006/relationships/hyperlink" Target="https://finance.yahoo.com/quote/BABA/options?strike=90&amp;straddle=false" TargetMode="External"/><Relationship Id="rId41" Type="http://schemas.openxmlformats.org/officeDocument/2006/relationships/hyperlink" Target="https://finance.yahoo.com/quote/BABA230317C00145000?p=BABA230317C00145000" TargetMode="External"/><Relationship Id="rId54" Type="http://schemas.openxmlformats.org/officeDocument/2006/relationships/hyperlink" Target="https://finance.yahoo.com/quote/BABA/options?strike=175&amp;straddle=false" TargetMode="External"/><Relationship Id="rId62" Type="http://schemas.openxmlformats.org/officeDocument/2006/relationships/hyperlink" Target="https://finance.yahoo.com/quote/BABA/options?strike=195&amp;straddle=false" TargetMode="External"/><Relationship Id="rId70" Type="http://schemas.openxmlformats.org/officeDocument/2006/relationships/hyperlink" Target="https://finance.yahoo.com/quote/BABA/options?strike=215&amp;straddle=false" TargetMode="External"/><Relationship Id="rId75" Type="http://schemas.openxmlformats.org/officeDocument/2006/relationships/hyperlink" Target="https://finance.yahoo.com/quote/BABA230317C00230000?p=BABA230317C00230000" TargetMode="External"/><Relationship Id="rId83" Type="http://schemas.openxmlformats.org/officeDocument/2006/relationships/drawing" Target="../drawings/drawing6.xml"/><Relationship Id="rId1" Type="http://schemas.openxmlformats.org/officeDocument/2006/relationships/hyperlink" Target="https://finance.yahoo.com/quote/BABA230317C00040000?p=BABA230317C00040000" TargetMode="External"/><Relationship Id="rId6" Type="http://schemas.openxmlformats.org/officeDocument/2006/relationships/hyperlink" Target="https://finance.yahoo.com/quote/BABA/options?strike=55&amp;straddle=false" TargetMode="External"/><Relationship Id="rId15" Type="http://schemas.openxmlformats.org/officeDocument/2006/relationships/hyperlink" Target="https://finance.yahoo.com/quote/BABA230317C00080000?p=BABA230317C00080000" TargetMode="External"/><Relationship Id="rId23" Type="http://schemas.openxmlformats.org/officeDocument/2006/relationships/hyperlink" Target="https://finance.yahoo.com/quote/BABA230317C00100000?p=BABA230317C00100000" TargetMode="External"/><Relationship Id="rId28" Type="http://schemas.openxmlformats.org/officeDocument/2006/relationships/hyperlink" Target="https://finance.yahoo.com/quote/BABA/options?strike=110&amp;straddle=false" TargetMode="External"/><Relationship Id="rId36" Type="http://schemas.openxmlformats.org/officeDocument/2006/relationships/hyperlink" Target="https://finance.yahoo.com/quote/BABA/options?strike=130&amp;straddle=false" TargetMode="External"/><Relationship Id="rId49" Type="http://schemas.openxmlformats.org/officeDocument/2006/relationships/hyperlink" Target="https://finance.yahoo.com/quote/BABA230317C00165000?p=BABA230317C00165000" TargetMode="External"/><Relationship Id="rId57" Type="http://schemas.openxmlformats.org/officeDocument/2006/relationships/hyperlink" Target="https://finance.yahoo.com/quote/BABA230317C00185000?p=BABA230317C00185000" TargetMode="Externa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https://finance.yahoo.com/quote/BABA/options?strike=100&amp;straddle=false" TargetMode="External"/><Relationship Id="rId21" Type="http://schemas.openxmlformats.org/officeDocument/2006/relationships/hyperlink" Target="https://finance.yahoo.com/quote/BABA240119C00090000?p=BABA240119C00090000" TargetMode="External"/><Relationship Id="rId42" Type="http://schemas.openxmlformats.org/officeDocument/2006/relationships/hyperlink" Target="https://finance.yahoo.com/quote/BABA/options?strike=140&amp;straddle=false" TargetMode="External"/><Relationship Id="rId47" Type="http://schemas.openxmlformats.org/officeDocument/2006/relationships/hyperlink" Target="https://finance.yahoo.com/quote/BABA240119C00155000?p=BABA240119C00155000" TargetMode="External"/><Relationship Id="rId63" Type="http://schemas.openxmlformats.org/officeDocument/2006/relationships/hyperlink" Target="https://finance.yahoo.com/quote/BABA240119C00195000?p=BABA240119C00195000" TargetMode="External"/><Relationship Id="rId68" Type="http://schemas.openxmlformats.org/officeDocument/2006/relationships/hyperlink" Target="https://finance.yahoo.com/quote/BABA/options?strike=210&amp;straddle=false" TargetMode="External"/><Relationship Id="rId84" Type="http://schemas.openxmlformats.org/officeDocument/2006/relationships/hyperlink" Target="https://finance.yahoo.com/quote/BABA/options?strike=260&amp;straddle=false" TargetMode="External"/><Relationship Id="rId89" Type="http://schemas.openxmlformats.org/officeDocument/2006/relationships/hyperlink" Target="https://finance.yahoo.com/quote/BABA240119C00275000?p=BABA240119C00275000" TargetMode="External"/><Relationship Id="rId7" Type="http://schemas.openxmlformats.org/officeDocument/2006/relationships/hyperlink" Target="https://finance.yahoo.com/quote/BABA240119C00055000?p=BABA240119C00055000" TargetMode="External"/><Relationship Id="rId71" Type="http://schemas.openxmlformats.org/officeDocument/2006/relationships/hyperlink" Target="https://finance.yahoo.com/quote/BABA240119C00230000?p=BABA240119C00230000" TargetMode="External"/><Relationship Id="rId92" Type="http://schemas.openxmlformats.org/officeDocument/2006/relationships/hyperlink" Target="https://finance.yahoo.com/quote/BABA/options?strike=280&amp;straddle=false" TargetMode="External"/><Relationship Id="rId2" Type="http://schemas.openxmlformats.org/officeDocument/2006/relationships/hyperlink" Target="https://finance.yahoo.com/quote/BABA/options?strike=40&amp;straddle=false" TargetMode="External"/><Relationship Id="rId16" Type="http://schemas.openxmlformats.org/officeDocument/2006/relationships/hyperlink" Target="https://finance.yahoo.com/quote/BABA/options?strike=75&amp;straddle=false" TargetMode="External"/><Relationship Id="rId29" Type="http://schemas.openxmlformats.org/officeDocument/2006/relationships/hyperlink" Target="https://finance.yahoo.com/quote/BABA240119C00110000?p=BABA240119C00110000" TargetMode="External"/><Relationship Id="rId11" Type="http://schemas.openxmlformats.org/officeDocument/2006/relationships/hyperlink" Target="https://finance.yahoo.com/quote/BABA240119C00065000?p=BABA240119C00065000" TargetMode="External"/><Relationship Id="rId24" Type="http://schemas.openxmlformats.org/officeDocument/2006/relationships/hyperlink" Target="https://finance.yahoo.com/quote/BABA/options?strike=95&amp;straddle=false" TargetMode="External"/><Relationship Id="rId32" Type="http://schemas.openxmlformats.org/officeDocument/2006/relationships/hyperlink" Target="https://finance.yahoo.com/quote/BABA/options?strike=115&amp;straddle=false" TargetMode="External"/><Relationship Id="rId37" Type="http://schemas.openxmlformats.org/officeDocument/2006/relationships/hyperlink" Target="https://finance.yahoo.com/quote/BABA240119C00130000?p=BABA240119C00130000" TargetMode="External"/><Relationship Id="rId40" Type="http://schemas.openxmlformats.org/officeDocument/2006/relationships/hyperlink" Target="https://finance.yahoo.com/quote/BABA/options?strike=135&amp;straddle=false" TargetMode="External"/><Relationship Id="rId45" Type="http://schemas.openxmlformats.org/officeDocument/2006/relationships/hyperlink" Target="https://finance.yahoo.com/quote/BABA240119C00150000?p=BABA240119C00150000" TargetMode="External"/><Relationship Id="rId53" Type="http://schemas.openxmlformats.org/officeDocument/2006/relationships/hyperlink" Target="https://finance.yahoo.com/quote/BABA240119C00170000?p=BABA240119C00170000" TargetMode="External"/><Relationship Id="rId58" Type="http://schemas.openxmlformats.org/officeDocument/2006/relationships/hyperlink" Target="https://finance.yahoo.com/quote/BABA/options?strike=180&amp;straddle=false" TargetMode="External"/><Relationship Id="rId66" Type="http://schemas.openxmlformats.org/officeDocument/2006/relationships/hyperlink" Target="https://finance.yahoo.com/quote/BABA/options?strike=200&amp;straddle=false" TargetMode="External"/><Relationship Id="rId74" Type="http://schemas.openxmlformats.org/officeDocument/2006/relationships/hyperlink" Target="https://finance.yahoo.com/quote/BABA/options?strike=235&amp;straddle=false" TargetMode="External"/><Relationship Id="rId79" Type="http://schemas.openxmlformats.org/officeDocument/2006/relationships/hyperlink" Target="https://finance.yahoo.com/quote/BABA240119C00250000?p=BABA240119C00250000" TargetMode="External"/><Relationship Id="rId87" Type="http://schemas.openxmlformats.org/officeDocument/2006/relationships/hyperlink" Target="https://finance.yahoo.com/quote/BABA240119C00270000?p=BABA240119C00270000" TargetMode="External"/><Relationship Id="rId102" Type="http://schemas.openxmlformats.org/officeDocument/2006/relationships/hyperlink" Target="https://finance.yahoo.com/quote/BABA/options?strike=305&amp;straddle=false" TargetMode="External"/><Relationship Id="rId5" Type="http://schemas.openxmlformats.org/officeDocument/2006/relationships/hyperlink" Target="https://finance.yahoo.com/quote/BABA240119C00050000?p=BABA240119C00050000" TargetMode="External"/><Relationship Id="rId61" Type="http://schemas.openxmlformats.org/officeDocument/2006/relationships/hyperlink" Target="https://finance.yahoo.com/quote/BABA240119C00190000?p=BABA240119C00190000" TargetMode="External"/><Relationship Id="rId82" Type="http://schemas.openxmlformats.org/officeDocument/2006/relationships/hyperlink" Target="https://finance.yahoo.com/quote/BABA/options?strike=255&amp;straddle=false" TargetMode="External"/><Relationship Id="rId90" Type="http://schemas.openxmlformats.org/officeDocument/2006/relationships/hyperlink" Target="https://finance.yahoo.com/quote/BABA/options?strike=275&amp;straddle=false" TargetMode="External"/><Relationship Id="rId95" Type="http://schemas.openxmlformats.org/officeDocument/2006/relationships/hyperlink" Target="https://finance.yahoo.com/quote/BABA240119C00290000?p=BABA240119C00290000" TargetMode="External"/><Relationship Id="rId19" Type="http://schemas.openxmlformats.org/officeDocument/2006/relationships/hyperlink" Target="https://finance.yahoo.com/quote/BABA240119C00085000?p=BABA240119C00085000" TargetMode="External"/><Relationship Id="rId14" Type="http://schemas.openxmlformats.org/officeDocument/2006/relationships/hyperlink" Target="https://finance.yahoo.com/quote/BABA/options?strike=70&amp;straddle=false" TargetMode="External"/><Relationship Id="rId22" Type="http://schemas.openxmlformats.org/officeDocument/2006/relationships/hyperlink" Target="https://finance.yahoo.com/quote/BABA/options?strike=90&amp;straddle=false" TargetMode="External"/><Relationship Id="rId27" Type="http://schemas.openxmlformats.org/officeDocument/2006/relationships/hyperlink" Target="https://finance.yahoo.com/quote/BABA240119C00105000?p=BABA240119C00105000" TargetMode="External"/><Relationship Id="rId30" Type="http://schemas.openxmlformats.org/officeDocument/2006/relationships/hyperlink" Target="https://finance.yahoo.com/quote/BABA/options?strike=110&amp;straddle=false" TargetMode="External"/><Relationship Id="rId35" Type="http://schemas.openxmlformats.org/officeDocument/2006/relationships/hyperlink" Target="https://finance.yahoo.com/quote/BABA240119C00125000?p=BABA240119C00125000" TargetMode="External"/><Relationship Id="rId43" Type="http://schemas.openxmlformats.org/officeDocument/2006/relationships/hyperlink" Target="https://finance.yahoo.com/quote/BABA240119C00145000?p=BABA240119C00145000" TargetMode="External"/><Relationship Id="rId48" Type="http://schemas.openxmlformats.org/officeDocument/2006/relationships/hyperlink" Target="https://finance.yahoo.com/quote/BABA/options?strike=155&amp;straddle=false" TargetMode="External"/><Relationship Id="rId56" Type="http://schemas.openxmlformats.org/officeDocument/2006/relationships/hyperlink" Target="https://finance.yahoo.com/quote/BABA/options?strike=175&amp;straddle=false" TargetMode="External"/><Relationship Id="rId64" Type="http://schemas.openxmlformats.org/officeDocument/2006/relationships/hyperlink" Target="https://finance.yahoo.com/quote/BABA/options?strike=195&amp;straddle=false" TargetMode="External"/><Relationship Id="rId69" Type="http://schemas.openxmlformats.org/officeDocument/2006/relationships/hyperlink" Target="https://finance.yahoo.com/quote/BABA240119C00220000?p=BABA240119C00220000" TargetMode="External"/><Relationship Id="rId77" Type="http://schemas.openxmlformats.org/officeDocument/2006/relationships/hyperlink" Target="https://finance.yahoo.com/quote/BABA240119C00245000?p=BABA240119C00245000" TargetMode="External"/><Relationship Id="rId100" Type="http://schemas.openxmlformats.org/officeDocument/2006/relationships/hyperlink" Target="https://finance.yahoo.com/quote/BABA/options?strike=300&amp;straddle=false" TargetMode="External"/><Relationship Id="rId105" Type="http://schemas.openxmlformats.org/officeDocument/2006/relationships/drawing" Target="../drawings/drawing7.xml"/><Relationship Id="rId8" Type="http://schemas.openxmlformats.org/officeDocument/2006/relationships/hyperlink" Target="https://finance.yahoo.com/quote/BABA/options?strike=55&amp;straddle=false" TargetMode="External"/><Relationship Id="rId51" Type="http://schemas.openxmlformats.org/officeDocument/2006/relationships/hyperlink" Target="https://finance.yahoo.com/quote/BABA240119C00165000?p=BABA240119C00165000" TargetMode="External"/><Relationship Id="rId72" Type="http://schemas.openxmlformats.org/officeDocument/2006/relationships/hyperlink" Target="https://finance.yahoo.com/quote/BABA/options?strike=230&amp;straddle=false" TargetMode="External"/><Relationship Id="rId80" Type="http://schemas.openxmlformats.org/officeDocument/2006/relationships/hyperlink" Target="https://finance.yahoo.com/quote/BABA/options?strike=250&amp;straddle=false" TargetMode="External"/><Relationship Id="rId85" Type="http://schemas.openxmlformats.org/officeDocument/2006/relationships/hyperlink" Target="https://finance.yahoo.com/quote/BABA240119C00265000?p=BABA240119C00265000" TargetMode="External"/><Relationship Id="rId93" Type="http://schemas.openxmlformats.org/officeDocument/2006/relationships/hyperlink" Target="https://finance.yahoo.com/quote/BABA240119C00285000?p=BABA240119C00285000" TargetMode="External"/><Relationship Id="rId98" Type="http://schemas.openxmlformats.org/officeDocument/2006/relationships/hyperlink" Target="https://finance.yahoo.com/quote/BABA/options?strike=295&amp;straddle=false" TargetMode="External"/><Relationship Id="rId3" Type="http://schemas.openxmlformats.org/officeDocument/2006/relationships/hyperlink" Target="https://finance.yahoo.com/quote/BABA240119C00045000?p=BABA240119C00045000" TargetMode="External"/><Relationship Id="rId12" Type="http://schemas.openxmlformats.org/officeDocument/2006/relationships/hyperlink" Target="https://finance.yahoo.com/quote/BABA/options?strike=65&amp;straddle=false" TargetMode="External"/><Relationship Id="rId17" Type="http://schemas.openxmlformats.org/officeDocument/2006/relationships/hyperlink" Target="https://finance.yahoo.com/quote/BABA240119C00080000?p=BABA240119C00080000" TargetMode="External"/><Relationship Id="rId25" Type="http://schemas.openxmlformats.org/officeDocument/2006/relationships/hyperlink" Target="https://finance.yahoo.com/quote/BABA240119C00100000?p=BABA240119C00100000" TargetMode="External"/><Relationship Id="rId33" Type="http://schemas.openxmlformats.org/officeDocument/2006/relationships/hyperlink" Target="https://finance.yahoo.com/quote/BABA240119C00120000?p=BABA240119C00120000" TargetMode="External"/><Relationship Id="rId38" Type="http://schemas.openxmlformats.org/officeDocument/2006/relationships/hyperlink" Target="https://finance.yahoo.com/quote/BABA/options?strike=130&amp;straddle=false" TargetMode="External"/><Relationship Id="rId46" Type="http://schemas.openxmlformats.org/officeDocument/2006/relationships/hyperlink" Target="https://finance.yahoo.com/quote/BABA/options?strike=150&amp;straddle=false" TargetMode="External"/><Relationship Id="rId59" Type="http://schemas.openxmlformats.org/officeDocument/2006/relationships/hyperlink" Target="https://finance.yahoo.com/quote/BABA240119C00185000?p=BABA240119C00185000" TargetMode="External"/><Relationship Id="rId67" Type="http://schemas.openxmlformats.org/officeDocument/2006/relationships/hyperlink" Target="https://finance.yahoo.com/quote/BABA240119C00210000?p=BABA240119C00210000" TargetMode="External"/><Relationship Id="rId103" Type="http://schemas.openxmlformats.org/officeDocument/2006/relationships/hyperlink" Target="https://finance.yahoo.com/quote/BABA240119C00310000?p=BABA240119C00310000" TargetMode="External"/><Relationship Id="rId20" Type="http://schemas.openxmlformats.org/officeDocument/2006/relationships/hyperlink" Target="https://finance.yahoo.com/quote/BABA/options?strike=85&amp;straddle=false" TargetMode="External"/><Relationship Id="rId41" Type="http://schemas.openxmlformats.org/officeDocument/2006/relationships/hyperlink" Target="https://finance.yahoo.com/quote/BABA240119C00140000?p=BABA240119C00140000" TargetMode="External"/><Relationship Id="rId54" Type="http://schemas.openxmlformats.org/officeDocument/2006/relationships/hyperlink" Target="https://finance.yahoo.com/quote/BABA/options?strike=170&amp;straddle=false" TargetMode="External"/><Relationship Id="rId62" Type="http://schemas.openxmlformats.org/officeDocument/2006/relationships/hyperlink" Target="https://finance.yahoo.com/quote/BABA/options?strike=190&amp;straddle=false" TargetMode="External"/><Relationship Id="rId70" Type="http://schemas.openxmlformats.org/officeDocument/2006/relationships/hyperlink" Target="https://finance.yahoo.com/quote/BABA/options?strike=220&amp;straddle=false" TargetMode="External"/><Relationship Id="rId75" Type="http://schemas.openxmlformats.org/officeDocument/2006/relationships/hyperlink" Target="https://finance.yahoo.com/quote/BABA240119C00240000?p=BABA240119C00240000" TargetMode="External"/><Relationship Id="rId83" Type="http://schemas.openxmlformats.org/officeDocument/2006/relationships/hyperlink" Target="https://finance.yahoo.com/quote/BABA240119C00260000?p=BABA240119C00260000" TargetMode="External"/><Relationship Id="rId88" Type="http://schemas.openxmlformats.org/officeDocument/2006/relationships/hyperlink" Target="https://finance.yahoo.com/quote/BABA/options?strike=270&amp;straddle=false" TargetMode="External"/><Relationship Id="rId91" Type="http://schemas.openxmlformats.org/officeDocument/2006/relationships/hyperlink" Target="https://finance.yahoo.com/quote/BABA240119C00280000?p=BABA240119C00280000" TargetMode="External"/><Relationship Id="rId96" Type="http://schemas.openxmlformats.org/officeDocument/2006/relationships/hyperlink" Target="https://finance.yahoo.com/quote/BABA/options?strike=290&amp;straddle=false" TargetMode="External"/><Relationship Id="rId1" Type="http://schemas.openxmlformats.org/officeDocument/2006/relationships/hyperlink" Target="https://finance.yahoo.com/quote/BABA240119C00040000?p=BABA240119C00040000" TargetMode="External"/><Relationship Id="rId6" Type="http://schemas.openxmlformats.org/officeDocument/2006/relationships/hyperlink" Target="https://finance.yahoo.com/quote/BABA/options?strike=50&amp;straddle=false" TargetMode="External"/><Relationship Id="rId15" Type="http://schemas.openxmlformats.org/officeDocument/2006/relationships/hyperlink" Target="https://finance.yahoo.com/quote/BABA240119C00075000?p=BABA240119C00075000" TargetMode="External"/><Relationship Id="rId23" Type="http://schemas.openxmlformats.org/officeDocument/2006/relationships/hyperlink" Target="https://finance.yahoo.com/quote/BABA240119C00095000?p=BABA240119C00095000" TargetMode="External"/><Relationship Id="rId28" Type="http://schemas.openxmlformats.org/officeDocument/2006/relationships/hyperlink" Target="https://finance.yahoo.com/quote/BABA/options?strike=105&amp;straddle=false" TargetMode="External"/><Relationship Id="rId36" Type="http://schemas.openxmlformats.org/officeDocument/2006/relationships/hyperlink" Target="https://finance.yahoo.com/quote/BABA/options?strike=125&amp;straddle=false" TargetMode="External"/><Relationship Id="rId49" Type="http://schemas.openxmlformats.org/officeDocument/2006/relationships/hyperlink" Target="https://finance.yahoo.com/quote/BABA240119C00160000?p=BABA240119C00160000" TargetMode="External"/><Relationship Id="rId57" Type="http://schemas.openxmlformats.org/officeDocument/2006/relationships/hyperlink" Target="https://finance.yahoo.com/quote/BABA240119C00180000?p=BABA240119C00180000" TargetMode="External"/><Relationship Id="rId10" Type="http://schemas.openxmlformats.org/officeDocument/2006/relationships/hyperlink" Target="https://finance.yahoo.com/quote/BABA/options?strike=60&amp;straddle=false" TargetMode="External"/><Relationship Id="rId31" Type="http://schemas.openxmlformats.org/officeDocument/2006/relationships/hyperlink" Target="https://finance.yahoo.com/quote/BABA240119C00115000?p=BABA240119C00115000" TargetMode="External"/><Relationship Id="rId44" Type="http://schemas.openxmlformats.org/officeDocument/2006/relationships/hyperlink" Target="https://finance.yahoo.com/quote/BABA/options?strike=145&amp;straddle=false" TargetMode="External"/><Relationship Id="rId52" Type="http://schemas.openxmlformats.org/officeDocument/2006/relationships/hyperlink" Target="https://finance.yahoo.com/quote/BABA/options?strike=165&amp;straddle=false" TargetMode="External"/><Relationship Id="rId60" Type="http://schemas.openxmlformats.org/officeDocument/2006/relationships/hyperlink" Target="https://finance.yahoo.com/quote/BABA/options?strike=185&amp;straddle=false" TargetMode="External"/><Relationship Id="rId65" Type="http://schemas.openxmlformats.org/officeDocument/2006/relationships/hyperlink" Target="https://finance.yahoo.com/quote/BABA240119C00200000?p=BABA240119C00200000" TargetMode="External"/><Relationship Id="rId73" Type="http://schemas.openxmlformats.org/officeDocument/2006/relationships/hyperlink" Target="https://finance.yahoo.com/quote/BABA240119C00235000?p=BABA240119C00235000" TargetMode="External"/><Relationship Id="rId78" Type="http://schemas.openxmlformats.org/officeDocument/2006/relationships/hyperlink" Target="https://finance.yahoo.com/quote/BABA/options?strike=245&amp;straddle=false" TargetMode="External"/><Relationship Id="rId81" Type="http://schemas.openxmlformats.org/officeDocument/2006/relationships/hyperlink" Target="https://finance.yahoo.com/quote/BABA240119C00255000?p=BABA240119C00255000" TargetMode="External"/><Relationship Id="rId86" Type="http://schemas.openxmlformats.org/officeDocument/2006/relationships/hyperlink" Target="https://finance.yahoo.com/quote/BABA/options?strike=265&amp;straddle=false" TargetMode="External"/><Relationship Id="rId94" Type="http://schemas.openxmlformats.org/officeDocument/2006/relationships/hyperlink" Target="https://finance.yahoo.com/quote/BABA/options?strike=285&amp;straddle=false" TargetMode="External"/><Relationship Id="rId99" Type="http://schemas.openxmlformats.org/officeDocument/2006/relationships/hyperlink" Target="https://finance.yahoo.com/quote/BABA240119C00300000?p=BABA240119C00300000" TargetMode="External"/><Relationship Id="rId101" Type="http://schemas.openxmlformats.org/officeDocument/2006/relationships/hyperlink" Target="https://finance.yahoo.com/quote/BABA240119C00305000?p=BABA240119C00305000" TargetMode="External"/><Relationship Id="rId4" Type="http://schemas.openxmlformats.org/officeDocument/2006/relationships/hyperlink" Target="https://finance.yahoo.com/quote/BABA/options?strike=45&amp;straddle=false" TargetMode="External"/><Relationship Id="rId9" Type="http://schemas.openxmlformats.org/officeDocument/2006/relationships/hyperlink" Target="https://finance.yahoo.com/quote/BABA240119C00060000?p=BABA240119C00060000" TargetMode="External"/><Relationship Id="rId13" Type="http://schemas.openxmlformats.org/officeDocument/2006/relationships/hyperlink" Target="https://finance.yahoo.com/quote/BABA240119C00070000?p=BABA240119C00070000" TargetMode="External"/><Relationship Id="rId18" Type="http://schemas.openxmlformats.org/officeDocument/2006/relationships/hyperlink" Target="https://finance.yahoo.com/quote/BABA/options?strike=80&amp;straddle=false" TargetMode="External"/><Relationship Id="rId39" Type="http://schemas.openxmlformats.org/officeDocument/2006/relationships/hyperlink" Target="https://finance.yahoo.com/quote/BABA240119C00135000?p=BABA240119C00135000" TargetMode="External"/><Relationship Id="rId34" Type="http://schemas.openxmlformats.org/officeDocument/2006/relationships/hyperlink" Target="https://finance.yahoo.com/quote/BABA/options?strike=120&amp;straddle=false" TargetMode="External"/><Relationship Id="rId50" Type="http://schemas.openxmlformats.org/officeDocument/2006/relationships/hyperlink" Target="https://finance.yahoo.com/quote/BABA/options?strike=160&amp;straddle=false" TargetMode="External"/><Relationship Id="rId55" Type="http://schemas.openxmlformats.org/officeDocument/2006/relationships/hyperlink" Target="https://finance.yahoo.com/quote/BABA240119C00175000?p=BABA240119C00175000" TargetMode="External"/><Relationship Id="rId76" Type="http://schemas.openxmlformats.org/officeDocument/2006/relationships/hyperlink" Target="https://finance.yahoo.com/quote/BABA/options?strike=240&amp;straddle=false" TargetMode="External"/><Relationship Id="rId97" Type="http://schemas.openxmlformats.org/officeDocument/2006/relationships/hyperlink" Target="https://finance.yahoo.com/quote/BABA240119C00295000?p=BABA240119C00295000" TargetMode="External"/><Relationship Id="rId104" Type="http://schemas.openxmlformats.org/officeDocument/2006/relationships/hyperlink" Target="https://finance.yahoo.com/quote/BABA/options?strike=310&amp;straddle=false" TargetMode="Externa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hyperlink" Target="https://finance.yahoo.com/quote/BABA/options?strike=117&amp;straddle=false" TargetMode="External"/><Relationship Id="rId117" Type="http://schemas.openxmlformats.org/officeDocument/2006/relationships/hyperlink" Target="https://finance.yahoo.com/quote/BABA/options?strike=150&amp;straddle=false" TargetMode="External"/><Relationship Id="rId21" Type="http://schemas.openxmlformats.org/officeDocument/2006/relationships/hyperlink" Target="https://finance.yahoo.com/quote/BABA/options?strike=112&amp;straddle=false" TargetMode="External"/><Relationship Id="rId42" Type="http://schemas.openxmlformats.org/officeDocument/2006/relationships/hyperlink" Target="https://finance.yahoo.com/quote/BABA/options?strike=150&amp;straddle=false" TargetMode="External"/><Relationship Id="rId47" Type="http://schemas.openxmlformats.org/officeDocument/2006/relationships/hyperlink" Target="https://finance.yahoo.com/quote/BABA/options?strike=175&amp;straddle=false" TargetMode="External"/><Relationship Id="rId63" Type="http://schemas.openxmlformats.org/officeDocument/2006/relationships/hyperlink" Target="https://finance.yahoo.com/quote/BABA/options?strike=235&amp;straddle=false" TargetMode="External"/><Relationship Id="rId68" Type="http://schemas.openxmlformats.org/officeDocument/2006/relationships/hyperlink" Target="https://finance.yahoo.com/quote/BABA/options?strike=260&amp;straddle=false" TargetMode="External"/><Relationship Id="rId84" Type="http://schemas.openxmlformats.org/officeDocument/2006/relationships/hyperlink" Target="https://finance.yahoo.com/quote/BABA/options?strike=320&amp;straddle=false" TargetMode="External"/><Relationship Id="rId89" Type="http://schemas.openxmlformats.org/officeDocument/2006/relationships/hyperlink" Target="https://finance.yahoo.com/quote/BABA/options?strike=370&amp;straddle=false" TargetMode="External"/><Relationship Id="rId112" Type="http://schemas.openxmlformats.org/officeDocument/2006/relationships/hyperlink" Target="https://finance.yahoo.com/quote/BABA/options?strike=125&amp;straddle=false" TargetMode="External"/><Relationship Id="rId133" Type="http://schemas.openxmlformats.org/officeDocument/2006/relationships/hyperlink" Target="https://finance.yahoo.com/quote/BABA/options?strike=210&amp;straddle=false" TargetMode="External"/><Relationship Id="rId138" Type="http://schemas.openxmlformats.org/officeDocument/2006/relationships/hyperlink" Target="https://finance.yahoo.com/quote/BABA/options?strike=235&amp;straddle=false" TargetMode="External"/><Relationship Id="rId154" Type="http://schemas.openxmlformats.org/officeDocument/2006/relationships/hyperlink" Target="https://finance.yahoo.com/quote/BABA/options?strike=110&amp;straddle=false" TargetMode="External"/><Relationship Id="rId159" Type="http://schemas.openxmlformats.org/officeDocument/2006/relationships/hyperlink" Target="https://finance.yahoo.com/quote/BABA/options?strike=135&amp;straddle=false" TargetMode="External"/><Relationship Id="rId170" Type="http://schemas.openxmlformats.org/officeDocument/2006/relationships/drawing" Target="../drawings/drawing8.xml"/><Relationship Id="rId16" Type="http://schemas.openxmlformats.org/officeDocument/2006/relationships/hyperlink" Target="https://finance.yahoo.com/quote/BABA/options?strike=107&amp;straddle=false" TargetMode="External"/><Relationship Id="rId107" Type="http://schemas.openxmlformats.org/officeDocument/2006/relationships/hyperlink" Target="https://finance.yahoo.com/quote/BABA/options?strike=100&amp;straddle=false" TargetMode="External"/><Relationship Id="rId11" Type="http://schemas.openxmlformats.org/officeDocument/2006/relationships/hyperlink" Target="https://finance.yahoo.com/quote/BABA/options?strike=101&amp;straddle=false" TargetMode="External"/><Relationship Id="rId32" Type="http://schemas.openxmlformats.org/officeDocument/2006/relationships/hyperlink" Target="https://finance.yahoo.com/quote/BABA/options?strike=123&amp;straddle=false" TargetMode="External"/><Relationship Id="rId37" Type="http://schemas.openxmlformats.org/officeDocument/2006/relationships/hyperlink" Target="https://finance.yahoo.com/quote/BABA/options?strike=128&amp;straddle=false" TargetMode="External"/><Relationship Id="rId53" Type="http://schemas.openxmlformats.org/officeDocument/2006/relationships/hyperlink" Target="https://finance.yahoo.com/quote/BABA/options?strike=65&amp;straddle=false" TargetMode="External"/><Relationship Id="rId58" Type="http://schemas.openxmlformats.org/officeDocument/2006/relationships/hyperlink" Target="https://finance.yahoo.com/quote/BABA/options?strike=210&amp;straddle=false" TargetMode="External"/><Relationship Id="rId74" Type="http://schemas.openxmlformats.org/officeDocument/2006/relationships/hyperlink" Target="https://finance.yahoo.com/quote/BABA/options?strike=20&amp;straddle=false" TargetMode="External"/><Relationship Id="rId79" Type="http://schemas.openxmlformats.org/officeDocument/2006/relationships/hyperlink" Target="https://finance.yahoo.com/quote/BABA/options?strike=295&amp;straddle=false" TargetMode="External"/><Relationship Id="rId102" Type="http://schemas.openxmlformats.org/officeDocument/2006/relationships/hyperlink" Target="https://finance.yahoo.com/quote/BABA/options?strike=75&amp;straddle=false" TargetMode="External"/><Relationship Id="rId123" Type="http://schemas.openxmlformats.org/officeDocument/2006/relationships/hyperlink" Target="https://finance.yahoo.com/quote/BABA/options?strike=180&amp;straddle=false" TargetMode="External"/><Relationship Id="rId128" Type="http://schemas.openxmlformats.org/officeDocument/2006/relationships/hyperlink" Target="https://finance.yahoo.com/quote/BABA/options?strike=65&amp;straddle=false" TargetMode="External"/><Relationship Id="rId144" Type="http://schemas.openxmlformats.org/officeDocument/2006/relationships/hyperlink" Target="https://finance.yahoo.com/quote/BABA/options?strike=265&amp;straddle=false" TargetMode="External"/><Relationship Id="rId149" Type="http://schemas.openxmlformats.org/officeDocument/2006/relationships/hyperlink" Target="https://finance.yahoo.com/quote/BABA/options?strike=85&amp;straddle=false" TargetMode="External"/><Relationship Id="rId5" Type="http://schemas.openxmlformats.org/officeDocument/2006/relationships/hyperlink" Target="https://finance.yahoo.com/quote/BABA/options?strike=80&amp;straddle=false" TargetMode="External"/><Relationship Id="rId90" Type="http://schemas.openxmlformats.org/officeDocument/2006/relationships/hyperlink" Target="https://finance.yahoo.com/quote/BABA/options?strike=380&amp;straddle=false" TargetMode="External"/><Relationship Id="rId95" Type="http://schemas.openxmlformats.org/officeDocument/2006/relationships/hyperlink" Target="https://finance.yahoo.com/quote/BABA/options?strike=430&amp;straddle=false" TargetMode="External"/><Relationship Id="rId160" Type="http://schemas.openxmlformats.org/officeDocument/2006/relationships/hyperlink" Target="https://finance.yahoo.com/quote/BABA/options?strike=140&amp;straddle=false" TargetMode="External"/><Relationship Id="rId165" Type="http://schemas.openxmlformats.org/officeDocument/2006/relationships/hyperlink" Target="https://finance.yahoo.com/quote/BABA/options?strike=165&amp;straddle=false" TargetMode="External"/><Relationship Id="rId22" Type="http://schemas.openxmlformats.org/officeDocument/2006/relationships/hyperlink" Target="https://finance.yahoo.com/quote/BABA/options?strike=113&amp;straddle=false" TargetMode="External"/><Relationship Id="rId27" Type="http://schemas.openxmlformats.org/officeDocument/2006/relationships/hyperlink" Target="https://finance.yahoo.com/quote/BABA/options?strike=118&amp;straddle=false" TargetMode="External"/><Relationship Id="rId43" Type="http://schemas.openxmlformats.org/officeDocument/2006/relationships/hyperlink" Target="https://finance.yahoo.com/quote/BABA/options?strike=155&amp;straddle=false" TargetMode="External"/><Relationship Id="rId48" Type="http://schemas.openxmlformats.org/officeDocument/2006/relationships/hyperlink" Target="https://finance.yahoo.com/quote/BABA/options?strike=180&amp;straddle=false" TargetMode="External"/><Relationship Id="rId64" Type="http://schemas.openxmlformats.org/officeDocument/2006/relationships/hyperlink" Target="https://finance.yahoo.com/quote/BABA/options?strike=240&amp;straddle=false" TargetMode="External"/><Relationship Id="rId69" Type="http://schemas.openxmlformats.org/officeDocument/2006/relationships/hyperlink" Target="https://finance.yahoo.com/quote/BABA/options?strike=265&amp;straddle=false" TargetMode="External"/><Relationship Id="rId113" Type="http://schemas.openxmlformats.org/officeDocument/2006/relationships/hyperlink" Target="https://finance.yahoo.com/quote/BABA/options?strike=130&amp;straddle=false" TargetMode="External"/><Relationship Id="rId118" Type="http://schemas.openxmlformats.org/officeDocument/2006/relationships/hyperlink" Target="https://finance.yahoo.com/quote/BABA/options?strike=155&amp;straddle=false" TargetMode="External"/><Relationship Id="rId134" Type="http://schemas.openxmlformats.org/officeDocument/2006/relationships/hyperlink" Target="https://finance.yahoo.com/quote/BABA/options?strike=215&amp;straddle=false" TargetMode="External"/><Relationship Id="rId139" Type="http://schemas.openxmlformats.org/officeDocument/2006/relationships/hyperlink" Target="https://finance.yahoo.com/quote/BABA/options?strike=240&amp;straddle=false" TargetMode="External"/><Relationship Id="rId80" Type="http://schemas.openxmlformats.org/officeDocument/2006/relationships/hyperlink" Target="https://finance.yahoo.com/quote/BABA/options?strike=300&amp;straddle=false" TargetMode="External"/><Relationship Id="rId85" Type="http://schemas.openxmlformats.org/officeDocument/2006/relationships/hyperlink" Target="https://finance.yahoo.com/quote/BABA/options?strike=330&amp;straddle=false" TargetMode="External"/><Relationship Id="rId150" Type="http://schemas.openxmlformats.org/officeDocument/2006/relationships/hyperlink" Target="https://finance.yahoo.com/quote/BABA/options?strike=90&amp;straddle=false" TargetMode="External"/><Relationship Id="rId155" Type="http://schemas.openxmlformats.org/officeDocument/2006/relationships/hyperlink" Target="https://finance.yahoo.com/quote/BABA/options?strike=115&amp;straddle=false" TargetMode="External"/><Relationship Id="rId12" Type="http://schemas.openxmlformats.org/officeDocument/2006/relationships/hyperlink" Target="https://finance.yahoo.com/quote/BABA/options?strike=102&amp;straddle=false" TargetMode="External"/><Relationship Id="rId17" Type="http://schemas.openxmlformats.org/officeDocument/2006/relationships/hyperlink" Target="https://finance.yahoo.com/quote/BABA/options?strike=108&amp;straddle=false" TargetMode="External"/><Relationship Id="rId33" Type="http://schemas.openxmlformats.org/officeDocument/2006/relationships/hyperlink" Target="https://finance.yahoo.com/quote/BABA/options?strike=124&amp;straddle=false" TargetMode="External"/><Relationship Id="rId38" Type="http://schemas.openxmlformats.org/officeDocument/2006/relationships/hyperlink" Target="https://finance.yahoo.com/quote/BABA/options?strike=130&amp;straddle=false" TargetMode="External"/><Relationship Id="rId59" Type="http://schemas.openxmlformats.org/officeDocument/2006/relationships/hyperlink" Target="https://finance.yahoo.com/quote/BABA/options?strike=215&amp;straddle=false" TargetMode="External"/><Relationship Id="rId103" Type="http://schemas.openxmlformats.org/officeDocument/2006/relationships/hyperlink" Target="https://finance.yahoo.com/quote/BABA/options?strike=80&amp;straddle=false" TargetMode="External"/><Relationship Id="rId108" Type="http://schemas.openxmlformats.org/officeDocument/2006/relationships/hyperlink" Target="https://finance.yahoo.com/quote/BABA/options?strike=105&amp;straddle=false" TargetMode="External"/><Relationship Id="rId124" Type="http://schemas.openxmlformats.org/officeDocument/2006/relationships/hyperlink" Target="https://finance.yahoo.com/quote/BABA/options?strike=185&amp;straddle=false" TargetMode="External"/><Relationship Id="rId129" Type="http://schemas.openxmlformats.org/officeDocument/2006/relationships/hyperlink" Target="https://finance.yahoo.com/quote/BABA/options?strike=190&amp;straddle=false" TargetMode="External"/><Relationship Id="rId54" Type="http://schemas.openxmlformats.org/officeDocument/2006/relationships/hyperlink" Target="https://finance.yahoo.com/quote/BABA/options?strike=190&amp;straddle=false" TargetMode="External"/><Relationship Id="rId70" Type="http://schemas.openxmlformats.org/officeDocument/2006/relationships/hyperlink" Target="https://finance.yahoo.com/quote/BABA/options?strike=270&amp;straddle=false" TargetMode="External"/><Relationship Id="rId75" Type="http://schemas.openxmlformats.org/officeDocument/2006/relationships/hyperlink" Target="https://finance.yahoo.com/quote/BABA/options?strike=275&amp;straddle=false" TargetMode="External"/><Relationship Id="rId91" Type="http://schemas.openxmlformats.org/officeDocument/2006/relationships/hyperlink" Target="https://finance.yahoo.com/quote/BABA/options?strike=390&amp;straddle=false" TargetMode="External"/><Relationship Id="rId96" Type="http://schemas.openxmlformats.org/officeDocument/2006/relationships/hyperlink" Target="https://finance.yahoo.com/quote/BABA/options?strike=440&amp;straddle=false" TargetMode="External"/><Relationship Id="rId140" Type="http://schemas.openxmlformats.org/officeDocument/2006/relationships/hyperlink" Target="https://finance.yahoo.com/quote/BABA/options?strike=245&amp;straddle=false" TargetMode="External"/><Relationship Id="rId145" Type="http://schemas.openxmlformats.org/officeDocument/2006/relationships/hyperlink" Target="https://finance.yahoo.com/quote/BABA/options?strike=270&amp;straddle=false" TargetMode="External"/><Relationship Id="rId161" Type="http://schemas.openxmlformats.org/officeDocument/2006/relationships/hyperlink" Target="https://finance.yahoo.com/quote/BABA/options?strike=145&amp;straddle=false" TargetMode="External"/><Relationship Id="rId166" Type="http://schemas.openxmlformats.org/officeDocument/2006/relationships/hyperlink" Target="https://finance.yahoo.com/quote/BABA/options?strike=170&amp;straddle=false" TargetMode="External"/><Relationship Id="rId1" Type="http://schemas.openxmlformats.org/officeDocument/2006/relationships/hyperlink" Target="https://finance.yahoo.com/quote/BABA/options?strike=45&amp;straddle=false" TargetMode="External"/><Relationship Id="rId6" Type="http://schemas.openxmlformats.org/officeDocument/2006/relationships/hyperlink" Target="https://finance.yahoo.com/quote/BABA/options?strike=85&amp;straddle=false" TargetMode="External"/><Relationship Id="rId15" Type="http://schemas.openxmlformats.org/officeDocument/2006/relationships/hyperlink" Target="https://finance.yahoo.com/quote/BABA/options?strike=105&amp;straddle=false" TargetMode="External"/><Relationship Id="rId23" Type="http://schemas.openxmlformats.org/officeDocument/2006/relationships/hyperlink" Target="https://finance.yahoo.com/quote/BABA/options?strike=114&amp;straddle=false" TargetMode="External"/><Relationship Id="rId28" Type="http://schemas.openxmlformats.org/officeDocument/2006/relationships/hyperlink" Target="https://finance.yahoo.com/quote/BABA/options?strike=119&amp;straddle=false" TargetMode="External"/><Relationship Id="rId36" Type="http://schemas.openxmlformats.org/officeDocument/2006/relationships/hyperlink" Target="https://finance.yahoo.com/quote/BABA/options?strike=127&amp;straddle=false" TargetMode="External"/><Relationship Id="rId49" Type="http://schemas.openxmlformats.org/officeDocument/2006/relationships/hyperlink" Target="https://finance.yahoo.com/quote/BABA/options?strike=185&amp;straddle=false" TargetMode="External"/><Relationship Id="rId57" Type="http://schemas.openxmlformats.org/officeDocument/2006/relationships/hyperlink" Target="https://finance.yahoo.com/quote/BABA/options?strike=205&amp;straddle=false" TargetMode="External"/><Relationship Id="rId106" Type="http://schemas.openxmlformats.org/officeDocument/2006/relationships/hyperlink" Target="https://finance.yahoo.com/quote/BABA/options?strike=95&amp;straddle=false" TargetMode="External"/><Relationship Id="rId114" Type="http://schemas.openxmlformats.org/officeDocument/2006/relationships/hyperlink" Target="https://finance.yahoo.com/quote/BABA/options?strike=135&amp;straddle=false" TargetMode="External"/><Relationship Id="rId119" Type="http://schemas.openxmlformats.org/officeDocument/2006/relationships/hyperlink" Target="https://finance.yahoo.com/quote/BABA/options?strike=160&amp;straddle=false" TargetMode="External"/><Relationship Id="rId127" Type="http://schemas.openxmlformats.org/officeDocument/2006/relationships/hyperlink" Target="https://finance.yahoo.com/quote/BABA/options?strike=60&amp;straddle=false" TargetMode="External"/><Relationship Id="rId10" Type="http://schemas.openxmlformats.org/officeDocument/2006/relationships/hyperlink" Target="https://finance.yahoo.com/quote/BABA/options?strike=100&amp;straddle=false" TargetMode="External"/><Relationship Id="rId31" Type="http://schemas.openxmlformats.org/officeDocument/2006/relationships/hyperlink" Target="https://finance.yahoo.com/quote/BABA/options?strike=122&amp;straddle=false" TargetMode="External"/><Relationship Id="rId44" Type="http://schemas.openxmlformats.org/officeDocument/2006/relationships/hyperlink" Target="https://finance.yahoo.com/quote/BABA/options?strike=160&amp;straddle=false" TargetMode="External"/><Relationship Id="rId52" Type="http://schemas.openxmlformats.org/officeDocument/2006/relationships/hyperlink" Target="https://finance.yahoo.com/quote/BABA/options?strike=60&amp;straddle=false" TargetMode="External"/><Relationship Id="rId60" Type="http://schemas.openxmlformats.org/officeDocument/2006/relationships/hyperlink" Target="https://finance.yahoo.com/quote/BABA/options?strike=220&amp;straddle=false" TargetMode="External"/><Relationship Id="rId65" Type="http://schemas.openxmlformats.org/officeDocument/2006/relationships/hyperlink" Target="https://finance.yahoo.com/quote/BABA/options?strike=245&amp;straddle=false" TargetMode="External"/><Relationship Id="rId73" Type="http://schemas.openxmlformats.org/officeDocument/2006/relationships/hyperlink" Target="https://finance.yahoo.com/quote/BABA/options?strike=35&amp;straddle=false" TargetMode="External"/><Relationship Id="rId78" Type="http://schemas.openxmlformats.org/officeDocument/2006/relationships/hyperlink" Target="https://finance.yahoo.com/quote/BABA/options?strike=290&amp;straddle=false" TargetMode="External"/><Relationship Id="rId81" Type="http://schemas.openxmlformats.org/officeDocument/2006/relationships/hyperlink" Target="https://finance.yahoo.com/quote/BABA/options?strike=305&amp;straddle=false" TargetMode="External"/><Relationship Id="rId86" Type="http://schemas.openxmlformats.org/officeDocument/2006/relationships/hyperlink" Target="https://finance.yahoo.com/quote/BABA/options?strike=340&amp;straddle=false" TargetMode="External"/><Relationship Id="rId94" Type="http://schemas.openxmlformats.org/officeDocument/2006/relationships/hyperlink" Target="https://finance.yahoo.com/quote/BABA/options?strike=420&amp;straddle=false" TargetMode="External"/><Relationship Id="rId99" Type="http://schemas.openxmlformats.org/officeDocument/2006/relationships/hyperlink" Target="https://finance.yahoo.com/quote/BABA/options?strike=45&amp;straddle=false" TargetMode="External"/><Relationship Id="rId101" Type="http://schemas.openxmlformats.org/officeDocument/2006/relationships/hyperlink" Target="https://finance.yahoo.com/quote/BABA/options?strike=70&amp;straddle=false" TargetMode="External"/><Relationship Id="rId122" Type="http://schemas.openxmlformats.org/officeDocument/2006/relationships/hyperlink" Target="https://finance.yahoo.com/quote/BABA/options?strike=175&amp;straddle=false" TargetMode="External"/><Relationship Id="rId130" Type="http://schemas.openxmlformats.org/officeDocument/2006/relationships/hyperlink" Target="https://finance.yahoo.com/quote/BABA/options?strike=195&amp;straddle=false" TargetMode="External"/><Relationship Id="rId135" Type="http://schemas.openxmlformats.org/officeDocument/2006/relationships/hyperlink" Target="https://finance.yahoo.com/quote/BABA/options?strike=220&amp;straddle=false" TargetMode="External"/><Relationship Id="rId143" Type="http://schemas.openxmlformats.org/officeDocument/2006/relationships/hyperlink" Target="https://finance.yahoo.com/quote/BABA/options?strike=260&amp;straddle=false" TargetMode="External"/><Relationship Id="rId148" Type="http://schemas.openxmlformats.org/officeDocument/2006/relationships/hyperlink" Target="https://finance.yahoo.com/quote/BABA/options?strike=80&amp;straddle=false" TargetMode="External"/><Relationship Id="rId151" Type="http://schemas.openxmlformats.org/officeDocument/2006/relationships/hyperlink" Target="https://finance.yahoo.com/quote/BABA/options?strike=95&amp;straddle=false" TargetMode="External"/><Relationship Id="rId156" Type="http://schemas.openxmlformats.org/officeDocument/2006/relationships/hyperlink" Target="https://finance.yahoo.com/quote/BABA/options?strike=120&amp;straddle=false" TargetMode="External"/><Relationship Id="rId164" Type="http://schemas.openxmlformats.org/officeDocument/2006/relationships/hyperlink" Target="https://finance.yahoo.com/quote/BABA/options?strike=160&amp;straddle=false" TargetMode="External"/><Relationship Id="rId169" Type="http://schemas.openxmlformats.org/officeDocument/2006/relationships/hyperlink" Target="https://finance.yahoo.com/quote/BABA/options?strike=185&amp;straddle=false" TargetMode="External"/><Relationship Id="rId4" Type="http://schemas.openxmlformats.org/officeDocument/2006/relationships/hyperlink" Target="https://finance.yahoo.com/quote/BABA/options?strike=75&amp;straddle=false" TargetMode="External"/><Relationship Id="rId9" Type="http://schemas.openxmlformats.org/officeDocument/2006/relationships/hyperlink" Target="https://finance.yahoo.com/quote/BABA/options?strike=99&amp;straddle=false" TargetMode="External"/><Relationship Id="rId13" Type="http://schemas.openxmlformats.org/officeDocument/2006/relationships/hyperlink" Target="https://finance.yahoo.com/quote/BABA/options?strike=103&amp;straddle=false" TargetMode="External"/><Relationship Id="rId18" Type="http://schemas.openxmlformats.org/officeDocument/2006/relationships/hyperlink" Target="https://finance.yahoo.com/quote/BABA/options?strike=109&amp;straddle=false" TargetMode="External"/><Relationship Id="rId39" Type="http://schemas.openxmlformats.org/officeDocument/2006/relationships/hyperlink" Target="https://finance.yahoo.com/quote/BABA/options?strike=135&amp;straddle=false" TargetMode="External"/><Relationship Id="rId109" Type="http://schemas.openxmlformats.org/officeDocument/2006/relationships/hyperlink" Target="https://finance.yahoo.com/quote/BABA/options?strike=110&amp;straddle=false" TargetMode="External"/><Relationship Id="rId34" Type="http://schemas.openxmlformats.org/officeDocument/2006/relationships/hyperlink" Target="https://finance.yahoo.com/quote/BABA/options?strike=125&amp;straddle=false" TargetMode="External"/><Relationship Id="rId50" Type="http://schemas.openxmlformats.org/officeDocument/2006/relationships/hyperlink" Target="https://finance.yahoo.com/quote/BABA/options?strike=40&amp;straddle=false" TargetMode="External"/><Relationship Id="rId55" Type="http://schemas.openxmlformats.org/officeDocument/2006/relationships/hyperlink" Target="https://finance.yahoo.com/quote/BABA/options?strike=195&amp;straddle=false" TargetMode="External"/><Relationship Id="rId76" Type="http://schemas.openxmlformats.org/officeDocument/2006/relationships/hyperlink" Target="https://finance.yahoo.com/quote/BABA/options?strike=280&amp;straddle=false" TargetMode="External"/><Relationship Id="rId97" Type="http://schemas.openxmlformats.org/officeDocument/2006/relationships/hyperlink" Target="https://finance.yahoo.com/quote/BABA/options?strike=450&amp;straddle=false" TargetMode="External"/><Relationship Id="rId104" Type="http://schemas.openxmlformats.org/officeDocument/2006/relationships/hyperlink" Target="https://finance.yahoo.com/quote/BABA/options?strike=85&amp;straddle=false" TargetMode="External"/><Relationship Id="rId120" Type="http://schemas.openxmlformats.org/officeDocument/2006/relationships/hyperlink" Target="https://finance.yahoo.com/quote/BABA/options?strike=165&amp;straddle=false" TargetMode="External"/><Relationship Id="rId125" Type="http://schemas.openxmlformats.org/officeDocument/2006/relationships/hyperlink" Target="https://finance.yahoo.com/quote/BABA/options?strike=40&amp;straddle=false" TargetMode="External"/><Relationship Id="rId141" Type="http://schemas.openxmlformats.org/officeDocument/2006/relationships/hyperlink" Target="https://finance.yahoo.com/quote/BABA/options?strike=250&amp;straddle=false" TargetMode="External"/><Relationship Id="rId146" Type="http://schemas.openxmlformats.org/officeDocument/2006/relationships/hyperlink" Target="https://finance.yahoo.com/quote/BABA/options?strike=70&amp;straddle=false" TargetMode="External"/><Relationship Id="rId167" Type="http://schemas.openxmlformats.org/officeDocument/2006/relationships/hyperlink" Target="https://finance.yahoo.com/quote/BABA/options?strike=175&amp;straddle=false" TargetMode="External"/><Relationship Id="rId7" Type="http://schemas.openxmlformats.org/officeDocument/2006/relationships/hyperlink" Target="https://finance.yahoo.com/quote/BABA/options?strike=90&amp;straddle=false" TargetMode="External"/><Relationship Id="rId71" Type="http://schemas.openxmlformats.org/officeDocument/2006/relationships/hyperlink" Target="https://finance.yahoo.com/quote/BABA/options?strike=25&amp;straddle=false" TargetMode="External"/><Relationship Id="rId92" Type="http://schemas.openxmlformats.org/officeDocument/2006/relationships/hyperlink" Target="https://finance.yahoo.com/quote/BABA/options?strike=400&amp;straddle=false" TargetMode="External"/><Relationship Id="rId162" Type="http://schemas.openxmlformats.org/officeDocument/2006/relationships/hyperlink" Target="https://finance.yahoo.com/quote/BABA/options?strike=150&amp;straddle=false" TargetMode="External"/><Relationship Id="rId2" Type="http://schemas.openxmlformats.org/officeDocument/2006/relationships/hyperlink" Target="https://finance.yahoo.com/quote/BABA/options?strike=55&amp;straddle=false" TargetMode="External"/><Relationship Id="rId29" Type="http://schemas.openxmlformats.org/officeDocument/2006/relationships/hyperlink" Target="https://finance.yahoo.com/quote/BABA/options?strike=120&amp;straddle=false" TargetMode="External"/><Relationship Id="rId24" Type="http://schemas.openxmlformats.org/officeDocument/2006/relationships/hyperlink" Target="https://finance.yahoo.com/quote/BABA/options?strike=115&amp;straddle=false" TargetMode="External"/><Relationship Id="rId40" Type="http://schemas.openxmlformats.org/officeDocument/2006/relationships/hyperlink" Target="https://finance.yahoo.com/quote/BABA/options?strike=140&amp;straddle=false" TargetMode="External"/><Relationship Id="rId45" Type="http://schemas.openxmlformats.org/officeDocument/2006/relationships/hyperlink" Target="https://finance.yahoo.com/quote/BABA/options?strike=165&amp;straddle=false" TargetMode="External"/><Relationship Id="rId66" Type="http://schemas.openxmlformats.org/officeDocument/2006/relationships/hyperlink" Target="https://finance.yahoo.com/quote/BABA/options?strike=250&amp;straddle=false" TargetMode="External"/><Relationship Id="rId87" Type="http://schemas.openxmlformats.org/officeDocument/2006/relationships/hyperlink" Target="https://finance.yahoo.com/quote/BABA/options?strike=350&amp;straddle=false" TargetMode="External"/><Relationship Id="rId110" Type="http://schemas.openxmlformats.org/officeDocument/2006/relationships/hyperlink" Target="https://finance.yahoo.com/quote/BABA/options?strike=115&amp;straddle=false" TargetMode="External"/><Relationship Id="rId115" Type="http://schemas.openxmlformats.org/officeDocument/2006/relationships/hyperlink" Target="https://finance.yahoo.com/quote/BABA/options?strike=140&amp;straddle=false" TargetMode="External"/><Relationship Id="rId131" Type="http://schemas.openxmlformats.org/officeDocument/2006/relationships/hyperlink" Target="https://finance.yahoo.com/quote/BABA/options?strike=200&amp;straddle=false" TargetMode="External"/><Relationship Id="rId136" Type="http://schemas.openxmlformats.org/officeDocument/2006/relationships/hyperlink" Target="https://finance.yahoo.com/quote/BABA/options?strike=225&amp;straddle=false" TargetMode="External"/><Relationship Id="rId157" Type="http://schemas.openxmlformats.org/officeDocument/2006/relationships/hyperlink" Target="https://finance.yahoo.com/quote/BABA/options?strike=125&amp;straddle=false" TargetMode="External"/><Relationship Id="rId61" Type="http://schemas.openxmlformats.org/officeDocument/2006/relationships/hyperlink" Target="https://finance.yahoo.com/quote/BABA/options?strike=225&amp;straddle=false" TargetMode="External"/><Relationship Id="rId82" Type="http://schemas.openxmlformats.org/officeDocument/2006/relationships/hyperlink" Target="https://finance.yahoo.com/quote/BABA/options?strike=310&amp;straddle=false" TargetMode="External"/><Relationship Id="rId152" Type="http://schemas.openxmlformats.org/officeDocument/2006/relationships/hyperlink" Target="https://finance.yahoo.com/quote/BABA/options?strike=100&amp;straddle=false" TargetMode="External"/><Relationship Id="rId19" Type="http://schemas.openxmlformats.org/officeDocument/2006/relationships/hyperlink" Target="https://finance.yahoo.com/quote/BABA/options?strike=110&amp;straddle=false" TargetMode="External"/><Relationship Id="rId14" Type="http://schemas.openxmlformats.org/officeDocument/2006/relationships/hyperlink" Target="https://finance.yahoo.com/quote/BABA/options?strike=104&amp;straddle=false" TargetMode="External"/><Relationship Id="rId30" Type="http://schemas.openxmlformats.org/officeDocument/2006/relationships/hyperlink" Target="https://finance.yahoo.com/quote/BABA/options?strike=121&amp;straddle=false" TargetMode="External"/><Relationship Id="rId35" Type="http://schemas.openxmlformats.org/officeDocument/2006/relationships/hyperlink" Target="https://finance.yahoo.com/quote/BABA/options?strike=126&amp;straddle=false" TargetMode="External"/><Relationship Id="rId56" Type="http://schemas.openxmlformats.org/officeDocument/2006/relationships/hyperlink" Target="https://finance.yahoo.com/quote/BABA/options?strike=200&amp;straddle=false" TargetMode="External"/><Relationship Id="rId77" Type="http://schemas.openxmlformats.org/officeDocument/2006/relationships/hyperlink" Target="https://finance.yahoo.com/quote/BABA/options?strike=285&amp;straddle=false" TargetMode="External"/><Relationship Id="rId100" Type="http://schemas.openxmlformats.org/officeDocument/2006/relationships/hyperlink" Target="https://finance.yahoo.com/quote/BABA/options?strike=55&amp;straddle=false" TargetMode="External"/><Relationship Id="rId105" Type="http://schemas.openxmlformats.org/officeDocument/2006/relationships/hyperlink" Target="https://finance.yahoo.com/quote/BABA/options?strike=90&amp;straddle=false" TargetMode="External"/><Relationship Id="rId126" Type="http://schemas.openxmlformats.org/officeDocument/2006/relationships/hyperlink" Target="https://finance.yahoo.com/quote/BABA/options?strike=50&amp;straddle=false" TargetMode="External"/><Relationship Id="rId147" Type="http://schemas.openxmlformats.org/officeDocument/2006/relationships/hyperlink" Target="https://finance.yahoo.com/quote/BABA/options?strike=75&amp;straddle=false" TargetMode="External"/><Relationship Id="rId168" Type="http://schemas.openxmlformats.org/officeDocument/2006/relationships/hyperlink" Target="https://finance.yahoo.com/quote/BABA/options?strike=180&amp;straddle=false" TargetMode="External"/><Relationship Id="rId8" Type="http://schemas.openxmlformats.org/officeDocument/2006/relationships/hyperlink" Target="https://finance.yahoo.com/quote/BABA/options?strike=95&amp;straddle=false" TargetMode="External"/><Relationship Id="rId51" Type="http://schemas.openxmlformats.org/officeDocument/2006/relationships/hyperlink" Target="https://finance.yahoo.com/quote/BABA/options?strike=50&amp;straddle=false" TargetMode="External"/><Relationship Id="rId72" Type="http://schemas.openxmlformats.org/officeDocument/2006/relationships/hyperlink" Target="https://finance.yahoo.com/quote/BABA/options?strike=30&amp;straddle=false" TargetMode="External"/><Relationship Id="rId93" Type="http://schemas.openxmlformats.org/officeDocument/2006/relationships/hyperlink" Target="https://finance.yahoo.com/quote/BABA/options?strike=410&amp;straddle=false" TargetMode="External"/><Relationship Id="rId98" Type="http://schemas.openxmlformats.org/officeDocument/2006/relationships/hyperlink" Target="https://finance.yahoo.com/quote/BABA/options?strike=460&amp;straddle=false" TargetMode="External"/><Relationship Id="rId121" Type="http://schemas.openxmlformats.org/officeDocument/2006/relationships/hyperlink" Target="https://finance.yahoo.com/quote/BABA/options?strike=170&amp;straddle=false" TargetMode="External"/><Relationship Id="rId142" Type="http://schemas.openxmlformats.org/officeDocument/2006/relationships/hyperlink" Target="https://finance.yahoo.com/quote/BABA/options?strike=255&amp;straddle=false" TargetMode="External"/><Relationship Id="rId163" Type="http://schemas.openxmlformats.org/officeDocument/2006/relationships/hyperlink" Target="https://finance.yahoo.com/quote/BABA/options?strike=155&amp;straddle=false" TargetMode="External"/><Relationship Id="rId3" Type="http://schemas.openxmlformats.org/officeDocument/2006/relationships/hyperlink" Target="https://finance.yahoo.com/quote/BABA/options?strike=70&amp;straddle=false" TargetMode="External"/><Relationship Id="rId25" Type="http://schemas.openxmlformats.org/officeDocument/2006/relationships/hyperlink" Target="https://finance.yahoo.com/quote/BABA/options?strike=116&amp;straddle=false" TargetMode="External"/><Relationship Id="rId46" Type="http://schemas.openxmlformats.org/officeDocument/2006/relationships/hyperlink" Target="https://finance.yahoo.com/quote/BABA/options?strike=170&amp;straddle=false" TargetMode="External"/><Relationship Id="rId67" Type="http://schemas.openxmlformats.org/officeDocument/2006/relationships/hyperlink" Target="https://finance.yahoo.com/quote/BABA/options?strike=255&amp;straddle=false" TargetMode="External"/><Relationship Id="rId116" Type="http://schemas.openxmlformats.org/officeDocument/2006/relationships/hyperlink" Target="https://finance.yahoo.com/quote/BABA/options?strike=145&amp;straddle=false" TargetMode="External"/><Relationship Id="rId137" Type="http://schemas.openxmlformats.org/officeDocument/2006/relationships/hyperlink" Target="https://finance.yahoo.com/quote/BABA/options?strike=230&amp;straddle=false" TargetMode="External"/><Relationship Id="rId158" Type="http://schemas.openxmlformats.org/officeDocument/2006/relationships/hyperlink" Target="https://finance.yahoo.com/quote/BABA/options?strike=130&amp;straddle=false" TargetMode="External"/><Relationship Id="rId20" Type="http://schemas.openxmlformats.org/officeDocument/2006/relationships/hyperlink" Target="https://finance.yahoo.com/quote/BABA/options?strike=111&amp;straddle=false" TargetMode="External"/><Relationship Id="rId41" Type="http://schemas.openxmlformats.org/officeDocument/2006/relationships/hyperlink" Target="https://finance.yahoo.com/quote/BABA/options?strike=145&amp;straddle=false" TargetMode="External"/><Relationship Id="rId62" Type="http://schemas.openxmlformats.org/officeDocument/2006/relationships/hyperlink" Target="https://finance.yahoo.com/quote/BABA/options?strike=230&amp;straddle=false" TargetMode="External"/><Relationship Id="rId83" Type="http://schemas.openxmlformats.org/officeDocument/2006/relationships/hyperlink" Target="https://finance.yahoo.com/quote/BABA/options?strike=315&amp;straddle=false" TargetMode="External"/><Relationship Id="rId88" Type="http://schemas.openxmlformats.org/officeDocument/2006/relationships/hyperlink" Target="https://finance.yahoo.com/quote/BABA/options?strike=360&amp;straddle=false" TargetMode="External"/><Relationship Id="rId111" Type="http://schemas.openxmlformats.org/officeDocument/2006/relationships/hyperlink" Target="https://finance.yahoo.com/quote/BABA/options?strike=120&amp;straddle=false" TargetMode="External"/><Relationship Id="rId132" Type="http://schemas.openxmlformats.org/officeDocument/2006/relationships/hyperlink" Target="https://finance.yahoo.com/quote/BABA/options?strike=205&amp;straddle=false" TargetMode="External"/><Relationship Id="rId153" Type="http://schemas.openxmlformats.org/officeDocument/2006/relationships/hyperlink" Target="https://finance.yahoo.com/quote/BABA/options?strike=105&amp;straddle=fals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F1E68-3D9A-4DA9-AA70-451DF25A540C}">
  <sheetPr codeName="Foglio1"/>
  <dimension ref="A1:AY136"/>
  <sheetViews>
    <sheetView tabSelected="1" workbookViewId="0">
      <selection activeCell="AL115" sqref="AL115"/>
    </sheetView>
  </sheetViews>
  <sheetFormatPr defaultRowHeight="14.4" x14ac:dyDescent="0.3"/>
  <cols>
    <col min="1" max="1" width="11" bestFit="1" customWidth="1"/>
    <col min="2" max="3" width="12.6640625" bestFit="1" customWidth="1"/>
    <col min="4" max="5" width="12" bestFit="1" customWidth="1"/>
    <col min="8" max="8" width="11" bestFit="1" customWidth="1"/>
    <col min="11" max="11" width="12" bestFit="1" customWidth="1"/>
    <col min="20" max="20" width="12.6640625" bestFit="1" customWidth="1"/>
    <col min="21" max="23" width="12" bestFit="1" customWidth="1"/>
    <col min="38" max="47" width="12.6640625" bestFit="1" customWidth="1"/>
  </cols>
  <sheetData>
    <row r="1" spans="1:6" x14ac:dyDescent="0.3">
      <c r="A1" t="s">
        <v>3</v>
      </c>
      <c r="B1" t="s">
        <v>0</v>
      </c>
      <c r="C1" t="s">
        <v>4</v>
      </c>
      <c r="D1" t="s">
        <v>1</v>
      </c>
      <c r="E1" t="s">
        <v>6</v>
      </c>
      <c r="F1" t="s">
        <v>2</v>
      </c>
    </row>
    <row r="2" spans="1:6" x14ac:dyDescent="0.3">
      <c r="A2">
        <v>60</v>
      </c>
      <c r="B2">
        <v>100</v>
      </c>
      <c r="C2">
        <v>0.1</v>
      </c>
      <c r="D2">
        <v>0.01</v>
      </c>
      <c r="E2">
        <v>0</v>
      </c>
      <c r="F2">
        <v>0.2</v>
      </c>
    </row>
    <row r="3" spans="1:6" x14ac:dyDescent="0.3">
      <c r="A3">
        <v>65</v>
      </c>
      <c r="C3">
        <v>0.2</v>
      </c>
      <c r="F3">
        <v>0.3</v>
      </c>
    </row>
    <row r="4" spans="1:6" x14ac:dyDescent="0.3">
      <c r="A4">
        <v>70</v>
      </c>
      <c r="C4">
        <v>0.3</v>
      </c>
      <c r="F4">
        <v>0.1</v>
      </c>
    </row>
    <row r="5" spans="1:6" x14ac:dyDescent="0.3">
      <c r="A5">
        <v>75</v>
      </c>
      <c r="C5">
        <v>0.4</v>
      </c>
    </row>
    <row r="6" spans="1:6" x14ac:dyDescent="0.3">
      <c r="A6">
        <v>80</v>
      </c>
      <c r="C6">
        <v>0.5</v>
      </c>
    </row>
    <row r="7" spans="1:6" x14ac:dyDescent="0.3">
      <c r="A7">
        <v>85</v>
      </c>
      <c r="C7">
        <v>0.6</v>
      </c>
    </row>
    <row r="8" spans="1:6" x14ac:dyDescent="0.3">
      <c r="A8">
        <v>90</v>
      </c>
      <c r="C8">
        <v>0.7</v>
      </c>
    </row>
    <row r="9" spans="1:6" x14ac:dyDescent="0.3">
      <c r="A9">
        <v>95</v>
      </c>
      <c r="C9">
        <v>0.8</v>
      </c>
    </row>
    <row r="10" spans="1:6" x14ac:dyDescent="0.3">
      <c r="A10">
        <v>100</v>
      </c>
      <c r="C10">
        <v>0.9</v>
      </c>
    </row>
    <row r="11" spans="1:6" x14ac:dyDescent="0.3">
      <c r="A11">
        <v>105</v>
      </c>
      <c r="C11">
        <v>1</v>
      </c>
    </row>
    <row r="12" spans="1:6" x14ac:dyDescent="0.3">
      <c r="A12">
        <v>110</v>
      </c>
      <c r="C12">
        <v>2</v>
      </c>
    </row>
    <row r="13" spans="1:6" x14ac:dyDescent="0.3">
      <c r="A13">
        <v>115</v>
      </c>
      <c r="C13">
        <v>3</v>
      </c>
    </row>
    <row r="14" spans="1:6" x14ac:dyDescent="0.3">
      <c r="A14">
        <v>120</v>
      </c>
      <c r="C14">
        <v>4</v>
      </c>
    </row>
    <row r="15" spans="1:6" x14ac:dyDescent="0.3">
      <c r="A15">
        <v>125</v>
      </c>
      <c r="C15">
        <v>5</v>
      </c>
    </row>
    <row r="16" spans="1:6" x14ac:dyDescent="0.3">
      <c r="A16">
        <v>130</v>
      </c>
    </row>
    <row r="17" spans="1:51" x14ac:dyDescent="0.3">
      <c r="A17">
        <v>135</v>
      </c>
    </row>
    <row r="18" spans="1:51" x14ac:dyDescent="0.3">
      <c r="A18">
        <v>140</v>
      </c>
    </row>
    <row r="21" spans="1:51" x14ac:dyDescent="0.3">
      <c r="A21" s="54" t="s">
        <v>5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6"/>
      <c r="S21" s="49" t="s">
        <v>5</v>
      </c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1"/>
      <c r="AK21" s="49" t="s">
        <v>5</v>
      </c>
      <c r="AL21" s="50"/>
      <c r="AM21" s="50"/>
      <c r="AN21" s="50"/>
      <c r="AO21" s="50"/>
      <c r="AP21" s="50"/>
      <c r="AQ21" s="50"/>
      <c r="AR21" s="50"/>
      <c r="AS21" s="50"/>
      <c r="AT21" s="50"/>
      <c r="AU21" s="50"/>
      <c r="AV21" s="50"/>
      <c r="AW21" s="50"/>
      <c r="AX21" s="50"/>
      <c r="AY21" s="51"/>
    </row>
    <row r="22" spans="1:51" x14ac:dyDescent="0.3">
      <c r="A22" s="1" t="s">
        <v>3</v>
      </c>
      <c r="B22" s="52" t="s">
        <v>4</v>
      </c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3"/>
      <c r="S22" s="1" t="s">
        <v>3</v>
      </c>
      <c r="T22" s="52" t="s">
        <v>4</v>
      </c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3"/>
      <c r="AK22" s="1" t="s">
        <v>3</v>
      </c>
      <c r="AL22" s="52" t="s">
        <v>4</v>
      </c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3"/>
    </row>
    <row r="23" spans="1:51" x14ac:dyDescent="0.3">
      <c r="A23" s="1"/>
      <c r="B23" s="2">
        <v>0.1</v>
      </c>
      <c r="C23" s="2">
        <v>0.2</v>
      </c>
      <c r="D23" s="2">
        <v>0.3</v>
      </c>
      <c r="E23" s="2">
        <v>0.4</v>
      </c>
      <c r="F23" s="2">
        <v>0.5</v>
      </c>
      <c r="G23" s="2">
        <v>0.6</v>
      </c>
      <c r="H23" s="2">
        <v>0.7</v>
      </c>
      <c r="I23" s="2">
        <v>0.8</v>
      </c>
      <c r="J23" s="2">
        <v>0.9</v>
      </c>
      <c r="K23" s="2">
        <v>1</v>
      </c>
      <c r="L23" s="2">
        <v>2</v>
      </c>
      <c r="M23" s="2">
        <v>3</v>
      </c>
      <c r="N23" s="2">
        <v>4</v>
      </c>
      <c r="O23" s="3">
        <v>5</v>
      </c>
      <c r="S23" s="1"/>
      <c r="T23" s="2">
        <v>0.1</v>
      </c>
      <c r="U23" s="2">
        <v>0.2</v>
      </c>
      <c r="V23" s="2">
        <v>0.3</v>
      </c>
      <c r="W23" s="2">
        <v>0.4</v>
      </c>
      <c r="X23" s="2">
        <v>0.5</v>
      </c>
      <c r="Y23" s="2">
        <v>0.6</v>
      </c>
      <c r="Z23" s="2">
        <v>0.7</v>
      </c>
      <c r="AA23" s="2">
        <v>0.8</v>
      </c>
      <c r="AB23" s="2">
        <v>0.9</v>
      </c>
      <c r="AC23" s="2">
        <v>1</v>
      </c>
      <c r="AD23" s="2">
        <v>2</v>
      </c>
      <c r="AE23" s="2">
        <v>3</v>
      </c>
      <c r="AF23" s="2">
        <v>4</v>
      </c>
      <c r="AG23" s="3">
        <v>5</v>
      </c>
      <c r="AK23" s="1"/>
      <c r="AL23" s="2">
        <v>0.1</v>
      </c>
      <c r="AM23" s="2">
        <v>0.2</v>
      </c>
      <c r="AN23" s="2">
        <v>0.3</v>
      </c>
      <c r="AO23" s="2">
        <v>0.4</v>
      </c>
      <c r="AP23" s="2">
        <v>0.5</v>
      </c>
      <c r="AQ23" s="2">
        <v>0.6</v>
      </c>
      <c r="AR23" s="2">
        <v>0.7</v>
      </c>
      <c r="AS23" s="2">
        <v>0.8</v>
      </c>
      <c r="AT23" s="2">
        <v>0.9</v>
      </c>
      <c r="AU23" s="2">
        <v>1</v>
      </c>
      <c r="AV23" s="2">
        <v>2</v>
      </c>
      <c r="AW23" s="2">
        <v>3</v>
      </c>
      <c r="AX23" s="2">
        <v>4</v>
      </c>
      <c r="AY23" s="3">
        <v>5</v>
      </c>
    </row>
    <row r="24" spans="1:51" x14ac:dyDescent="0.3">
      <c r="A24" s="1">
        <v>60</v>
      </c>
      <c r="B24" s="4" cm="1">
        <f t="array" ref="B24">DeltaC($A$24,$B$2,B23,$D$2,$E$2,$F$2)</f>
        <v>4.8964030371398776E-16</v>
      </c>
      <c r="C24" s="4" cm="1">
        <f t="array" ref="C24">DeltaC($A$24,$B$2,C23,$D$2,$E$2,$F$2)</f>
        <v>8.3013130785334355E-9</v>
      </c>
      <c r="D24" s="4" cm="1">
        <f t="array" ref="D24">DeltaC($A$24,$B$2,D23,$D$2,$E$2,$F$2)</f>
        <v>2.3135653326617214E-6</v>
      </c>
      <c r="E24" s="4" cm="1">
        <f t="array" ref="E24">DeltaC($A$24,$B$2,E23,$D$2,$E$2,$F$2)</f>
        <v>4.0139975424484934E-5</v>
      </c>
      <c r="F24" s="4" cm="1">
        <f t="array" ref="F24">DeltaC($A$24,$B$2,F23,$D$2,$E$2,$F$2)</f>
        <v>2.2743341786876357E-4</v>
      </c>
      <c r="G24" s="4" cm="1">
        <f t="array" ref="G24">DeltaC($A$24,$B$2,G23,$D$2,$E$2,$F$2)</f>
        <v>7.3339315349598864E-4</v>
      </c>
      <c r="H24" s="4" cm="1">
        <f t="array" ref="H24">DeltaC($A$24,$B$2,H23,$D$2,$E$2,$F$2)</f>
        <v>1.7097704105366416E-3</v>
      </c>
      <c r="I24" s="4" cm="1">
        <f t="array" ref="I24">DeltaC($A$24,$B$2,I23,$D$2,$E$2,$F$2)</f>
        <v>3.2499291224938613E-3</v>
      </c>
      <c r="J24" s="4" cm="1">
        <f t="array" ref="J24">DeltaC($A$24,$B$2,J23,$D$2,$E$2,$F$2)</f>
        <v>5.386378691307119E-3</v>
      </c>
      <c r="K24" s="4" cm="1">
        <f t="array" ref="K24">DeltaC($A$24,$B$2,K23,$D$2,$E$2,$F$2)</f>
        <v>8.1055453543928818E-3</v>
      </c>
      <c r="L24" s="4" cm="1">
        <f t="array" ref="L24">DeltaC($A$24,$B$2,L23,$D$2,$E$2,$F$2)</f>
        <v>5.5478177979400571E-2</v>
      </c>
      <c r="M24" s="4" cm="1">
        <f t="array" ref="M24">DeltaC($A$24,$B$2,M23,$D$2,$E$2,$F$2)</f>
        <v>0.11221757852337162</v>
      </c>
      <c r="N24" s="4" cm="1">
        <f t="array" ref="N24">DeltaC($A$24,$B$2,N23,$D$2,$E$2,$F$2)</f>
        <v>0.16426871972840876</v>
      </c>
      <c r="O24" s="5" cm="1">
        <f t="array" ref="O24">DeltaC($A$24,$B$2,O23,$D$2,$E$2,$F$2)</f>
        <v>0.20988203686100165</v>
      </c>
      <c r="S24" s="1">
        <v>60</v>
      </c>
      <c r="T24" s="4" cm="1">
        <f t="array" ref="T24">DeltaC(S24,$B$2,$T$23,$D$2,$E$2,$F$3)</f>
        <v>5.0034162369055566E-8</v>
      </c>
      <c r="U24" s="4" cm="1">
        <f t="array" ref="U24">DeltaC(S24,$B$2,$U$23,$D$2,$E$2,$F$3)</f>
        <v>9.7471862538906133E-5</v>
      </c>
      <c r="V24" s="4" cm="1">
        <f t="array" ref="V24">DeltaC(S24,$B$2,$V$23,$D$2,$E$2,$F$3)</f>
        <v>1.3132659794663289E-3</v>
      </c>
      <c r="W24" s="4" cm="1">
        <f t="array" ref="W24">DeltaC(S24,$B$2,$W$23,$D$2,$E$2,$F$3)</f>
        <v>4.992660033900336E-3</v>
      </c>
      <c r="X24" s="4" cm="1">
        <f t="array" ref="X24">DeltaC(S24,$B$2,$X$23,$D$2,$E$2,$F$3)</f>
        <v>1.135081746473166E-2</v>
      </c>
      <c r="Y24" s="4" cm="1">
        <f t="array" ref="Y24">DeltaC(S24,$B$2,$Y$23,$D$2,$E$2,$F$3)</f>
        <v>1.9879978802043376E-2</v>
      </c>
      <c r="Z24" s="4" cm="1">
        <f t="array" ref="Z24">DeltaC(S24,$B$2,$Z$23,$D$2,$E$2,$F$3)</f>
        <v>2.9932244764737312E-2</v>
      </c>
      <c r="AA24" s="4" cm="1">
        <f t="array" ref="AA24">DeltaC(S24,$B$2,$AA$23,$D$2,$E$2,$F$3)</f>
        <v>4.0950902335764483E-2</v>
      </c>
      <c r="AB24" s="4" cm="1">
        <f t="array" ref="AB24">DeltaC(S24,$B$2,$AB$23,$D$2,$E$2,$F$3)</f>
        <v>5.2516002614189643E-2</v>
      </c>
      <c r="AC24" s="4" cm="1">
        <f t="array" ref="AC24">DeltaC(S24,$B$2,$AC$23,$D$2,$E$2,$F$3)</f>
        <v>6.4328563178374959E-2</v>
      </c>
      <c r="AD24" s="4" cm="1">
        <f t="array" ref="AD24">DeltaC(S24,$B$2,$AD$23,$D$2,$E$2,$F$3)</f>
        <v>0.17239197114368851</v>
      </c>
      <c r="AE24" s="4" cm="1">
        <f t="array" ref="AE24">DeltaC(S24,$B$2,$AE$23,$D$2,$E$2,$F$3)</f>
        <v>0.25285203319023192</v>
      </c>
      <c r="AF24" s="4" cm="1">
        <f t="array" ref="AF24">DeltaC(S24,$B$2,$AF$23,$D$2,$E$2,$F$3)</f>
        <v>0.31394125841594145</v>
      </c>
      <c r="AG24" s="5" cm="1">
        <f t="array" ref="AG24">DeltaC(S24,$B$2,$AG$23,$D$2,$E$2,$F$3)</f>
        <v>0.3625886029317465</v>
      </c>
      <c r="AK24" s="1">
        <v>60</v>
      </c>
      <c r="AL24" s="4" cm="1">
        <f t="array" ref="AL24">DeltaC(AK24,$B$2,$AL$23,$D$2,$E$2,$F$4)</f>
        <v>1.152199866581208E-58</v>
      </c>
      <c r="AM24" s="4" cm="1">
        <f t="array" ref="AM24">DeltaC(AK24,$B$2,$AM$23,$D$2,$E$2,$F$4)</f>
        <v>3.4889502026674058E-30</v>
      </c>
      <c r="AN24" s="4" cm="1">
        <f t="array" ref="AN24">DeltaC(AK24,$B$2,$AN$23,$D$2,$E$2,$F$4)</f>
        <v>1.1850476086013817E-20</v>
      </c>
      <c r="AO24" s="4" cm="1">
        <f t="array" ref="AO24">DeltaC(AK24,$B$2,$AO$23,$D$2,$E$2,$F$4)</f>
        <v>7.1994037560856956E-16</v>
      </c>
      <c r="AP24" s="4" cm="1">
        <f t="array" ref="AP24">DeltaC(AK24,$B$2,$AP$23,$D$2,$E$2,$F$4)</f>
        <v>5.4712789718469201E-13</v>
      </c>
      <c r="AQ24" s="4" cm="1">
        <f t="array" ref="AQ24">DeltaC(AK24,$B$2,$AQ$23,$D$2,$E$2,$F$4)</f>
        <v>4.6306900470662182E-11</v>
      </c>
      <c r="AR24" s="4" cm="1">
        <f t="array" ref="AR24">DeltaC(AK24,$B$2,$AR$23,$D$2,$E$2,$F$4)</f>
        <v>1.1154484392717851E-9</v>
      </c>
      <c r="AS24" s="4" cm="1">
        <f t="array" ref="AS24">DeltaC(AK24,$B$2,$AS$23,$D$2,$E$2,$F$4)</f>
        <v>1.2232280237899387E-8</v>
      </c>
      <c r="AT24" s="4" cm="1">
        <f t="array" ref="AT24">DeltaC(AK24,$B$2,$AT$23,$D$2,$E$2,$F$4)</f>
        <v>7.9305503738124461E-8</v>
      </c>
      <c r="AU24" s="4" cm="1">
        <f t="array" ref="AU24">DeltaC(AK24,$B$2,$AU$23,$D$2,$E$2,$F$4)</f>
        <v>3.5564355541459468E-7</v>
      </c>
      <c r="AV24" s="4" cm="1">
        <f t="array" ref="AV24">DeltaC(AK24,$B$2,$AV$23,$D$2,$E$2,$F$4)</f>
        <v>3.3699015309893697E-4</v>
      </c>
      <c r="AW24" s="4" cm="1">
        <f t="array" ref="AW24">DeltaC(AK24,$B$2,$AW$23,$D$2,$E$2,$F$4)</f>
        <v>3.5785417129918732E-3</v>
      </c>
      <c r="AX24" s="4" cm="1">
        <f t="array" ref="AX24">DeltaC(AK24,$B$2,$AX$23,$D$2,$E$2,$F$4)</f>
        <v>1.2094054588474413E-2</v>
      </c>
      <c r="AY24" s="5" cm="1">
        <f t="array" ref="AY24">DeltaC(AK24,$B$2,$AY$23,$D$2,$E$2,$F$4)</f>
        <v>2.564344677496205E-2</v>
      </c>
    </row>
    <row r="25" spans="1:51" x14ac:dyDescent="0.3">
      <c r="A25" s="1">
        <v>65</v>
      </c>
      <c r="B25" s="4" cm="1">
        <f t="array" ref="B25">DeltaC($A$25,$B$2,B23,$D$2,$E$2,$F$2)</f>
        <v>6.7189909908190016E-12</v>
      </c>
      <c r="C25" s="4" cm="1">
        <f t="array" ref="C25">DeltaC($A$25,$B$2,C23,$D$2,$E$2,$F$2)</f>
        <v>1.0210267589266487E-6</v>
      </c>
      <c r="D25" s="4" cm="1">
        <f t="array" ref="D25">DeltaC($A$25,$B$2,D23,$D$2,$E$2,$F$2)</f>
        <v>5.8978518150786922E-5</v>
      </c>
      <c r="E25" s="4" cm="1">
        <f t="array" ref="E25">DeltaC($A$25,$B$2,E23,$D$2,$E$2,$F$2)</f>
        <v>4.6519881412379274E-4</v>
      </c>
      <c r="F25" s="4" cm="1">
        <f t="array" ref="F25">DeltaC($A$25,$B$2,F23,$D$2,$E$2,$F$2)</f>
        <v>1.6409066155964737E-3</v>
      </c>
      <c r="G25" s="4" cm="1">
        <f t="array" ref="G25">DeltaC($A$25,$B$2,G23,$D$2,$E$2,$F$2)</f>
        <v>3.8551173459697038E-3</v>
      </c>
      <c r="H25" s="4" cm="1">
        <f t="array" ref="H25">DeltaC($A$25,$B$2,H23,$D$2,$E$2,$F$2)</f>
        <v>7.1642370961297339E-3</v>
      </c>
      <c r="I25" s="4" cm="1">
        <f t="array" ref="I25">DeltaC($A$25,$B$2,I23,$D$2,$E$2,$F$2)</f>
        <v>1.1483425231958777E-2</v>
      </c>
      <c r="J25" s="4" cm="1">
        <f t="array" ref="J25">DeltaC($A$25,$B$2,J23,$D$2,$E$2,$F$2)</f>
        <v>1.6663450654240793E-2</v>
      </c>
      <c r="K25" s="4" cm="1">
        <f t="array" ref="K25">DeltaC($A$25,$B$2,K23,$D$2,$E$2,$F$2)</f>
        <v>2.2539605701555526E-2</v>
      </c>
      <c r="L25" s="4" cm="1">
        <f t="array" ref="L25">DeltaC($A$25,$B$2,L23,$D$2,$E$2,$F$2)</f>
        <v>9.4943144684704661E-2</v>
      </c>
      <c r="M25" s="4" cm="1">
        <f t="array" ref="M25">DeltaC($A$25,$B$2,M23,$D$2,$E$2,$F$2)</f>
        <v>0.16261786177644788</v>
      </c>
      <c r="N25" s="4" cm="1">
        <f t="array" ref="N25">DeltaC($A$25,$B$2,N23,$D$2,$E$2,$F$2)</f>
        <v>0.21859198446496683</v>
      </c>
      <c r="O25" s="5" cm="1">
        <f t="array" ref="O25">DeltaC($A$25,$B$2,O23,$D$2,$E$2,$F$2)</f>
        <v>0.26505120645503799</v>
      </c>
      <c r="S25" s="1">
        <v>65</v>
      </c>
      <c r="T25" s="4" cm="1">
        <f t="array" ref="T25">DeltaC(S25,$B$2,$T$23,$D$2,$E$2,$F$3)</f>
        <v>3.6821940892309305E-6</v>
      </c>
      <c r="U25" s="4" cm="1">
        <f t="array" ref="U25">DeltaC(S25,$B$2,$U$23,$D$2,$E$2,$F$3)</f>
        <v>8.7737836912211346E-4</v>
      </c>
      <c r="V25" s="4" cm="1">
        <f t="array" ref="V25">DeltaC(S25,$B$2,$V$23,$D$2,$E$2,$F$3)</f>
        <v>5.847011044032159E-3</v>
      </c>
      <c r="W25" s="4" cm="1">
        <f t="array" ref="W25">DeltaC(S25,$B$2,$W$23,$D$2,$E$2,$F$3)</f>
        <v>1.5601464786896047E-2</v>
      </c>
      <c r="X25" s="4" cm="1">
        <f t="array" ref="X25">DeltaC(S25,$B$2,$X$23,$D$2,$E$2,$F$3)</f>
        <v>2.8644857358513204E-2</v>
      </c>
      <c r="Y25" s="4" cm="1">
        <f t="array" ref="Y25">DeltaC(S25,$B$2,$Y$23,$D$2,$E$2,$F$3)</f>
        <v>4.3468137473605208E-2</v>
      </c>
      <c r="Z25" s="4" cm="1">
        <f t="array" ref="Z25">DeltaC(S25,$B$2,$Z$23,$D$2,$E$2,$F$3)</f>
        <v>5.9038935425869576E-2</v>
      </c>
      <c r="AA25" s="4" cm="1">
        <f t="array" ref="AA25">DeltaC(S25,$B$2,$AA$23,$D$2,$E$2,$F$3)</f>
        <v>7.4728116021825122E-2</v>
      </c>
      <c r="AB25" s="4" cm="1">
        <f t="array" ref="AB25">DeltaC(S25,$B$2,$AB$23,$D$2,$E$2,$F$3)</f>
        <v>9.0172813400075449E-2</v>
      </c>
      <c r="AC25" s="4" cm="1">
        <f t="array" ref="AC25">DeltaC(S25,$B$2,$AC$23,$D$2,$E$2,$F$3)</f>
        <v>0.10517388780770233</v>
      </c>
      <c r="AD25" s="4" cm="1">
        <f t="array" ref="AD25">DeltaC(S25,$B$2,$AD$23,$D$2,$E$2,$F$3)</f>
        <v>0.22479684393807561</v>
      </c>
      <c r="AE25" s="4" cm="1">
        <f t="array" ref="AE25">DeltaC(S25,$B$2,$AE$23,$D$2,$E$2,$F$3)</f>
        <v>0.3045006830407393</v>
      </c>
      <c r="AF25" s="4" cm="1">
        <f t="array" ref="AF25">DeltaC(S25,$B$2,$AF$23,$D$2,$E$2,$F$3)</f>
        <v>0.36267982457804149</v>
      </c>
      <c r="AG25" s="5" cm="1">
        <f t="array" ref="AG25">DeltaC(S25,$B$2,$AG$23,$D$2,$E$2,$F$3)</f>
        <v>0.40818067531008484</v>
      </c>
      <c r="AK25" s="1">
        <v>65</v>
      </c>
      <c r="AL25" s="4" cm="1">
        <f t="array" ref="AL25">DeltaC(AK25,$B$2,$AL$23,$D$2,$E$2,$F$4)</f>
        <v>2.8126612880569749E-42</v>
      </c>
      <c r="AM25" s="4" cm="1">
        <f t="array" ref="AM25">DeltaC(AK25,$B$2,$AM$23,$D$2,$E$2,$F$4)</f>
        <v>5.5821144851585946E-22</v>
      </c>
      <c r="AN25" s="4" cm="1">
        <f t="array" ref="AN25">DeltaC(AK25,$B$2,$AN$23,$D$2,$E$2,$F$4)</f>
        <v>3.5461176703588463E-15</v>
      </c>
      <c r="AO25" s="4" cm="1">
        <f t="array" ref="AO25">DeltaC(AK25,$B$2,$AO$23,$D$2,$E$2,$F$4)</f>
        <v>9.3129642843240566E-12</v>
      </c>
      <c r="AP25" s="4" cm="1">
        <f t="array" ref="AP25">DeltaC(AK25,$B$2,$AP$23,$D$2,$E$2,$F$4)</f>
        <v>1.0745001039870842E-9</v>
      </c>
      <c r="AQ25" s="4" cm="1">
        <f t="array" ref="AQ25">DeltaC(AK25,$B$2,$AQ$23,$D$2,$E$2,$F$4)</f>
        <v>2.5874472084445293E-8</v>
      </c>
      <c r="AR25" s="4" cm="1">
        <f t="array" ref="AR25">DeltaC(AK25,$B$2,$AR$23,$D$2,$E$2,$F$4)</f>
        <v>2.5390046836316418E-7</v>
      </c>
      <c r="AS25" s="4" cm="1">
        <f t="array" ref="AS25">DeltaC(AK25,$B$2,$AS$23,$D$2,$E$2,$F$4)</f>
        <v>1.4195096494921114E-6</v>
      </c>
      <c r="AT25" s="4" cm="1">
        <f t="array" ref="AT25">DeltaC(AK25,$B$2,$AT$23,$D$2,$E$2,$F$4)</f>
        <v>5.4488726576165433E-6</v>
      </c>
      <c r="AU25" s="4" cm="1">
        <f t="array" ref="AU25">DeltaC(AK25,$B$2,$AU$23,$D$2,$E$2,$F$4)</f>
        <v>1.6064307266339651E-5</v>
      </c>
      <c r="AV25" s="4" cm="1">
        <f t="array" ref="AV25">DeltaC(AK25,$B$2,$AV$23,$D$2,$E$2,$F$4)</f>
        <v>2.2987314592982288E-3</v>
      </c>
      <c r="AW25" s="4" cm="1">
        <f t="array" ref="AW25">DeltaC(AK25,$B$2,$AW$23,$D$2,$E$2,$F$4)</f>
        <v>1.296299065751454E-2</v>
      </c>
      <c r="AX25" s="4" cm="1">
        <f t="array" ref="AX25">DeltaC(AK25,$B$2,$AX$23,$D$2,$E$2,$F$4)</f>
        <v>3.1875690795675732E-2</v>
      </c>
      <c r="AY25" s="5" cm="1">
        <f t="array" ref="AY25">DeltaC(AK25,$B$2,$AY$23,$D$2,$E$2,$F$4)</f>
        <v>5.5792459445646918E-2</v>
      </c>
    </row>
    <row r="26" spans="1:51" x14ac:dyDescent="0.3">
      <c r="A26" s="1">
        <v>70</v>
      </c>
      <c r="B26" s="4" cm="1">
        <f t="array" ref="B26">DeltaC($A$26,$B$2,B23,$D$2,$E$2,$F$2)</f>
        <v>1.1217502453550677E-8</v>
      </c>
      <c r="C26" s="4" cm="1">
        <f t="array" ref="C26">DeltaC($A$26,$B$2,C23,$D$2,$E$2,$F$2)</f>
        <v>4.4152463014191854E-5</v>
      </c>
      <c r="D26" s="4" cm="1">
        <f t="array" ref="D26">DeltaC($A$26,$B$2,D23,$D$2,$E$2,$F$2)</f>
        <v>7.522257491842688E-4</v>
      </c>
      <c r="E26" s="4" cm="1">
        <f t="array" ref="E26">DeltaC($A$26,$B$2,E23,$D$2,$E$2,$F$2)</f>
        <v>3.2160999955850619E-3</v>
      </c>
      <c r="F26" s="4" cm="1">
        <f t="array" ref="F26">DeltaC($A$26,$B$2,F23,$D$2,$E$2,$F$2)</f>
        <v>7.8458863408448435E-3</v>
      </c>
      <c r="G26" s="4" cm="1">
        <f t="array" ref="G26">DeltaC($A$26,$B$2,G23,$D$2,$E$2,$F$2)</f>
        <v>1.4402778602930122E-2</v>
      </c>
      <c r="H26" s="4" cm="1">
        <f t="array" ref="H26">DeltaC($A$26,$B$2,H23,$D$2,$E$2,$F$2)</f>
        <v>2.242591118396205E-2</v>
      </c>
      <c r="I26" s="4" cm="1">
        <f t="array" ref="I26">DeltaC($A$26,$B$2,I23,$D$2,$E$2,$F$2)</f>
        <v>3.1463320553836806E-2</v>
      </c>
      <c r="J26" s="4" cm="1">
        <f t="array" ref="J26">DeltaC($A$26,$B$2,J23,$D$2,$E$2,$F$2)</f>
        <v>4.1145992558525323E-2</v>
      </c>
      <c r="K26" s="4" cm="1">
        <f t="array" ref="K26">DeltaC($A$26,$B$2,K23,$D$2,$E$2,$F$2)</f>
        <v>5.1195105289887979E-2</v>
      </c>
      <c r="L26" s="4" cm="1">
        <f t="array" ref="L26">DeltaC($A$26,$B$2,L23,$D$2,$E$2,$F$2)</f>
        <v>0.14711107776501314</v>
      </c>
      <c r="M26" s="4" cm="1">
        <f t="array" ref="M26">DeltaC($A$26,$B$2,M23,$D$2,$E$2,$F$2)</f>
        <v>0.22070207540533249</v>
      </c>
      <c r="N26" s="4" cm="1">
        <f t="array" ref="N26">DeltaC($A$26,$B$2,N23,$D$2,$E$2,$F$2)</f>
        <v>0.27702998118727484</v>
      </c>
      <c r="O26" s="5" cm="1">
        <f t="array" ref="O26">DeltaC($A$26,$B$2,O23,$D$2,$E$2,$F$2)</f>
        <v>0.32199074177395015</v>
      </c>
      <c r="S26" s="1">
        <v>70</v>
      </c>
      <c r="T26" s="4" cm="1">
        <f t="array" ref="T26">DeltaC(S26,$B$2,$T$23,$D$2,$E$2,$F$3)</f>
        <v>1.0707610281507444E-4</v>
      </c>
      <c r="U26" s="4" cm="1">
        <f t="array" ref="U26">DeltaC(S26,$B$2,$U$23,$D$2,$E$2,$F$3)</f>
        <v>4.9901816736536639E-3</v>
      </c>
      <c r="V26" s="4" cm="1">
        <f t="array" ref="V26">DeltaC(S26,$B$2,$V$23,$D$2,$E$2,$F$3)</f>
        <v>1.9214994632873038E-2</v>
      </c>
      <c r="W26" s="4" cm="1">
        <f t="array" ref="W26">DeltaC(S26,$B$2,$W$23,$D$2,$E$2,$F$3)</f>
        <v>3.8875096230606622E-2</v>
      </c>
      <c r="X26" s="4" cm="1">
        <f t="array" ref="X26">DeltaC(S26,$B$2,$X$23,$D$2,$E$2,$F$3)</f>
        <v>6.0361557489523619E-2</v>
      </c>
      <c r="Y26" s="4" cm="1">
        <f t="array" ref="Y26">DeltaC(S26,$B$2,$Y$23,$D$2,$E$2,$F$3)</f>
        <v>8.1828768636166921E-2</v>
      </c>
      <c r="Z26" s="4" cm="1">
        <f t="array" ref="Z26">DeltaC(S26,$B$2,$Z$23,$D$2,$E$2,$F$3)</f>
        <v>0.1024633918843465</v>
      </c>
      <c r="AA26" s="4" cm="1">
        <f t="array" ref="AA26">DeltaC(S26,$B$2,$AA$23,$D$2,$E$2,$F$3)</f>
        <v>0.12195471445596062</v>
      </c>
      <c r="AB26" s="4" cm="1">
        <f t="array" ref="AB26">DeltaC(S26,$B$2,$AB$23,$D$2,$E$2,$F$3)</f>
        <v>0.1402263966706617</v>
      </c>
      <c r="AC26" s="4" cm="1">
        <f t="array" ref="AC26">DeltaC(S26,$B$2,$AC$23,$D$2,$E$2,$F$3)</f>
        <v>0.15730806721544691</v>
      </c>
      <c r="AD26" s="4" cm="1">
        <f t="array" ref="AD26">DeltaC(S26,$B$2,$AD$23,$D$2,$E$2,$F$3)</f>
        <v>0.28047924339879654</v>
      </c>
      <c r="AE26" s="4" cm="1">
        <f t="array" ref="AE26">DeltaC(S26,$B$2,$AE$23,$D$2,$E$2,$F$3)</f>
        <v>0.35610910688425379</v>
      </c>
      <c r="AF26" s="4" cm="1">
        <f t="array" ref="AF26">DeltaC(S26,$B$2,$AF$23,$D$2,$E$2,$F$3)</f>
        <v>0.40990413904026229</v>
      </c>
      <c r="AG26" s="5" cm="1">
        <f t="array" ref="AG26">DeltaC(S26,$B$2,$AG$23,$D$2,$E$2,$F$3)</f>
        <v>0.45154699490085998</v>
      </c>
      <c r="AK26" s="1">
        <v>70</v>
      </c>
      <c r="AL26" s="4" cm="1">
        <f t="array" ref="AL26">DeltaC(AK26,$B$2,$AL$23,$D$2,$E$2,$F$4)</f>
        <v>1.4260381787833992E-29</v>
      </c>
      <c r="AM26" s="4" cm="1">
        <f t="array" ref="AM26">DeltaC(AK26,$B$2,$AM$23,$D$2,$E$2,$F$4)</f>
        <v>1.3034623767509508E-15</v>
      </c>
      <c r="AN26" s="4" cm="1">
        <f t="array" ref="AN26">DeltaC(AK26,$B$2,$AN$23,$D$2,$E$2,$F$4)</f>
        <v>6.3883719199083708E-11</v>
      </c>
      <c r="AO26" s="4" cm="1">
        <f t="array" ref="AO26">DeltaC(AK26,$B$2,$AO$23,$D$2,$E$2,$F$4)</f>
        <v>1.4726488482514407E-8</v>
      </c>
      <c r="AP26" s="4" cm="1">
        <f t="array" ref="AP26">DeltaC(AK26,$B$2,$AP$23,$D$2,$E$2,$F$4)</f>
        <v>3.9447858056893467E-7</v>
      </c>
      <c r="AQ26" s="4" cm="1">
        <f t="array" ref="AQ26">DeltaC(AK26,$B$2,$AQ$23,$D$2,$E$2,$F$4)</f>
        <v>3.5869233961988961E-6</v>
      </c>
      <c r="AR26" s="4" cm="1">
        <f t="array" ref="AR26">DeltaC(AK26,$B$2,$AR$23,$D$2,$E$2,$F$4)</f>
        <v>1.7549254029347776E-5</v>
      </c>
      <c r="AS26" s="4" cm="1">
        <f t="array" ref="AS26">DeltaC(AK26,$B$2,$AS$23,$D$2,$E$2,$F$4)</f>
        <v>5.8200883657871402E-5</v>
      </c>
      <c r="AT26" s="4" cm="1">
        <f t="array" ref="AT26">DeltaC(AK26,$B$2,$AT$23,$D$2,$E$2,$F$4)</f>
        <v>1.4879923588186921E-4</v>
      </c>
      <c r="AU26" s="4" cm="1">
        <f t="array" ref="AU26">DeltaC(AK26,$B$2,$AU$23,$D$2,$E$2,$F$4)</f>
        <v>3.1686788675612439E-4</v>
      </c>
      <c r="AV26" s="4" cm="1">
        <f t="array" ref="AV26">DeltaC(AK26,$B$2,$AV$23,$D$2,$E$2,$F$4)</f>
        <v>1.0445719216560184E-2</v>
      </c>
      <c r="AW26" s="4" cm="1">
        <f t="array" ref="AW26">DeltaC(AK26,$B$2,$AW$23,$D$2,$E$2,$F$4)</f>
        <v>3.5973278929724198E-2</v>
      </c>
      <c r="AX26" s="4" cm="1">
        <f t="array" ref="AX26">DeltaC(AK26,$B$2,$AX$23,$D$2,$E$2,$F$4)</f>
        <v>6.8987440114615495E-2</v>
      </c>
      <c r="AY26" s="5" cm="1">
        <f t="array" ref="AY26">DeltaC(AK26,$B$2,$AY$23,$D$2,$E$2,$F$4)</f>
        <v>0.10389085170754279</v>
      </c>
    </row>
    <row r="27" spans="1:51" x14ac:dyDescent="0.3">
      <c r="A27" s="1">
        <v>75</v>
      </c>
      <c r="B27" s="4" cm="1">
        <f t="array" ref="B27">DeltaC($A$27,$B$2,B23,$D$2,$E$2,$F$2)</f>
        <v>3.3782456328086734E-6</v>
      </c>
      <c r="C27" s="4" cm="1">
        <f t="array" ref="C27">DeltaC($A$27,$B$2,C23,$D$2,$E$2,$F$2)</f>
        <v>8.1830678243053191E-4</v>
      </c>
      <c r="D27" s="4" cm="1">
        <f t="array" ref="D27">DeltaC($A$27,$B$2,D23,$D$2,$E$2,$F$2)</f>
        <v>5.4794346275411467E-3</v>
      </c>
      <c r="E27" s="4" cm="1">
        <f t="array" ref="E27">DeltaC($A$27,$B$2,E23,$D$2,$E$2,$F$2)</f>
        <v>1.4648825269289092E-2</v>
      </c>
      <c r="F27" s="4" cm="1">
        <f t="array" ref="F27">DeltaC($A$27,$B$2,F23,$D$2,$E$2,$F$2)</f>
        <v>2.6918022682862655E-2</v>
      </c>
      <c r="G27" s="4" cm="1">
        <f t="array" ref="G27">DeltaC($A$27,$B$2,G23,$D$2,$E$2,$F$2)</f>
        <v>4.0860172111759581E-2</v>
      </c>
      <c r="H27" s="4" cm="1">
        <f t="array" ref="H27">DeltaC($A$27,$B$2,H23,$D$2,$E$2,$F$2)</f>
        <v>5.5498237073536447E-2</v>
      </c>
      <c r="I27" s="4" cm="1">
        <f t="array" ref="I27">DeltaC($A$27,$B$2,I23,$D$2,$E$2,$F$2)</f>
        <v>7.0237080583764377E-2</v>
      </c>
      <c r="J27" s="4" cm="1">
        <f t="array" ref="J27">DeltaC($A$27,$B$2,J23,$D$2,$E$2,$F$2)</f>
        <v>8.4734011793984806E-2</v>
      </c>
      <c r="K27" s="4" cm="1">
        <f t="array" ref="K27">DeltaC($A$27,$B$2,K23,$D$2,$E$2,$F$2)</f>
        <v>9.88015767617475E-2</v>
      </c>
      <c r="L27" s="4" cm="1">
        <f t="array" ref="L27">DeltaC($A$27,$B$2,L23,$D$2,$E$2,$F$2)</f>
        <v>0.2104162779758797</v>
      </c>
      <c r="M27" s="4" cm="1">
        <f t="array" ref="M27">DeltaC($A$27,$B$2,M23,$D$2,$E$2,$F$2)</f>
        <v>0.2841154119321706</v>
      </c>
      <c r="N27" s="4" cm="1">
        <f t="array" ref="N27">DeltaC($A$27,$B$2,N23,$D$2,$E$2,$F$2)</f>
        <v>0.33753309294546507</v>
      </c>
      <c r="O27" s="5" cm="1">
        <f t="array" ref="O27">DeltaC($A$27,$B$2,O23,$D$2,$E$2,$F$2)</f>
        <v>0.37909196897565967</v>
      </c>
      <c r="S27" s="1">
        <v>75</v>
      </c>
      <c r="T27" s="4" cm="1">
        <f t="array" ref="T27">DeltaC(S27,$B$2,$T$23,$D$2,$E$2,$F$3)</f>
        <v>1.4675225785184855E-3</v>
      </c>
      <c r="U27" s="4" cm="1">
        <f t="array" ref="U27">DeltaC(S27,$B$2,$U$23,$D$2,$E$2,$F$3)</f>
        <v>1.9591189701574866E-2</v>
      </c>
      <c r="V27" s="4" cm="1">
        <f t="array" ref="V27">DeltaC(S27,$B$2,$V$23,$D$2,$E$2,$F$3)</f>
        <v>4.9434506570869327E-2</v>
      </c>
      <c r="W27" s="4" cm="1">
        <f t="array" ref="W27">DeltaC(S27,$B$2,$W$23,$D$2,$E$2,$F$3)</f>
        <v>8.0716619021007019E-2</v>
      </c>
      <c r="X27" s="4" cm="1">
        <f t="array" ref="X27">DeltaC(S27,$B$2,$X$23,$D$2,$E$2,$F$3)</f>
        <v>0.11000339750396831</v>
      </c>
      <c r="Y27" s="4" cm="1">
        <f t="array" ref="Y27">DeltaC(S27,$B$2,$Y$23,$D$2,$E$2,$F$3)</f>
        <v>0.13654438951976747</v>
      </c>
      <c r="Z27" s="4" cm="1">
        <f t="array" ref="Z27">DeltaC(S27,$B$2,$Z$23,$D$2,$E$2,$F$3)</f>
        <v>0.16041221101185985</v>
      </c>
      <c r="AA27" s="4" cm="1">
        <f t="array" ref="AA27">DeltaC(S27,$B$2,$AA$23,$D$2,$E$2,$F$3)</f>
        <v>0.18189962970104834</v>
      </c>
      <c r="AB27" s="4" cm="1">
        <f t="array" ref="AB27">DeltaC(S27,$B$2,$AB$23,$D$2,$E$2,$F$3)</f>
        <v>0.20132818570829822</v>
      </c>
      <c r="AC27" s="4" cm="1">
        <f t="array" ref="AC27">DeltaC(S27,$B$2,$AC$23,$D$2,$E$2,$F$3)</f>
        <v>0.21899056011833215</v>
      </c>
      <c r="AD27" s="4" cm="1">
        <f t="array" ref="AD27">DeltaC(S27,$B$2,$AD$23,$D$2,$E$2,$F$3)</f>
        <v>0.33768091083242546</v>
      </c>
      <c r="AE27" s="4" cm="1">
        <f t="array" ref="AE27">DeltaC(S27,$B$2,$AE$23,$D$2,$E$2,$F$3)</f>
        <v>0.40667685470200449</v>
      </c>
      <c r="AF27" s="4" cm="1">
        <f t="array" ref="AF27">DeltaC(S27,$B$2,$AF$23,$D$2,$E$2,$F$3)</f>
        <v>0.4550931899299458</v>
      </c>
      <c r="AG27" s="5" cm="1">
        <f t="array" ref="AG27">DeltaC(S27,$B$2,$AG$23,$D$2,$E$2,$F$3)</f>
        <v>0.49245831881467111</v>
      </c>
      <c r="AK27" s="1">
        <v>75</v>
      </c>
      <c r="AL27" s="4" cm="1">
        <f t="array" ref="AL27">DeltaC(AK27,$B$2,$AL$23,$D$2,$E$2,$F$4)</f>
        <v>7.1568181094979558E-20</v>
      </c>
      <c r="AM27" s="4" cm="1">
        <f t="array" ref="AM27">DeltaC(AK27,$B$2,$AM$23,$D$2,$E$2,$F$4)</f>
        <v>9.7210253802256359E-11</v>
      </c>
      <c r="AN27" s="4" cm="1">
        <f t="array" ref="AN27">DeltaC(AK27,$B$2,$AN$23,$D$2,$E$2,$F$4)</f>
        <v>1.1693829518833767E-7</v>
      </c>
      <c r="AO27" s="4" cm="1">
        <f t="array" ref="AO27">DeltaC(AK27,$B$2,$AO$23,$D$2,$E$2,$F$4)</f>
        <v>4.2184867637814504E-6</v>
      </c>
      <c r="AP27" s="4" cm="1">
        <f t="array" ref="AP27">DeltaC(AK27,$B$2,$AP$23,$D$2,$E$2,$F$4)</f>
        <v>3.7104262232348042E-5</v>
      </c>
      <c r="AQ27" s="4" cm="1">
        <f t="array" ref="AQ27">DeltaC(AK27,$B$2,$AQ$23,$D$2,$E$2,$F$4)</f>
        <v>1.6047856986437583E-4</v>
      </c>
      <c r="AR27" s="4" cm="1">
        <f t="array" ref="AR27">DeltaC(AK27,$B$2,$AR$23,$D$2,$E$2,$F$4)</f>
        <v>4.6157184850289515E-4</v>
      </c>
      <c r="AS27" s="4" cm="1">
        <f t="array" ref="AS27">DeltaC(AK27,$B$2,$AS$23,$D$2,$E$2,$F$4)</f>
        <v>1.0273171406440314E-3</v>
      </c>
      <c r="AT27" s="4" cm="1">
        <f t="array" ref="AT27">DeltaC(AK27,$B$2,$AT$23,$D$2,$E$2,$F$4)</f>
        <v>1.9253955209529885E-3</v>
      </c>
      <c r="AU27" s="4" cm="1">
        <f t="array" ref="AU27">DeltaC(AK27,$B$2,$AU$23,$D$2,$E$2,$F$4)</f>
        <v>3.1973886164727121E-3</v>
      </c>
      <c r="AV27" s="4" cm="1">
        <f t="array" ref="AV27">DeltaC(AK27,$B$2,$AV$23,$D$2,$E$2,$F$4)</f>
        <v>3.4220862001572698E-2</v>
      </c>
      <c r="AW27" s="4" cm="1">
        <f t="array" ref="AW27">DeltaC(AK27,$B$2,$AW$23,$D$2,$E$2,$F$4)</f>
        <v>8.0588258967957058E-2</v>
      </c>
      <c r="AX27" s="4" cm="1">
        <f t="array" ref="AX27">DeltaC(AK27,$B$2,$AX$23,$D$2,$E$2,$F$4)</f>
        <v>0.127474584567597</v>
      </c>
      <c r="AY27" s="5" cm="1">
        <f t="array" ref="AY27">DeltaC(AK27,$B$2,$AY$23,$D$2,$E$2,$F$4)</f>
        <v>0.17076585813219761</v>
      </c>
    </row>
    <row r="28" spans="1:51" x14ac:dyDescent="0.3">
      <c r="A28" s="1">
        <v>80</v>
      </c>
      <c r="B28" s="4" cm="1">
        <f t="array" ref="B28">DeltaC($A$28,$B$2,B23,$D$2,$E$2,$F$2)</f>
        <v>2.4998248472572982E-4</v>
      </c>
      <c r="C28" s="4" cm="1">
        <f t="array" ref="C28">DeltaC($A$28,$B$2,C23,$D$2,$E$2,$F$2)</f>
        <v>7.5966424381891376E-3</v>
      </c>
      <c r="D28" s="4" cm="1">
        <f t="array" ref="D28">DeltaC($A$28,$B$2,D23,$D$2,$E$2,$F$2)</f>
        <v>2.5300139283739118E-2</v>
      </c>
      <c r="E28" s="4" cm="1">
        <f t="array" ref="E28">DeltaC($A$28,$B$2,E23,$D$2,$E$2,$F$2)</f>
        <v>4.7535275559280651E-2</v>
      </c>
      <c r="F28" s="4" cm="1">
        <f t="array" ref="F28">DeltaC($A$28,$B$2,F23,$D$2,$E$2,$F$2)</f>
        <v>7.0537829580775729E-2</v>
      </c>
      <c r="G28" s="4" cm="1">
        <f t="array" ref="G28">DeltaC($A$28,$B$2,G23,$D$2,$E$2,$F$2)</f>
        <v>9.2718991154622676E-2</v>
      </c>
      <c r="H28" s="4" cm="1">
        <f t="array" ref="H28">DeltaC($A$28,$B$2,H23,$D$2,$E$2,$F$2)</f>
        <v>0.11351617326502479</v>
      </c>
      <c r="I28" s="4" cm="1">
        <f t="array" ref="I28">DeltaC($A$28,$B$2,I23,$D$2,$E$2,$F$2)</f>
        <v>0.1328013323700564</v>
      </c>
      <c r="J28" s="4" cm="1">
        <f t="array" ref="J28">DeltaC($A$28,$B$2,J23,$D$2,$E$2,$F$2)</f>
        <v>0.15062248475458553</v>
      </c>
      <c r="K28" s="4" cm="1">
        <f t="array" ref="K28">DeltaC($A$28,$B$2,K23,$D$2,$E$2,$F$2)</f>
        <v>0.16709271590694216</v>
      </c>
      <c r="L28" s="4" cm="1">
        <f t="array" ref="L28">DeltaC($A$28,$B$2,L23,$D$2,$E$2,$F$2)</f>
        <v>0.2820374343620774</v>
      </c>
      <c r="M28" s="4" cm="1">
        <f t="array" ref="M28">DeltaC($A$28,$B$2,M23,$D$2,$E$2,$F$2)</f>
        <v>0.35035866509647884</v>
      </c>
      <c r="N28" s="4" cm="1">
        <f t="array" ref="N28">DeltaC($A$28,$B$2,N23,$D$2,$E$2,$F$2)</f>
        <v>0.39825791110296044</v>
      </c>
      <c r="O28" s="5" cm="1">
        <f t="array" ref="O28">DeltaC($A$28,$B$2,O23,$D$2,$E$2,$F$2)</f>
        <v>0.4350411483736476</v>
      </c>
      <c r="S28" s="1">
        <v>80</v>
      </c>
      <c r="T28" s="4" cm="1">
        <f t="array" ref="T28">DeltaC(S28,$B$2,$T$23,$D$2,$E$2,$F$3)</f>
        <v>1.0890526735845741E-2</v>
      </c>
      <c r="U28" s="4" cm="1">
        <f t="array" ref="U28">DeltaC(S28,$B$2,$U$23,$D$2,$E$2,$F$3)</f>
        <v>5.6913337986291397E-2</v>
      </c>
      <c r="V28" s="4" cm="1">
        <f t="array" ref="V28">DeltaC(S28,$B$2,$V$23,$D$2,$E$2,$F$3)</f>
        <v>0.10426956463923273</v>
      </c>
      <c r="W28" s="4" cm="1">
        <f t="array" ref="W28">DeltaC(S28,$B$2,$W$23,$D$2,$E$2,$F$3)</f>
        <v>0.14454509647225661</v>
      </c>
      <c r="X28" s="4" cm="1">
        <f t="array" ref="X28">DeltaC(S28,$B$2,$X$23,$D$2,$E$2,$F$3)</f>
        <v>0.17819321540160804</v>
      </c>
      <c r="Y28" s="4" cm="1">
        <f t="array" ref="Y28">DeltaC(S28,$B$2,$Y$23,$D$2,$E$2,$F$3)</f>
        <v>0.20660792036453604</v>
      </c>
      <c r="Z28" s="4" cm="1">
        <f t="array" ref="Z28">DeltaC(S28,$B$2,$Z$23,$D$2,$E$2,$F$3)</f>
        <v>0.23097566222627239</v>
      </c>
      <c r="AA28" s="4" cm="1">
        <f t="array" ref="AA28">DeltaC(S28,$B$2,$AA$23,$D$2,$E$2,$F$3)</f>
        <v>0.2521853492329863</v>
      </c>
      <c r="AB28" s="4" cm="1">
        <f t="array" ref="AB28">DeltaC(S28,$B$2,$AB$23,$D$2,$E$2,$F$3)</f>
        <v>0.27089074616784542</v>
      </c>
      <c r="AC28" s="4" cm="1">
        <f t="array" ref="AC28">DeltaC(S28,$B$2,$AC$23,$D$2,$E$2,$F$3)</f>
        <v>0.28757654881407341</v>
      </c>
      <c r="AD28" s="4" cm="1">
        <f t="array" ref="AD28">DeltaC(S28,$B$2,$AD$23,$D$2,$E$2,$F$3)</f>
        <v>0.39485704248118841</v>
      </c>
      <c r="AE28" s="4" cm="1">
        <f t="array" ref="AE28">DeltaC(S28,$B$2,$AE$23,$D$2,$E$2,$F$3)</f>
        <v>0.45545241211238535</v>
      </c>
      <c r="AF28" s="4" cm="1">
        <f t="array" ref="AF28">DeltaC(S28,$B$2,$AF$23,$D$2,$E$2,$F$3)</f>
        <v>0.49790985034594043</v>
      </c>
      <c r="AG28" s="5" cm="1">
        <f t="array" ref="AG28">DeltaC(S28,$B$2,$AG$23,$D$2,$E$2,$F$3)</f>
        <v>0.53080875955769424</v>
      </c>
      <c r="AK28" s="1">
        <v>80</v>
      </c>
      <c r="AL28" s="4" cm="1">
        <f t="array" ref="AL28">DeltaC(AK28,$B$2,$AL$23,$D$2,$E$2,$F$4)</f>
        <v>1.2002701474206063E-12</v>
      </c>
      <c r="AM28" s="4" cm="1">
        <f t="array" ref="AM28">DeltaC(AK28,$B$2,$AM$23,$D$2,$E$2,$F$4)</f>
        <v>4.2709800292238633E-7</v>
      </c>
      <c r="AN28" s="4" cm="1">
        <f t="array" ref="AN28">DeltaC(AK28,$B$2,$AN$23,$D$2,$E$2,$F$4)</f>
        <v>3.2777591453569817E-5</v>
      </c>
      <c r="AO28" s="4" cm="1">
        <f t="array" ref="AO28">DeltaC(AK28,$B$2,$AO$23,$D$2,$E$2,$F$4)</f>
        <v>2.9809587513643615E-4</v>
      </c>
      <c r="AP28" s="4" cm="1">
        <f t="array" ref="AP28">DeltaC(AK28,$B$2,$AP$23,$D$2,$E$2,$F$4)</f>
        <v>1.1455014907192074E-3</v>
      </c>
      <c r="AQ28" s="4" cm="1">
        <f t="array" ref="AQ28">DeltaC(AK28,$B$2,$AQ$23,$D$2,$E$2,$F$4)</f>
        <v>2.8497945838167151E-3</v>
      </c>
      <c r="AR28" s="4" cm="1">
        <f t="array" ref="AR28">DeltaC(AK28,$B$2,$AR$23,$D$2,$E$2,$F$4)</f>
        <v>5.5176887334378597E-3</v>
      </c>
      <c r="AS28" s="4" cm="1">
        <f t="array" ref="AS28">DeltaC(AK28,$B$2,$AS$23,$D$2,$E$2,$F$4)</f>
        <v>9.1213054737095019E-3</v>
      </c>
      <c r="AT28" s="4" cm="1">
        <f t="array" ref="AT28">DeltaC(AK28,$B$2,$AT$23,$D$2,$E$2,$F$4)</f>
        <v>1.3558236229164239E-2</v>
      </c>
      <c r="AU28" s="4" cm="1">
        <f t="array" ref="AU28">DeltaC(AK28,$B$2,$AU$23,$D$2,$E$2,$F$4)</f>
        <v>1.8697030468110387E-2</v>
      </c>
      <c r="AV28" s="4" cm="1">
        <f t="array" ref="AV28">DeltaC(AK28,$B$2,$AV$23,$D$2,$E$2,$F$4)</f>
        <v>8.6011681908250939E-2</v>
      </c>
      <c r="AW28" s="4" cm="1">
        <f t="array" ref="AW28">DeltaC(AK28,$B$2,$AW$23,$D$2,$E$2,$F$4)</f>
        <v>0.15185446032881006</v>
      </c>
      <c r="AX28" s="4" cm="1">
        <f t="array" ref="AX28">DeltaC(AK28,$B$2,$AX$23,$D$2,$E$2,$F$4)</f>
        <v>0.20733079045218472</v>
      </c>
      <c r="AY28" s="5" cm="1">
        <f t="array" ref="AY28">DeltaC(AK28,$B$2,$AY$23,$D$2,$E$2,$F$4)</f>
        <v>0.25381961865942948</v>
      </c>
    </row>
    <row r="29" spans="1:51" x14ac:dyDescent="0.3">
      <c r="A29" s="1">
        <v>85</v>
      </c>
      <c r="B29" s="4" cm="1">
        <f t="array" ref="B29">DeltaC($A$29,$B$2,B23,$D$2,$E$2,$F$2)</f>
        <v>5.830908137902522E-3</v>
      </c>
      <c r="C29" s="4" cm="1">
        <f t="array" ref="C29">DeltaC($A$29,$B$2,C23,$D$2,$E$2,$F$2)</f>
        <v>4.006477982445996E-2</v>
      </c>
      <c r="D29" s="4" cm="1">
        <f t="array" ref="D29">DeltaC($A$29,$B$2,D23,$D$2,$E$2,$F$2)</f>
        <v>8.0542811303141545E-2</v>
      </c>
      <c r="E29" s="4" cm="1">
        <f t="array" ref="E29">DeltaC($A$29,$B$2,E23,$D$2,$E$2,$F$2)</f>
        <v>0.11703172121234477</v>
      </c>
      <c r="F29" s="4" cm="1">
        <f t="array" ref="F29">DeltaC($A$29,$B$2,F23,$D$2,$E$2,$F$2)</f>
        <v>0.14844720364554423</v>
      </c>
      <c r="G29" s="4" cm="1">
        <f t="array" ref="G29">DeltaC($A$29,$B$2,G23,$D$2,$E$2,$F$2)</f>
        <v>0.17544466250951118</v>
      </c>
      <c r="H29" s="4" cm="1">
        <f t="array" ref="H29">DeltaC($A$29,$B$2,H23,$D$2,$E$2,$F$2)</f>
        <v>0.19884963648426759</v>
      </c>
      <c r="I29" s="4" cm="1">
        <f t="array" ref="I29">DeltaC($A$29,$B$2,I23,$D$2,$E$2,$F$2)</f>
        <v>0.21936358982447046</v>
      </c>
      <c r="J29" s="4" cm="1">
        <f t="array" ref="J29">DeltaC($A$29,$B$2,J23,$D$2,$E$2,$F$2)</f>
        <v>0.23753708342668742</v>
      </c>
      <c r="K29" s="4" cm="1">
        <f t="array" ref="K29">DeltaC($A$29,$B$2,K23,$D$2,$E$2,$F$2)</f>
        <v>0.2537950995737065</v>
      </c>
      <c r="L29" s="4" cm="1">
        <f t="array" ref="L29">DeltaC($A$29,$B$2,L23,$D$2,$E$2,$F$2)</f>
        <v>0.35850447187481504</v>
      </c>
      <c r="M29" s="4" cm="1">
        <f t="array" ref="M29">DeltaC($A$29,$B$2,M23,$D$2,$E$2,$F$2)</f>
        <v>0.4170898070097771</v>
      </c>
      <c r="N29" s="4" cm="1">
        <f t="array" ref="N29">DeltaC($A$29,$B$2,N23,$D$2,$E$2,$F$2)</f>
        <v>0.45767322745215844</v>
      </c>
      <c r="O29" s="5" cm="1">
        <f t="array" ref="O29">DeltaC($A$29,$B$2,O23,$D$2,$E$2,$F$2)</f>
        <v>0.48883379634600066</v>
      </c>
      <c r="S29" s="1">
        <v>85</v>
      </c>
      <c r="T29" s="4" cm="1">
        <f t="array" ref="T29">DeltaC(S29,$B$2,$T$23,$D$2,$E$2,$F$3)</f>
        <v>4.8949588230018437E-2</v>
      </c>
      <c r="U29" s="4" cm="1">
        <f t="array" ref="U29">DeltaC(S29,$B$2,$U$23,$D$2,$E$2,$F$3)</f>
        <v>0.12937396522841807</v>
      </c>
      <c r="V29" s="4" cm="1">
        <f t="array" ref="V29">DeltaC(S29,$B$2,$V$23,$D$2,$E$2,$F$3)</f>
        <v>0.1870975122113735</v>
      </c>
      <c r="W29" s="4" cm="1">
        <f t="array" ref="W29">DeltaC(S29,$B$2,$W$23,$D$2,$E$2,$F$3)</f>
        <v>0.22946806891671254</v>
      </c>
      <c r="X29" s="4" cm="1">
        <f t="array" ref="X29">DeltaC(S29,$B$2,$X$23,$D$2,$E$2,$F$3)</f>
        <v>0.26223006736843324</v>
      </c>
      <c r="Y29" s="4" cm="1">
        <f t="array" ref="Y29">DeltaC(S29,$B$2,$Y$23,$D$2,$E$2,$F$3)</f>
        <v>0.28864049524186719</v>
      </c>
      <c r="Z29" s="4" cm="1">
        <f t="array" ref="Z29">DeltaC(S29,$B$2,$Z$23,$D$2,$E$2,$F$3)</f>
        <v>0.31061663415168483</v>
      </c>
      <c r="AA29" s="4" cm="1">
        <f t="array" ref="AA29">DeltaC(S29,$B$2,$AA$23,$D$2,$E$2,$F$3)</f>
        <v>0.32935533629557545</v>
      </c>
      <c r="AB29" s="4" cm="1">
        <f t="array" ref="AB29">DeltaC(S29,$B$2,$AB$23,$D$2,$E$2,$F$3)</f>
        <v>0.3456438956868198</v>
      </c>
      <c r="AC29" s="4" cm="1">
        <f t="array" ref="AC29">DeltaC(S29,$B$2,$AC$23,$D$2,$E$2,$F$3)</f>
        <v>0.36002333083467097</v>
      </c>
      <c r="AD29" s="4" cm="1">
        <f t="array" ref="AD29">DeltaC(S29,$B$2,$AD$23,$D$2,$E$2,$F$3)</f>
        <v>0.45074144633462454</v>
      </c>
      <c r="AE29" s="4" cm="1">
        <f t="array" ref="AE29">DeltaC(S29,$B$2,$AE$23,$D$2,$E$2,$F$3)</f>
        <v>0.50190487130170336</v>
      </c>
      <c r="AF29" s="4" cm="1">
        <f t="array" ref="AF29">DeltaC(S29,$B$2,$AF$23,$D$2,$E$2,$F$3)</f>
        <v>0.53816099984174448</v>
      </c>
      <c r="AG29" s="5" cm="1">
        <f t="array" ref="AG29">DeltaC(S29,$B$2,$AG$23,$D$2,$E$2,$F$3)</f>
        <v>0.56658125708655704</v>
      </c>
      <c r="AK29" s="1">
        <v>85</v>
      </c>
      <c r="AL29" s="4" cm="1">
        <f t="array" ref="AL29">DeltaC(AK29,$B$2,$AL$23,$D$2,$E$2,$F$4)</f>
        <v>1.7727866846205845E-7</v>
      </c>
      <c r="AM29" s="4" cm="1">
        <f t="array" ref="AM29">DeltaC(AK29,$B$2,$AM$23,$D$2,$E$2,$F$4)</f>
        <v>1.8057900763335667E-4</v>
      </c>
      <c r="AN29" s="4" cm="1">
        <f t="array" ref="AN29">DeltaC(AK29,$B$2,$AN$23,$D$2,$E$2,$F$4)</f>
        <v>1.9569580318317646E-3</v>
      </c>
      <c r="AO29" s="4" cm="1">
        <f t="array" ref="AO29">DeltaC(AK29,$B$2,$AO$23,$D$2,$E$2,$F$4)</f>
        <v>6.6658842436191799E-3</v>
      </c>
      <c r="AP29" s="4" cm="1">
        <f t="array" ref="AP29">DeltaC(AK29,$B$2,$AP$23,$D$2,$E$2,$F$4)</f>
        <v>1.4178971876106394E-2</v>
      </c>
      <c r="AQ29" s="4" cm="1">
        <f t="array" ref="AQ29">DeltaC(AK29,$B$2,$AQ$23,$D$2,$E$2,$F$4)</f>
        <v>2.3744049559651273E-2</v>
      </c>
      <c r="AR29" s="4" cm="1">
        <f t="array" ref="AR29">DeltaC(AK29,$B$2,$AR$23,$D$2,$E$2,$F$4)</f>
        <v>3.4610567414057034E-2</v>
      </c>
      <c r="AS29" s="4" cm="1">
        <f t="array" ref="AS29">DeltaC(AK29,$B$2,$AS$23,$D$2,$E$2,$F$4)</f>
        <v>4.6201796215212587E-2</v>
      </c>
      <c r="AT29" s="4" cm="1">
        <f t="array" ref="AT29">DeltaC(AK29,$B$2,$AT$23,$D$2,$E$2,$F$4)</f>
        <v>5.8114853573404297E-2</v>
      </c>
      <c r="AU29" s="4" cm="1">
        <f t="array" ref="AU29">DeltaC(AK29,$B$2,$AU$23,$D$2,$E$2,$F$4)</f>
        <v>7.0080829341433393E-2</v>
      </c>
      <c r="AV29" s="4" cm="1">
        <f t="array" ref="AV29">DeltaC(AK29,$B$2,$AV$23,$D$2,$E$2,$F$4)</f>
        <v>0.17436633291241277</v>
      </c>
      <c r="AW29" s="4" cm="1">
        <f t="array" ref="AW29">DeltaC(AK29,$B$2,$AW$23,$D$2,$E$2,$F$4)</f>
        <v>0.24872867527518139</v>
      </c>
      <c r="AX29" s="4" cm="1">
        <f t="array" ref="AX29">DeltaC(AK29,$B$2,$AX$23,$D$2,$E$2,$F$4)</f>
        <v>0.30411744905751403</v>
      </c>
      <c r="AY29" s="5" cm="1">
        <f t="array" ref="AY29">DeltaC(AK29,$B$2,$AY$23,$D$2,$E$2,$F$4)</f>
        <v>0.34775207052445578</v>
      </c>
    </row>
    <row r="30" spans="1:51" x14ac:dyDescent="0.3">
      <c r="A30" s="1">
        <v>90</v>
      </c>
      <c r="B30" s="4" cm="1">
        <f t="array" ref="B30">DeltaC($A$30,$B$2,B23,$D$2,$E$2,$F$2)</f>
        <v>5.2781549996934879E-2</v>
      </c>
      <c r="C30" s="4" cm="1">
        <f t="array" ref="C30">DeltaC($A$30,$B$2,C23,$D$2,$E$2,$F$2)</f>
        <v>0.13330906924780192</v>
      </c>
      <c r="D30" s="4" cm="1">
        <f t="array" ref="D30">DeltaC($A$30,$B$2,D23,$D$2,$E$2,$F$2)</f>
        <v>0.18952524812777738</v>
      </c>
      <c r="E30" s="4" cm="1">
        <f t="array" ref="E30">DeltaC($A$30,$B$2,E23,$D$2,$E$2,$F$2)</f>
        <v>0.2302330146985728</v>
      </c>
      <c r="F30" s="4" cm="1">
        <f t="array" ref="F30">DeltaC($A$30,$B$2,F23,$D$2,$E$2,$F$2)</f>
        <v>0.26142924756390218</v>
      </c>
      <c r="G30" s="4" cm="1">
        <f t="array" ref="G30">DeltaC($A$30,$B$2,G23,$D$2,$E$2,$F$2)</f>
        <v>0.28640779285454132</v>
      </c>
      <c r="H30" s="4" cm="1">
        <f t="array" ref="H30">DeltaC($A$30,$B$2,H23,$D$2,$E$2,$F$2)</f>
        <v>0.30707780777053401</v>
      </c>
      <c r="I30" s="4" cm="1">
        <f t="array" ref="I30">DeltaC($A$30,$B$2,I23,$D$2,$E$2,$F$2)</f>
        <v>0.32461969070784658</v>
      </c>
      <c r="J30" s="4" cm="1">
        <f t="array" ref="J30">DeltaC($A$30,$B$2,J23,$D$2,$E$2,$F$2)</f>
        <v>0.33980470618375225</v>
      </c>
      <c r="K30" s="4" cm="1">
        <f t="array" ref="K30">DeltaC($A$30,$B$2,K23,$D$2,$E$2,$F$2)</f>
        <v>0.35316016226972924</v>
      </c>
      <c r="L30" s="4" cm="1">
        <f t="array" ref="L30">DeltaC($A$30,$B$2,L23,$D$2,$E$2,$F$2)</f>
        <v>0.43629337610345331</v>
      </c>
      <c r="M30" s="4" cm="1">
        <f t="array" ref="M30">DeltaC($A$30,$B$2,M23,$D$2,$E$2,$F$2)</f>
        <v>0.48231590099564642</v>
      </c>
      <c r="N30" s="4" cm="1">
        <f t="array" ref="N30">DeltaC($A$30,$B$2,N23,$D$2,$E$2,$F$2)</f>
        <v>0.51459751428423428</v>
      </c>
      <c r="O30" s="5" cm="1">
        <f t="array" ref="O30">DeltaC($A$30,$B$2,O23,$D$2,$E$2,$F$2)</f>
        <v>0.53975516312316763</v>
      </c>
      <c r="S30" s="1">
        <v>90</v>
      </c>
      <c r="T30" s="4" cm="1">
        <f t="array" ref="T30">DeltaC(S30,$B$2,$T$23,$D$2,$E$2,$F$3)</f>
        <v>0.14625707559799994</v>
      </c>
      <c r="U30" s="4" cm="1">
        <f t="array" ref="U30">DeltaC(S30,$B$2,$U$23,$D$2,$E$2,$F$3)</f>
        <v>0.24092762709076576</v>
      </c>
      <c r="V30" s="4" cm="1">
        <f t="array" ref="V30">DeltaC(S30,$B$2,$V$23,$D$2,$E$2,$F$3)</f>
        <v>0.29432689998056172</v>
      </c>
      <c r="W30" s="4" cm="1">
        <f t="array" ref="W30">DeltaC(S30,$B$2,$W$23,$D$2,$E$2,$F$3)</f>
        <v>0.33020452050949323</v>
      </c>
      <c r="X30" s="4" cm="1">
        <f t="array" ref="X30">DeltaC(S30,$B$2,$X$23,$D$2,$E$2,$F$3)</f>
        <v>0.35679534006601854</v>
      </c>
      <c r="Y30" s="4" cm="1">
        <f t="array" ref="Y30">DeltaC(S30,$B$2,$Y$23,$D$2,$E$2,$F$3)</f>
        <v>0.37775204713439936</v>
      </c>
      <c r="Z30" s="4" cm="1">
        <f t="array" ref="Z30">DeltaC(S30,$B$2,$Z$23,$D$2,$E$2,$F$3)</f>
        <v>0.39497379522555537</v>
      </c>
      <c r="AA30" s="4" cm="1">
        <f t="array" ref="AA30">DeltaC(S30,$B$2,$AA$23,$D$2,$E$2,$F$3)</f>
        <v>0.4095599317357414</v>
      </c>
      <c r="AB30" s="4" cm="1">
        <f t="array" ref="AB30">DeltaC(S30,$B$2,$AB$23,$D$2,$E$2,$F$3)</f>
        <v>0.42219791583544131</v>
      </c>
      <c r="AC30" s="4" cm="1">
        <f t="array" ref="AC30">DeltaC(S30,$B$2,$AC$23,$D$2,$E$2,$F$3)</f>
        <v>0.43334341092094791</v>
      </c>
      <c r="AD30" s="4" cm="1">
        <f t="array" ref="AD30">DeltaC(S30,$B$2,$AD$23,$D$2,$E$2,$F$3)</f>
        <v>0.50436249428511837</v>
      </c>
      <c r="AE30" s="4" cm="1">
        <f t="array" ref="AE30">DeltaC(S30,$B$2,$AE$23,$D$2,$E$2,$F$3)</f>
        <v>0.54568875929400229</v>
      </c>
      <c r="AF30" s="4" cm="1">
        <f t="array" ref="AF30">DeltaC(S30,$B$2,$AF$23,$D$2,$E$2,$F$3)</f>
        <v>0.57576298201651444</v>
      </c>
      <c r="AG30" s="5" cm="1">
        <f t="array" ref="AG30">DeltaC(S30,$B$2,$AG$23,$D$2,$E$2,$F$3)</f>
        <v>0.59982092332225356</v>
      </c>
      <c r="AK30" s="1">
        <v>90</v>
      </c>
      <c r="AL30" s="4" cm="1">
        <f t="array" ref="AL30">DeltaC(AK30,$B$2,$AL$23,$D$2,$E$2,$F$4)</f>
        <v>5.1107517146907055E-4</v>
      </c>
      <c r="AM30" s="4" cm="1">
        <f t="array" ref="AM30">DeltaC(AK30,$B$2,$AM$23,$D$2,$E$2,$F$4)</f>
        <v>1.1044013907594808E-2</v>
      </c>
      <c r="AN30" s="4" cm="1">
        <f t="array" ref="AN30">DeltaC(AK30,$B$2,$AN$23,$D$2,$E$2,$F$4)</f>
        <v>3.2777626460407994E-2</v>
      </c>
      <c r="AO30" s="4" cm="1">
        <f t="array" ref="AO30">DeltaC(AK30,$B$2,$AO$23,$D$2,$E$2,$F$4)</f>
        <v>5.8088107987320343E-2</v>
      </c>
      <c r="AP30" s="4" cm="1">
        <f t="array" ref="AP30">DeltaC(AK30,$B$2,$AP$23,$D$2,$E$2,$F$4)</f>
        <v>8.3185859132694412E-2</v>
      </c>
      <c r="AQ30" s="4" cm="1">
        <f t="array" ref="AQ30">DeltaC(AK30,$B$2,$AQ$23,$D$2,$E$2,$F$4)</f>
        <v>0.10674814223186854</v>
      </c>
      <c r="AR30" s="4" cm="1">
        <f t="array" ref="AR30">DeltaC(AK30,$B$2,$AR$23,$D$2,$E$2,$F$4)</f>
        <v>0.12843922086837087</v>
      </c>
      <c r="AS30" s="4" cm="1">
        <f t="array" ref="AS30">DeltaC(AK30,$B$2,$AS$23,$D$2,$E$2,$F$4)</f>
        <v>0.14828843430084729</v>
      </c>
      <c r="AT30" s="4" cm="1">
        <f t="array" ref="AT30">DeltaC(AK30,$B$2,$AT$23,$D$2,$E$2,$F$4)</f>
        <v>0.1664485667707323</v>
      </c>
      <c r="AU30" s="4" cm="1">
        <f t="array" ref="AU30">DeltaC(AK30,$B$2,$AU$23,$D$2,$E$2,$F$4)</f>
        <v>0.18310240300676622</v>
      </c>
      <c r="AV30" s="4" cm="1">
        <f t="array" ref="AV30">DeltaC(AK30,$B$2,$AV$23,$D$2,$E$2,$F$4)</f>
        <v>0.29705856189617319</v>
      </c>
      <c r="AW30" s="4" cm="1">
        <f t="array" ref="AW30">DeltaC(AK30,$B$2,$AW$23,$D$2,$E$2,$F$4)</f>
        <v>0.36373551072271876</v>
      </c>
      <c r="AX30" s="4" cm="1">
        <f t="array" ref="AX30">DeltaC(AK30,$B$2,$AX$23,$D$2,$E$2,$F$4)</f>
        <v>0.41028862938032845</v>
      </c>
      <c r="AY30" s="5" cm="1">
        <f t="array" ref="AY30">DeltaC(AK30,$B$2,$AY$23,$D$2,$E$2,$F$4)</f>
        <v>0.44599904247550076</v>
      </c>
    </row>
    <row r="31" spans="1:51" x14ac:dyDescent="0.3">
      <c r="A31" s="1">
        <v>95</v>
      </c>
      <c r="B31" s="4" cm="1">
        <f t="array" ref="B31">DeltaC($A$31,$B$2,B23,$D$2,$E$2,$F$2)</f>
        <v>0.22255758462414449</v>
      </c>
      <c r="C31" s="4" cm="1">
        <f t="array" ref="C31">DeltaC($A$31,$B$2,C23,$D$2,$E$2,$F$2)</f>
        <v>0.3062898934344146</v>
      </c>
      <c r="D31" s="4" cm="1">
        <f t="array" ref="D31">DeltaC($A$31,$B$2,D23,$D$2,$E$2,$F$2)</f>
        <v>0.34971752968021519</v>
      </c>
      <c r="E31" s="4" cm="1">
        <f t="array" ref="E31">DeltaC($A$31,$B$2,E23,$D$2,$E$2,$F$2)</f>
        <v>0.3780368656656477</v>
      </c>
      <c r="F31" s="4" cm="1">
        <f t="array" ref="F31">DeltaC($A$31,$B$2,F23,$D$2,$E$2,$F$2)</f>
        <v>0.39873130138189328</v>
      </c>
      <c r="G31" s="4" cm="1">
        <f t="array" ref="G31">DeltaC($A$31,$B$2,G23,$D$2,$E$2,$F$2)</f>
        <v>0.41491980008730484</v>
      </c>
      <c r="H31" s="4" cm="1">
        <f t="array" ref="H31">DeltaC($A$31,$B$2,H23,$D$2,$E$2,$F$2)</f>
        <v>0.42816924322332084</v>
      </c>
      <c r="I31" s="4" cm="1">
        <f t="array" ref="I31">DeltaC($A$31,$B$2,I23,$D$2,$E$2,$F$2)</f>
        <v>0.4393670542417723</v>
      </c>
      <c r="J31" s="4" cm="1">
        <f t="array" ref="J31">DeltaC($A$31,$B$2,J23,$D$2,$E$2,$F$2)</f>
        <v>0.4490598842795181</v>
      </c>
      <c r="K31" s="4" cm="1">
        <f t="array" ref="K31">DeltaC($A$31,$B$2,K23,$D$2,$E$2,$F$2)</f>
        <v>0.45760612784927152</v>
      </c>
      <c r="L31" s="4" cm="1">
        <f t="array" ref="L31">DeltaC($A$31,$B$2,L23,$D$2,$E$2,$F$2)</f>
        <v>0.51227864232904818</v>
      </c>
      <c r="M31" s="4" cm="1">
        <f t="array" ref="M31">DeltaC($A$31,$B$2,M23,$D$2,$E$2,$F$2)</f>
        <v>0.54448388447384266</v>
      </c>
      <c r="N31" s="4" cm="1">
        <f t="array" ref="N31">DeltaC($A$31,$B$2,N23,$D$2,$E$2,$F$2)</f>
        <v>0.56818955220522305</v>
      </c>
      <c r="O31" s="5" cm="1">
        <f t="array" ref="O31">DeltaC($A$31,$B$2,O23,$D$2,$E$2,$F$2)</f>
        <v>0.58734278687654107</v>
      </c>
      <c r="S31" s="1">
        <v>95</v>
      </c>
      <c r="T31" s="4" cm="1">
        <f t="array" ref="T31">DeltaC(S31,$B$2,$T$23,$D$2,$E$2,$F$3)</f>
        <v>0.31465306570218488</v>
      </c>
      <c r="U31" s="4" cm="1">
        <f t="array" ref="U31">DeltaC(S31,$B$2,$U$23,$D$2,$E$2,$F$3)</f>
        <v>0.3819633040789554</v>
      </c>
      <c r="V31" s="4" cm="1">
        <f t="array" ref="V31">DeltaC(S31,$B$2,$V$23,$D$2,$E$2,$F$3)</f>
        <v>0.4161528933790935</v>
      </c>
      <c r="W31" s="4" cm="1">
        <f t="array" ref="W31">DeltaC(S31,$B$2,$W$23,$D$2,$E$2,$F$3)</f>
        <v>0.43865142750198127</v>
      </c>
      <c r="X31" s="4" cm="1">
        <f t="array" ref="X31">DeltaC(S31,$B$2,$X$23,$D$2,$E$2,$F$3)</f>
        <v>0.45534721551467583</v>
      </c>
      <c r="Y31" s="4" cm="1">
        <f t="array" ref="Y31">DeltaC(S31,$B$2,$Y$23,$D$2,$E$2,$F$3)</f>
        <v>0.46862695070489657</v>
      </c>
      <c r="Z31" s="4" cm="1">
        <f t="array" ref="Z31">DeltaC(S31,$B$2,$Z$23,$D$2,$E$2,$F$3)</f>
        <v>0.47967483058661126</v>
      </c>
      <c r="AA31" s="4" cm="1">
        <f t="array" ref="AA31">DeltaC(S31,$B$2,$AA$23,$D$2,$E$2,$F$3)</f>
        <v>0.48915788300334873</v>
      </c>
      <c r="AB31" s="4" cm="1">
        <f t="array" ref="AB31">DeltaC(S31,$B$2,$AB$23,$D$2,$E$2,$F$3)</f>
        <v>0.49748628363861269</v>
      </c>
      <c r="AC31" s="4" cm="1">
        <f t="array" ref="AC31">DeltaC(S31,$B$2,$AC$23,$D$2,$E$2,$F$3)</f>
        <v>0.50492907988438374</v>
      </c>
      <c r="AD31" s="4" cm="1">
        <f t="array" ref="AD31">DeltaC(S31,$B$2,$AD$23,$D$2,$E$2,$F$3)</f>
        <v>0.55502719539571732</v>
      </c>
      <c r="AE31" s="4" cm="1">
        <f t="array" ref="AE31">DeltaC(S31,$B$2,$AE$23,$D$2,$E$2,$F$3)</f>
        <v>0.58660823860191547</v>
      </c>
      <c r="AF31" s="4" cm="1">
        <f t="array" ref="AF31">DeltaC(S31,$B$2,$AF$23,$D$2,$E$2,$F$3)</f>
        <v>0.61071300082010072</v>
      </c>
      <c r="AG31" s="5" cm="1">
        <f t="array" ref="AG31">DeltaC(S31,$B$2,$AG$23,$D$2,$E$2,$F$3)</f>
        <v>0.63061486355917407</v>
      </c>
      <c r="AK31" s="1">
        <v>95</v>
      </c>
      <c r="AL31" s="4" cm="1">
        <f t="array" ref="AL31">DeltaC(AK31,$B$2,$AL$23,$D$2,$E$2,$F$4)</f>
        <v>5.7674144516076838E-2</v>
      </c>
      <c r="AM31" s="4" cm="1">
        <f t="array" ref="AM31">DeltaC(AK31,$B$2,$AM$23,$D$2,$E$2,$F$4)</f>
        <v>0.14009983864577799</v>
      </c>
      <c r="AN31" s="4" cm="1">
        <f t="array" ref="AN31">DeltaC(AK31,$B$2,$AN$23,$D$2,$E$2,$F$4)</f>
        <v>0.19646253524083446</v>
      </c>
      <c r="AO31" s="4" cm="1">
        <f t="array" ref="AO31">DeltaC(AK31,$B$2,$AO$23,$D$2,$E$2,$F$4)</f>
        <v>0.236949408121337</v>
      </c>
      <c r="AP31" s="4" cm="1">
        <f t="array" ref="AP31">DeltaC(AK31,$B$2,$AP$23,$D$2,$E$2,$F$4)</f>
        <v>0.26784925915213059</v>
      </c>
      <c r="AQ31" s="4" cm="1">
        <f t="array" ref="AQ31">DeltaC(AK31,$B$2,$AQ$23,$D$2,$E$2,$F$4)</f>
        <v>0.29253156538610559</v>
      </c>
      <c r="AR31" s="4" cm="1">
        <f t="array" ref="AR31">DeltaC(AK31,$B$2,$AR$23,$D$2,$E$2,$F$4)</f>
        <v>0.31292611764332445</v>
      </c>
      <c r="AS31" s="4" cm="1">
        <f t="array" ref="AS31">DeltaC(AK31,$B$2,$AS$23,$D$2,$E$2,$F$4)</f>
        <v>0.33021760012856716</v>
      </c>
      <c r="AT31" s="4" cm="1">
        <f t="array" ref="AT31">DeltaC(AK31,$B$2,$AT$23,$D$2,$E$2,$F$4)</f>
        <v>0.34517641190667869</v>
      </c>
      <c r="AU31" s="4" cm="1">
        <f t="array" ref="AU31">DeltaC(AK31,$B$2,$AU$23,$D$2,$E$2,$F$4)</f>
        <v>0.35832748828828459</v>
      </c>
      <c r="AV31" s="4" cm="1">
        <f t="array" ref="AV31">DeltaC(AK31,$B$2,$AV$23,$D$2,$E$2,$F$4)</f>
        <v>0.44015891222205472</v>
      </c>
      <c r="AW31" s="4" cm="1">
        <f t="array" ref="AW31">DeltaC(AK31,$B$2,$AW$23,$D$2,$E$2,$F$4)</f>
        <v>0.48550787950516511</v>
      </c>
      <c r="AX31" s="4" cm="1">
        <f t="array" ref="AX31">DeltaC(AK31,$B$2,$AX$23,$D$2,$E$2,$F$4)</f>
        <v>0.51736188083892132</v>
      </c>
      <c r="AY31" s="5" cm="1">
        <f t="array" ref="AY31">DeltaC(AK31,$B$2,$AY$23,$D$2,$E$2,$F$4)</f>
        <v>0.54221660354441636</v>
      </c>
    </row>
    <row r="32" spans="1:51" x14ac:dyDescent="0.3">
      <c r="A32" s="1">
        <v>100</v>
      </c>
      <c r="B32" s="4" cm="1">
        <f t="array" ref="B32">DeltaC($A$32,$B$2,B23,$D$2,$E$2,$F$2)</f>
        <v>0.51891639999929629</v>
      </c>
      <c r="C32" s="4" cm="1">
        <f t="array" ref="C32">DeltaC($A$32,$B$2,C23,$D$2,$E$2,$F$2)</f>
        <v>0.5267418038869226</v>
      </c>
      <c r="D32" s="4" cm="1">
        <f t="array" ref="D32">DeltaC($A$32,$B$2,D23,$D$2,$E$2,$F$2)</f>
        <v>0.53273961671267711</v>
      </c>
      <c r="E32" s="4" cm="1">
        <f t="array" ref="E32">DeltaC($A$32,$B$2,E23,$D$2,$E$2,$F$2)</f>
        <v>0.53779029390666466</v>
      </c>
      <c r="F32" s="4" cm="1">
        <f t="array" ref="F32">DeltaC($A$32,$B$2,F23,$D$2,$E$2,$F$2)</f>
        <v>0.54223501331161406</v>
      </c>
      <c r="G32" s="4" cm="1">
        <f t="array" ref="G32">DeltaC($A$32,$B$2,G23,$D$2,$E$2,$F$2)</f>
        <v>0.54624882106468031</v>
      </c>
      <c r="H32" s="4" cm="1">
        <f t="array" ref="H32">DeltaC($A$32,$B$2,H23,$D$2,$E$2,$F$2)</f>
        <v>0.54993574324296035</v>
      </c>
      <c r="I32" s="4" cm="1">
        <f t="array" ref="I32">DeltaC($A$32,$B$2,I23,$D$2,$E$2,$F$2)</f>
        <v>0.55336358492889404</v>
      </c>
      <c r="J32" s="4" cm="1">
        <f t="array" ref="J32">DeltaC($A$32,$B$2,J23,$D$2,$E$2,$F$2)</f>
        <v>0.55657946195545982</v>
      </c>
      <c r="K32" s="4" cm="1">
        <f t="array" ref="K32">DeltaC($A$32,$B$2,K23,$D$2,$E$2,$F$2)</f>
        <v>0.5596176923702425</v>
      </c>
      <c r="L32" s="4" cm="1">
        <f t="array" ref="L32">DeltaC($A$32,$B$2,L23,$D$2,$E$2,$F$2)</f>
        <v>0.58399798571368178</v>
      </c>
      <c r="M32" s="4" cm="1">
        <f t="array" ref="M32">DeltaC($A$32,$B$2,M23,$D$2,$E$2,$F$2)</f>
        <v>0.60249391401788088</v>
      </c>
      <c r="N32" s="4" cm="1">
        <f t="array" ref="N32">DeltaC($A$32,$B$2,N23,$D$2,$E$2,$F$2)</f>
        <v>0.61791142218895267</v>
      </c>
      <c r="O32" s="5" cm="1">
        <f t="array" ref="O32">DeltaC($A$32,$B$2,O23,$D$2,$E$2,$F$2)</f>
        <v>0.63134216139179089</v>
      </c>
      <c r="S32" s="1">
        <v>100</v>
      </c>
      <c r="T32" s="4" cm="1">
        <f t="array" ref="T32">DeltaC(S32,$B$2,$T$23,$D$2,$E$2,$F$3)</f>
        <v>0.52311576495136336</v>
      </c>
      <c r="U32" s="4" cm="1">
        <f t="array" ref="U32">DeltaC(S32,$B$2,$U$23,$D$2,$E$2,$F$3)</f>
        <v>0.53267233292182181</v>
      </c>
      <c r="V32" s="4" cm="1">
        <f t="array" ref="V32">DeltaC(S32,$B$2,$V$23,$D$2,$E$2,$F$3)</f>
        <v>0.53999288758705544</v>
      </c>
      <c r="W32" s="4" cm="1">
        <f t="array" ref="W32">DeltaC(S32,$B$2,$W$23,$D$2,$E$2,$F$3)</f>
        <v>0.54615398735857767</v>
      </c>
      <c r="X32" s="4" cm="1">
        <f t="array" ref="X32">DeltaC(S32,$B$2,$X$23,$D$2,$E$2,$F$3)</f>
        <v>0.55157288637548119</v>
      </c>
      <c r="Y32" s="4" cm="1">
        <f t="array" ref="Y32">DeltaC(S32,$B$2,$Y$23,$D$2,$E$2,$F$3)</f>
        <v>0.55646370539182832</v>
      </c>
      <c r="Z32" s="4" cm="1">
        <f t="array" ref="Z32">DeltaC(S32,$B$2,$Z$23,$D$2,$E$2,$F$3)</f>
        <v>0.56095371673383299</v>
      </c>
      <c r="AA32" s="4" cm="1">
        <f t="array" ref="AA32">DeltaC(S32,$B$2,$AA$23,$D$2,$E$2,$F$3)</f>
        <v>0.56512589389530643</v>
      </c>
      <c r="AB32" s="4" cm="1">
        <f t="array" ref="AB32">DeltaC(S32,$B$2,$AB$23,$D$2,$E$2,$F$3)</f>
        <v>0.56903790416143729</v>
      </c>
      <c r="AC32" s="4" cm="1">
        <f t="array" ref="AC32">DeltaC(S32,$B$2,$AC$23,$D$2,$E$2,$F$3)</f>
        <v>0.57273175930304054</v>
      </c>
      <c r="AD32" s="4" cm="1">
        <f t="array" ref="AD32">DeltaC(S32,$B$2,$AD$23,$D$2,$E$2,$F$3)</f>
        <v>0.60228749680470339</v>
      </c>
      <c r="AE32" s="4" cm="1">
        <f t="array" ref="AE32">DeltaC(S32,$B$2,$AE$23,$D$2,$E$2,$F$3)</f>
        <v>0.62458405795544159</v>
      </c>
      <c r="AF32" s="4" cm="1">
        <f t="array" ref="AF32">DeltaC(S32,$B$2,$AF$23,$D$2,$E$2,$F$3)</f>
        <v>0.64306616326250143</v>
      </c>
      <c r="AG32" s="5" cm="1">
        <f t="array" ref="AG32">DeltaC(S32,$B$2,$AG$23,$D$2,$E$2,$F$3)</f>
        <v>0.65907714492767744</v>
      </c>
      <c r="AK32" s="1">
        <v>100</v>
      </c>
      <c r="AL32" s="4" cm="1">
        <f t="array" ref="AL32">DeltaC(AK32,$B$2,$AL$23,$D$2,$E$2,$F$4)</f>
        <v>0.51891639999929629</v>
      </c>
      <c r="AM32" s="4" cm="1">
        <f t="array" ref="AM32">DeltaC(AK32,$B$2,$AM$23,$D$2,$E$2,$F$4)</f>
        <v>0.5267418038869226</v>
      </c>
      <c r="AN32" s="4" cm="1">
        <f t="array" ref="AN32">DeltaC(AK32,$B$2,$AN$23,$D$2,$E$2,$F$4)</f>
        <v>0.53273961671267711</v>
      </c>
      <c r="AO32" s="4" cm="1">
        <f t="array" ref="AO32">DeltaC(AK32,$B$2,$AO$23,$D$2,$E$2,$F$4)</f>
        <v>0.53779029390666466</v>
      </c>
      <c r="AP32" s="4" cm="1">
        <f t="array" ref="AP32">DeltaC(AK32,$B$2,$AP$23,$D$2,$E$2,$F$4)</f>
        <v>0.54223501331161406</v>
      </c>
      <c r="AQ32" s="4" cm="1">
        <f t="array" ref="AQ32">DeltaC(AK32,$B$2,$AQ$23,$D$2,$E$2,$F$4)</f>
        <v>0.54624882106468031</v>
      </c>
      <c r="AR32" s="4" cm="1">
        <f t="array" ref="AR32">DeltaC(AK32,$B$2,$AR$23,$D$2,$E$2,$F$4)</f>
        <v>0.54993574324296035</v>
      </c>
      <c r="AS32" s="4" cm="1">
        <f t="array" ref="AS32">DeltaC(AK32,$B$2,$AS$23,$D$2,$E$2,$F$4)</f>
        <v>0.55336358492889404</v>
      </c>
      <c r="AT32" s="4" cm="1">
        <f t="array" ref="AT32">DeltaC(AK32,$B$2,$AT$23,$D$2,$E$2,$F$4)</f>
        <v>0.55657946195545982</v>
      </c>
      <c r="AU32" s="4" cm="1">
        <f t="array" ref="AU32">DeltaC(AK32,$B$2,$AU$23,$D$2,$E$2,$F$4)</f>
        <v>0.5596176923702425</v>
      </c>
      <c r="AV32" s="4" cm="1">
        <f t="array" ref="AV32">DeltaC(AK32,$B$2,$AV$23,$D$2,$E$2,$F$4)</f>
        <v>0.58399798571368178</v>
      </c>
      <c r="AW32" s="4" cm="1">
        <f t="array" ref="AW32">DeltaC(AK32,$B$2,$AW$23,$D$2,$E$2,$F$4)</f>
        <v>0.60249391401788088</v>
      </c>
      <c r="AX32" s="4" cm="1">
        <f t="array" ref="AX32">DeltaC(AK32,$B$2,$AX$23,$D$2,$E$2,$F$4)</f>
        <v>0.61791142218895267</v>
      </c>
      <c r="AY32" s="5" cm="1">
        <f t="array" ref="AY32">DeltaC(AK32,$B$2,$AY$23,$D$2,$E$2,$F$4)</f>
        <v>0.63134216139179089</v>
      </c>
    </row>
    <row r="33" spans="1:51" x14ac:dyDescent="0.3">
      <c r="A33" s="1">
        <v>105</v>
      </c>
      <c r="B33" s="4" cm="1">
        <f t="array" ref="B33">DeltaC($A$33,$B$2,B23,$D$2,$E$2,$F$2)</f>
        <v>0.79357096026156482</v>
      </c>
      <c r="C33" s="4" cm="1">
        <f t="array" ref="C33">DeltaC($A$33,$B$2,C23,$D$2,$E$2,$F$2)</f>
        <v>0.72992052908241489</v>
      </c>
      <c r="D33" s="4" cm="1">
        <f t="array" ref="D33">DeltaC($A$33,$B$2,D23,$D$2,$E$2,$F$2)</f>
        <v>0.70109401201543453</v>
      </c>
      <c r="E33" s="4" cm="1">
        <f t="array" ref="E33">DeltaC($A$33,$B$2,E23,$D$2,$E$2,$F$2)</f>
        <v>0.68459548536557635</v>
      </c>
      <c r="F33" s="4" cm="1">
        <f t="array" ref="F33">DeltaC($A$33,$B$2,F23,$D$2,$E$2,$F$2)</f>
        <v>0.67402849627857031</v>
      </c>
      <c r="G33" s="4" cm="1">
        <f t="array" ref="G33">DeltaC($A$33,$B$2,G23,$D$2,$E$2,$F$2)</f>
        <v>0.66681258720741177</v>
      </c>
      <c r="H33" s="4" cm="1">
        <f t="array" ref="H33">DeltaC($A$33,$B$2,H23,$D$2,$E$2,$F$2)</f>
        <v>0.66168859212232867</v>
      </c>
      <c r="I33" s="4" cm="1">
        <f t="array" ref="I33">DeltaC($A$33,$B$2,I23,$D$2,$E$2,$F$2)</f>
        <v>0.65796272969308234</v>
      </c>
      <c r="J33" s="4" cm="1">
        <f t="array" ref="J33">DeltaC($A$33,$B$2,J23,$D$2,$E$2,$F$2)</f>
        <v>0.65521889020886748</v>
      </c>
      <c r="K33" s="4" cm="1">
        <f t="array" ref="K33">DeltaC($A$33,$B$2,K23,$D$2,$E$2,$F$2)</f>
        <v>0.65319132580079731</v>
      </c>
      <c r="L33" s="4" cm="1">
        <f t="array" ref="L33">DeltaC($A$33,$B$2,L23,$D$2,$E$2,$F$2)</f>
        <v>0.64974470477957968</v>
      </c>
      <c r="M33" s="4" cm="1">
        <f t="array" ref="M33">DeltaC($A$33,$B$2,M23,$D$2,$E$2,$F$2)</f>
        <v>0.6556620776426314</v>
      </c>
      <c r="N33" s="4" cm="1">
        <f t="array" ref="N33">DeltaC($A$33,$B$2,N23,$D$2,$E$2,$F$2)</f>
        <v>0.66347851713393957</v>
      </c>
      <c r="O33" s="5" cm="1">
        <f t="array" ref="O33">DeltaC($A$33,$B$2,O23,$D$2,$E$2,$F$2)</f>
        <v>0.67166244266164088</v>
      </c>
      <c r="S33" s="1">
        <v>105</v>
      </c>
      <c r="T33" s="4" cm="1">
        <f t="array" ref="T33">DeltaC(S33,$B$2,$T$23,$D$2,$E$2,$F$3)</f>
        <v>0.71642998296826499</v>
      </c>
      <c r="U33" s="4" cm="1">
        <f t="array" ref="U33">DeltaC(S33,$B$2,$U$23,$D$2,$E$2,$F$3)</f>
        <v>0.67207480164598299</v>
      </c>
      <c r="V33" s="4" cm="1">
        <f t="array" ref="V33">DeltaC(S33,$B$2,$V$23,$D$2,$E$2,$F$3)</f>
        <v>0.65444283411208759</v>
      </c>
      <c r="W33" s="4" cm="1">
        <f t="array" ref="W33">DeltaC(S33,$B$2,$W$23,$D$2,$E$2,$F$3)</f>
        <v>0.64546184621426217</v>
      </c>
      <c r="X33" s="4" cm="1">
        <f t="array" ref="X33">DeltaC(S33,$B$2,$X$23,$D$2,$E$2,$F$3)</f>
        <v>0.64044005264399373</v>
      </c>
      <c r="Y33" s="4" cm="1">
        <f t="array" ref="Y33">DeltaC(S33,$B$2,$Y$23,$D$2,$E$2,$F$3)</f>
        <v>0.6375691792945577</v>
      </c>
      <c r="Z33" s="4" cm="1">
        <f t="array" ref="Z33">DeltaC(S33,$B$2,$Z$23,$D$2,$E$2,$F$3)</f>
        <v>0.63599441741087059</v>
      </c>
      <c r="AA33" s="4" cm="1">
        <f t="array" ref="AA33">DeltaC(S33,$B$2,$AA$23,$D$2,$E$2,$F$3)</f>
        <v>0.63525669084775627</v>
      </c>
      <c r="AB33" s="4" cm="1">
        <f t="array" ref="AB33">DeltaC(S33,$B$2,$AB$23,$D$2,$E$2,$F$3)</f>
        <v>0.63508678730440149</v>
      </c>
      <c r="AC33" s="4" cm="1">
        <f t="array" ref="AC33">DeltaC(S33,$B$2,$AC$23,$D$2,$E$2,$F$3)</f>
        <v>0.63531632275589001</v>
      </c>
      <c r="AD33" s="4" cm="1">
        <f t="array" ref="AD33">DeltaC(S33,$B$2,$AD$23,$D$2,$E$2,$F$3)</f>
        <v>0.64589902155139922</v>
      </c>
      <c r="AE33" s="4" cm="1">
        <f t="array" ref="AE33">DeltaC(S33,$B$2,$AE$23,$D$2,$E$2,$F$3)</f>
        <v>0.65962480217204278</v>
      </c>
      <c r="AF33" s="4" cm="1">
        <f t="array" ref="AF33">DeltaC(S33,$B$2,$AF$23,$D$2,$E$2,$F$3)</f>
        <v>0.67291748622828185</v>
      </c>
      <c r="AG33" s="5" cm="1">
        <f t="array" ref="AG33">DeltaC(S33,$B$2,$AG$23,$D$2,$E$2,$F$3)</f>
        <v>0.68533776358227261</v>
      </c>
      <c r="AK33" s="1">
        <v>105</v>
      </c>
      <c r="AL33" s="4" cm="1">
        <f t="array" ref="AL33">DeltaC(AK33,$B$2,$AL$23,$D$2,$E$2,$F$4)</f>
        <v>0.94411804837488877</v>
      </c>
      <c r="AM33" s="4" cm="1">
        <f t="array" ref="AM33">DeltaC(AK33,$B$2,$AM$23,$D$2,$E$2,$F$4)</f>
        <v>0.87658089249568349</v>
      </c>
      <c r="AN33" s="4" cm="1">
        <f t="array" ref="AN33">DeltaC(AK33,$B$2,$AN$23,$D$2,$E$2,$F$4)</f>
        <v>0.83470864554501079</v>
      </c>
      <c r="AO33" s="4" cm="1">
        <f t="array" ref="AO33">DeltaC(AK33,$B$2,$AO$23,$D$2,$E$2,$F$4)</f>
        <v>0.80683951354982264</v>
      </c>
      <c r="AP33" s="4" cm="1">
        <f t="array" ref="AP33">DeltaC(AK33,$B$2,$AP$23,$D$2,$E$2,$F$4)</f>
        <v>0.78700233026770061</v>
      </c>
      <c r="AQ33" s="4" cm="1">
        <f t="array" ref="AQ33">DeltaC(AK33,$B$2,$AQ$23,$D$2,$E$2,$F$4)</f>
        <v>0.77218677368637112</v>
      </c>
      <c r="AR33" s="4" cm="1">
        <f t="array" ref="AR33">DeltaC(AK33,$B$2,$AR$23,$D$2,$E$2,$F$4)</f>
        <v>0.76073008250523411</v>
      </c>
      <c r="AS33" s="4" cm="1">
        <f t="array" ref="AS33">DeltaC(AK33,$B$2,$AS$23,$D$2,$E$2,$F$4)</f>
        <v>0.75163843630541693</v>
      </c>
      <c r="AT33" s="4" cm="1">
        <f t="array" ref="AT33">DeltaC(AK33,$B$2,$AT$23,$D$2,$E$2,$F$4)</f>
        <v>0.74427963343394432</v>
      </c>
      <c r="AU33" s="4" cm="1">
        <f t="array" ref="AU33">DeltaC(AK33,$B$2,$AU$23,$D$2,$E$2,$F$4)</f>
        <v>0.7382311454904813</v>
      </c>
      <c r="AV33" s="4" cm="1">
        <f t="array" ref="AV33">DeltaC(AK33,$B$2,$AV$23,$D$2,$E$2,$F$4)</f>
        <v>0.71128089691736807</v>
      </c>
      <c r="AW33" s="4" cm="1">
        <f t="array" ref="AW33">DeltaC(AK33,$B$2,$AW$23,$D$2,$E$2,$F$4)</f>
        <v>0.70591773123367962</v>
      </c>
      <c r="AX33" s="4" cm="1">
        <f t="array" ref="AX33">DeltaC(AK33,$B$2,$AX$23,$D$2,$E$2,$F$4)</f>
        <v>0.70676234221741063</v>
      </c>
      <c r="AY33" s="5" cm="1">
        <f t="array" ref="AY33">DeltaC(AK33,$B$2,$AY$23,$D$2,$E$2,$F$4)</f>
        <v>0.71007589254163683</v>
      </c>
    </row>
    <row r="34" spans="1:51" x14ac:dyDescent="0.3">
      <c r="A34" s="1">
        <v>110</v>
      </c>
      <c r="B34" s="4" cm="1">
        <f t="array" ref="B34">DeltaC($A$34,$B$2,B23,$D$2,$E$2,$F$2)</f>
        <v>0.93995791805464912</v>
      </c>
      <c r="C34" s="4" cm="1">
        <f t="array" ref="C34">DeltaC($A$34,$B$2,C23,$D$2,$E$2,$F$2)</f>
        <v>0.87132614165736733</v>
      </c>
      <c r="D34" s="4" cm="1">
        <f t="array" ref="D34">DeltaC($A$34,$B$2,D23,$D$2,$E$2,$F$2)</f>
        <v>0.82950660741686155</v>
      </c>
      <c r="E34" s="4" cm="1">
        <f t="array" ref="E34">DeltaC($A$34,$B$2,E23,$D$2,$E$2,$F$2)</f>
        <v>0.80188165059672933</v>
      </c>
      <c r="F34" s="4" cm="1">
        <f t="array" ref="F34">DeltaC($A$34,$B$2,F23,$D$2,$E$2,$F$2)</f>
        <v>0.78230772963384732</v>
      </c>
      <c r="G34" s="4" cm="1">
        <f t="array" ref="G34">DeltaC($A$34,$B$2,G23,$D$2,$E$2,$F$2)</f>
        <v>0.76773686176629652</v>
      </c>
      <c r="H34" s="4" cm="1">
        <f t="array" ref="H34">DeltaC($A$34,$B$2,H23,$D$2,$E$2,$F$2)</f>
        <v>0.7564993813863905</v>
      </c>
      <c r="I34" s="4" cm="1">
        <f t="array" ref="I34">DeltaC($A$34,$B$2,I23,$D$2,$E$2,$F$2)</f>
        <v>0.74760249342748353</v>
      </c>
      <c r="J34" s="4" cm="1">
        <f t="array" ref="J34">DeltaC($A$34,$B$2,J23,$D$2,$E$2,$F$2)</f>
        <v>0.74041691025313783</v>
      </c>
      <c r="K34" s="4" cm="1">
        <f t="array" ref="K34">DeltaC($A$34,$B$2,K23,$D$2,$E$2,$F$2)</f>
        <v>0.73452316868917078</v>
      </c>
      <c r="L34" s="4" cm="1">
        <f t="array" ref="L34">DeltaC($A$34,$B$2,L23,$D$2,$E$2,$F$2)</f>
        <v>0.7085330993545631</v>
      </c>
      <c r="M34" s="4" cm="1">
        <f t="array" ref="M34">DeltaC($A$34,$B$2,M23,$D$2,$E$2,$F$2)</f>
        <v>0.70365585138940701</v>
      </c>
      <c r="N34" s="4" cm="1">
        <f t="array" ref="N34">DeltaC($A$34,$B$2,N23,$D$2,$E$2,$F$2)</f>
        <v>0.70480655105134737</v>
      </c>
      <c r="O34" s="5" cm="1">
        <f t="array" ref="O34">DeltaC($A$34,$B$2,O23,$D$2,$E$2,$F$2)</f>
        <v>0.70833606363246282</v>
      </c>
      <c r="S34" s="1">
        <v>110</v>
      </c>
      <c r="T34" s="4" cm="1">
        <f t="array" ref="T34">DeltaC(S34,$B$2,$T$23,$D$2,$E$2,$F$3)</f>
        <v>0.85602570106502907</v>
      </c>
      <c r="U34" s="4" cm="1">
        <f t="array" ref="U34">DeltaC(S34,$B$2,$U$23,$D$2,$E$2,$F$3)</f>
        <v>0.78593314054026053</v>
      </c>
      <c r="V34" s="4" cm="1">
        <f t="array" ref="V34">DeltaC(S34,$B$2,$V$23,$D$2,$E$2,$F$3)</f>
        <v>0.75189182389050946</v>
      </c>
      <c r="W34" s="4" cm="1">
        <f t="array" ref="W34">DeltaC(S34,$B$2,$W$23,$D$2,$E$2,$F$3)</f>
        <v>0.7318042573881709</v>
      </c>
      <c r="X34" s="4" cm="1">
        <f t="array" ref="X34">DeltaC(S34,$B$2,$X$23,$D$2,$E$2,$F$3)</f>
        <v>0.71868272096314856</v>
      </c>
      <c r="Y34" s="4" cm="1">
        <f t="array" ref="Y34">DeltaC(S34,$B$2,$Y$23,$D$2,$E$2,$F$3)</f>
        <v>0.70958032306564656</v>
      </c>
      <c r="Z34" s="4" cm="1">
        <f t="array" ref="Z34">DeltaC(S34,$B$2,$Z$23,$D$2,$E$2,$F$3)</f>
        <v>0.70302215257089251</v>
      </c>
      <c r="AA34" s="4" cm="1">
        <f t="array" ref="AA34">DeltaC(S34,$B$2,$AA$23,$D$2,$E$2,$F$3)</f>
        <v>0.69818182521677907</v>
      </c>
      <c r="AB34" s="4" cm="1">
        <f t="array" ref="AB34">DeltaC(S34,$B$2,$AB$23,$D$2,$E$2,$F$3)</f>
        <v>0.69455768345693381</v>
      </c>
      <c r="AC34" s="4" cm="1">
        <f t="array" ref="AC34">DeltaC(S34,$B$2,$AC$23,$D$2,$E$2,$F$3)</f>
        <v>0.69182637898167587</v>
      </c>
      <c r="AD34" s="4" cm="1">
        <f t="array" ref="AD34">DeltaC(S34,$B$2,$AD$23,$D$2,$E$2,$F$3)</f>
        <v>0.68577893776060739</v>
      </c>
      <c r="AE34" s="4" cm="1">
        <f t="array" ref="AE34">DeltaC(S34,$B$2,$AE$23,$D$2,$E$2,$F$3)</f>
        <v>0.69180288754629138</v>
      </c>
      <c r="AF34" s="4" cm="1">
        <f t="array" ref="AF34">DeltaC(S34,$B$2,$AF$23,$D$2,$E$2,$F$3)</f>
        <v>0.70038806898924744</v>
      </c>
      <c r="AG34" s="5" cm="1">
        <f t="array" ref="AG34">DeltaC(S34,$B$2,$AG$23,$D$2,$E$2,$F$3)</f>
        <v>0.70953466945632937</v>
      </c>
      <c r="AK34" s="1">
        <v>110</v>
      </c>
      <c r="AL34" s="4" cm="1">
        <f t="array" ref="AL34">DeltaC(AK34,$B$2,$AL$23,$D$2,$E$2,$F$4)</f>
        <v>0.99889850177275419</v>
      </c>
      <c r="AM34" s="4" cm="1">
        <f t="array" ref="AM34">DeltaC(AK34,$B$2,$AM$23,$D$2,$E$2,$F$4)</f>
        <v>0.98603550784275051</v>
      </c>
      <c r="AN34" s="4" cm="1">
        <f t="array" ref="AN34">DeltaC(AK34,$B$2,$AN$23,$D$2,$E$2,$F$4)</f>
        <v>0.96579345861513155</v>
      </c>
      <c r="AO34" s="4" cm="1">
        <f t="array" ref="AO34">DeltaC(AK34,$B$2,$AO$23,$D$2,$E$2,$F$4)</f>
        <v>0.94540611613468872</v>
      </c>
      <c r="AP34" s="4" cm="1">
        <f t="array" ref="AP34">DeltaC(AK34,$B$2,$AP$23,$D$2,$E$2,$F$4)</f>
        <v>0.92702067884803829</v>
      </c>
      <c r="AQ34" s="4" cm="1">
        <f t="array" ref="AQ34">DeltaC(AK34,$B$2,$AQ$23,$D$2,$E$2,$F$4)</f>
        <v>0.910951676948353</v>
      </c>
      <c r="AR34" s="4" cm="1">
        <f t="array" ref="AR34">DeltaC(AK34,$B$2,$AR$23,$D$2,$E$2,$F$4)</f>
        <v>0.8970058106562373</v>
      </c>
      <c r="AS34" s="4" cm="1">
        <f t="array" ref="AS34">DeltaC(AK34,$B$2,$AS$23,$D$2,$E$2,$F$4)</f>
        <v>0.88488455046683934</v>
      </c>
      <c r="AT34" s="4" cm="1">
        <f t="array" ref="AT34">DeltaC(AK34,$B$2,$AT$23,$D$2,$E$2,$F$4)</f>
        <v>0.87430092401455395</v>
      </c>
      <c r="AU34" s="4" cm="1">
        <f t="array" ref="AU34">DeltaC(AK34,$B$2,$AU$23,$D$2,$E$2,$F$4)</f>
        <v>0.86500851994546202</v>
      </c>
      <c r="AV34" s="4" cm="1">
        <f t="array" ref="AV34">DeltaC(AK34,$B$2,$AV$23,$D$2,$E$2,$F$4)</f>
        <v>0.81221192244611107</v>
      </c>
      <c r="AW34" s="4" cm="1">
        <f t="array" ref="AW34">DeltaC(AK34,$B$2,$AW$23,$D$2,$E$2,$F$4)</f>
        <v>0.79105324594553816</v>
      </c>
      <c r="AX34" s="4" cm="1">
        <f t="array" ref="AX34">DeltaC(AK34,$B$2,$AX$23,$D$2,$E$2,$F$4)</f>
        <v>0.78128810999478626</v>
      </c>
      <c r="AY34" s="5" cm="1">
        <f t="array" ref="AY34">DeltaC(AK34,$B$2,$AY$23,$D$2,$E$2,$F$4)</f>
        <v>0.77686562090211786</v>
      </c>
    </row>
    <row r="35" spans="1:51" x14ac:dyDescent="0.3">
      <c r="A35" s="1">
        <v>115</v>
      </c>
      <c r="B35" s="4" cm="1">
        <f t="array" ref="B35">DeltaC($A$35,$B$2,B23,$D$2,$E$2,$F$2)</f>
        <v>0.98800422406854482</v>
      </c>
      <c r="C35" s="4" cm="1">
        <f t="array" ref="C35">DeltaC($A$35,$B$2,C23,$D$2,$E$2,$F$2)</f>
        <v>0.94841416414843493</v>
      </c>
      <c r="D35" s="4" cm="1">
        <f t="array" ref="D35">DeltaC($A$35,$B$2,D23,$D$2,$E$2,$F$2)</f>
        <v>0.91276887593354383</v>
      </c>
      <c r="E35" s="4" cm="1">
        <f t="array" ref="E35">DeltaC($A$35,$B$2,E23,$D$2,$E$2,$F$2)</f>
        <v>0.88488828305391432</v>
      </c>
      <c r="F35" s="4" cm="1">
        <f t="array" ref="F35">DeltaC($A$35,$B$2,F23,$D$2,$E$2,$F$2)</f>
        <v>0.8630953437034381</v>
      </c>
      <c r="G35" s="4" cm="1">
        <f t="array" ref="G35">DeltaC($A$35,$B$2,G23,$D$2,$E$2,$F$2)</f>
        <v>0.84574392541104015</v>
      </c>
      <c r="H35" s="4" cm="1">
        <f t="array" ref="H35">DeltaC($A$35,$B$2,H23,$D$2,$E$2,$F$2)</f>
        <v>0.83165762889347106</v>
      </c>
      <c r="I35" s="4" cm="1">
        <f t="array" ref="I35">DeltaC($A$35,$B$2,I23,$D$2,$E$2,$F$2)</f>
        <v>0.82002413987768774</v>
      </c>
      <c r="J35" s="4" cm="1">
        <f t="array" ref="J35">DeltaC($A$35,$B$2,J23,$D$2,$E$2,$F$2)</f>
        <v>0.81027566906216286</v>
      </c>
      <c r="K35" s="4" cm="1">
        <f t="array" ref="K35">DeltaC($A$35,$B$2,K23,$D$2,$E$2,$F$2)</f>
        <v>0.80200640740621953</v>
      </c>
      <c r="L35" s="4" cm="1">
        <f t="array" ref="L35">DeltaC($A$35,$B$2,L23,$D$2,$E$2,$F$2)</f>
        <v>0.75998835998968672</v>
      </c>
      <c r="M35" s="4" cm="1">
        <f t="array" ref="M35">DeltaC($A$35,$B$2,M23,$D$2,$E$2,$F$2)</f>
        <v>0.74641976679143052</v>
      </c>
      <c r="N35" s="4" cm="1">
        <f t="array" ref="N35">DeltaC($A$35,$B$2,N23,$D$2,$E$2,$F$2)</f>
        <v>0.74196163694002015</v>
      </c>
      <c r="O35" s="5" cm="1">
        <f t="array" ref="O35">DeltaC($A$35,$B$2,O23,$D$2,$E$2,$F$2)</f>
        <v>0.74148404620256414</v>
      </c>
      <c r="S35" s="1">
        <v>115</v>
      </c>
      <c r="T35" s="4" cm="1">
        <f t="array" ref="T35">DeltaC(S35,$B$2,$T$23,$D$2,$E$2,$F$3)</f>
        <v>0.9371394361344666</v>
      </c>
      <c r="U35" s="4" cm="1">
        <f t="array" ref="U35">DeltaC(S35,$B$2,$U$23,$D$2,$E$2,$F$3)</f>
        <v>0.86943263666792814</v>
      </c>
      <c r="V35" s="4" cm="1">
        <f t="array" ref="V35">DeltaC(S35,$B$2,$V$23,$D$2,$E$2,$F$3)</f>
        <v>0.82919270948748747</v>
      </c>
      <c r="W35" s="4" cm="1">
        <f t="array" ref="W35">DeltaC(S35,$B$2,$W$23,$D$2,$E$2,$F$3)</f>
        <v>0.80304840536517041</v>
      </c>
      <c r="X35" s="4" cm="1">
        <f t="array" ref="X35">DeltaC(S35,$B$2,$X$23,$D$2,$E$2,$F$3)</f>
        <v>0.78479210831011448</v>
      </c>
      <c r="Y35" s="4" cm="1">
        <f t="array" ref="Y35">DeltaC(S35,$B$2,$Y$23,$D$2,$E$2,$F$3)</f>
        <v>0.77139506484411136</v>
      </c>
      <c r="Z35" s="4" cm="1">
        <f t="array" ref="Z35">DeltaC(S35,$B$2,$Z$23,$D$2,$E$2,$F$3)</f>
        <v>0.76121383901599127</v>
      </c>
      <c r="AA35" s="4" cm="1">
        <f t="array" ref="AA35">DeltaC(S35,$B$2,$AA$23,$D$2,$E$2,$F$3)</f>
        <v>0.75327765691030435</v>
      </c>
      <c r="AB35" s="4" cm="1">
        <f t="array" ref="AB35">DeltaC(S35,$B$2,$AB$23,$D$2,$E$2,$F$3)</f>
        <v>0.74697433142683933</v>
      </c>
      <c r="AC35" s="4" cm="1">
        <f t="array" ref="AC35">DeltaC(S35,$B$2,$AC$23,$D$2,$E$2,$F$3)</f>
        <v>0.74189753633829758</v>
      </c>
      <c r="AD35" s="4" cm="1">
        <f t="array" ref="AD35">DeltaC(S35,$B$2,$AD$23,$D$2,$E$2,$F$3)</f>
        <v>0.72196690064701641</v>
      </c>
      <c r="AE35" s="4" cm="1">
        <f t="array" ref="AE35">DeltaC(S35,$B$2,$AE$23,$D$2,$E$2,$F$3)</f>
        <v>0.72123513401713546</v>
      </c>
      <c r="AF35" s="4" cm="1">
        <f t="array" ref="AF35">DeltaC(S35,$B$2,$AF$23,$D$2,$E$2,$F$3)</f>
        <v>0.72561465541937875</v>
      </c>
      <c r="AG35" s="5" cm="1">
        <f t="array" ref="AG35">DeltaC(S35,$B$2,$AG$23,$D$2,$E$2,$F$3)</f>
        <v>0.7318081009305093</v>
      </c>
      <c r="AK35" s="1">
        <v>115</v>
      </c>
      <c r="AL35" s="4" cm="1">
        <f t="array" ref="AL35">DeltaC(AK35,$B$2,$AL$23,$D$2,$E$2,$F$4)</f>
        <v>0.99999603555087258</v>
      </c>
      <c r="AM35" s="4" cm="1">
        <f t="array" ref="AM35">DeltaC(AK35,$B$2,$AM$23,$D$2,$E$2,$F$4)</f>
        <v>0.99929416451516662</v>
      </c>
      <c r="AN35" s="4" cm="1">
        <f t="array" ref="AN35">DeltaC(AK35,$B$2,$AN$23,$D$2,$E$2,$F$4)</f>
        <v>0.99577886954542294</v>
      </c>
      <c r="AO35" s="4" cm="1">
        <f t="array" ref="AO35">DeltaC(AK35,$B$2,$AO$23,$D$2,$E$2,$F$4)</f>
        <v>0.98940827229066197</v>
      </c>
      <c r="AP35" s="4" cm="1">
        <f t="array" ref="AP35">DeltaC(AK35,$B$2,$AP$23,$D$2,$E$2,$F$4)</f>
        <v>0.98135607564044858</v>
      </c>
      <c r="AQ35" s="4" cm="1">
        <f t="array" ref="AQ35">DeltaC(AK35,$B$2,$AQ$23,$D$2,$E$2,$F$4)</f>
        <v>0.97260314455363983</v>
      </c>
      <c r="AR35" s="4" cm="1">
        <f t="array" ref="AR35">DeltaC(AK35,$B$2,$AR$23,$D$2,$E$2,$F$4)</f>
        <v>0.96375065198429899</v>
      </c>
      <c r="AS35" s="4" cm="1">
        <f t="array" ref="AS35">DeltaC(AK35,$B$2,$AS$23,$D$2,$E$2,$F$4)</f>
        <v>0.95512804158206499</v>
      </c>
      <c r="AT35" s="4" cm="1">
        <f t="array" ref="AT35">DeltaC(AK35,$B$2,$AT$23,$D$2,$E$2,$F$4)</f>
        <v>0.94690122807155452</v>
      </c>
      <c r="AU35" s="4" cm="1">
        <f t="array" ref="AU35">DeltaC(AK35,$B$2,$AU$23,$D$2,$E$2,$F$4)</f>
        <v>0.9391430239591263</v>
      </c>
      <c r="AV35" s="4" cm="1">
        <f t="array" ref="AV35">DeltaC(AK35,$B$2,$AV$23,$D$2,$E$2,$F$4)</f>
        <v>0.88500763743571798</v>
      </c>
      <c r="AW35" s="4" cm="1">
        <f t="array" ref="AW35">DeltaC(AK35,$B$2,$AW$23,$D$2,$E$2,$F$4)</f>
        <v>0.85695166013778001</v>
      </c>
      <c r="AX35" s="4" cm="1">
        <f t="array" ref="AX35">DeltaC(AK35,$B$2,$AX$23,$D$2,$E$2,$F$4)</f>
        <v>0.84105655977843707</v>
      </c>
      <c r="AY35" s="5" cm="1">
        <f t="array" ref="AY35">DeltaC(AK35,$B$2,$AY$23,$D$2,$E$2,$F$4)</f>
        <v>0.83158425080253329</v>
      </c>
    </row>
    <row r="36" spans="1:51" x14ac:dyDescent="0.3">
      <c r="A36" s="1">
        <v>120</v>
      </c>
      <c r="B36" s="4" cm="1">
        <f t="array" ref="B36">DeltaC($A$36,$B$2,B23,$D$2,$E$2,$F$2)</f>
        <v>0.99830623193923973</v>
      </c>
      <c r="C36" s="4" cm="1">
        <f t="array" ref="C36">DeltaC($A$36,$B$2,C23,$D$2,$E$2,$F$2)</f>
        <v>0.9823760534317052</v>
      </c>
      <c r="D36" s="4" cm="1">
        <f t="array" ref="D36">DeltaC($A$36,$B$2,D23,$D$2,$E$2,$F$2)</f>
        <v>0.95963958476134859</v>
      </c>
      <c r="E36" s="4" cm="1">
        <f t="array" ref="E36">DeltaC($A$36,$B$2,E23,$D$2,$E$2,$F$2)</f>
        <v>0.93776106845399343</v>
      </c>
      <c r="F36" s="4" cm="1">
        <f t="array" ref="F36">DeltaC($A$36,$B$2,F23,$D$2,$E$2,$F$2)</f>
        <v>0.91853340172068842</v>
      </c>
      <c r="G36" s="4" cm="1">
        <f t="array" ref="G36">DeltaC($A$36,$B$2,G23,$D$2,$E$2,$F$2)</f>
        <v>0.90200659044195874</v>
      </c>
      <c r="H36" s="4" cm="1">
        <f t="array" ref="H36">DeltaC($A$36,$B$2,H23,$D$2,$E$2,$F$2)</f>
        <v>0.88783196322373703</v>
      </c>
      <c r="I36" s="4" cm="1">
        <f t="array" ref="I36">DeltaC($A$36,$B$2,I23,$D$2,$E$2,$F$2)</f>
        <v>0.87562125149536263</v>
      </c>
      <c r="J36" s="4" cm="1">
        <f t="array" ref="J36">DeltaC($A$36,$B$2,J23,$D$2,$E$2,$F$2)</f>
        <v>0.86503450040480123</v>
      </c>
      <c r="K36" s="4" cm="1">
        <f t="array" ref="K36">DeltaC($A$36,$B$2,K23,$D$2,$E$2,$F$2)</f>
        <v>0.85579311074329834</v>
      </c>
      <c r="L36" s="4" cm="1">
        <f t="array" ref="L36">DeltaC($A$36,$B$2,L23,$D$2,$E$2,$F$2)</f>
        <v>0.80420462073819754</v>
      </c>
      <c r="M36" s="4" cm="1">
        <f t="array" ref="M36">DeltaC($A$36,$B$2,M23,$D$2,$E$2,$F$2)</f>
        <v>0.78410275921225236</v>
      </c>
      <c r="N36" s="4" cm="1">
        <f t="array" ref="N36">DeltaC($A$36,$B$2,N23,$D$2,$E$2,$F$2)</f>
        <v>0.77511660853638908</v>
      </c>
      <c r="O36" s="5" cm="1">
        <f t="array" ref="O36">DeltaC($A$36,$B$2,O23,$D$2,$E$2,$F$2)</f>
        <v>0.77128749032735988</v>
      </c>
      <c r="S36" s="1">
        <v>120</v>
      </c>
      <c r="T36" s="4" cm="1">
        <f t="array" ref="T36">DeltaC(S36,$B$2,$T$23,$D$2,$E$2,$F$3)</f>
        <v>0.97613772992890591</v>
      </c>
      <c r="U36" s="4" cm="1">
        <f t="array" ref="U36">DeltaC(S36,$B$2,$U$23,$D$2,$E$2,$F$3)</f>
        <v>0.92519830817009863</v>
      </c>
      <c r="V36" s="4" cm="1">
        <f t="array" ref="V36">DeltaC(S36,$B$2,$V$23,$D$2,$E$2,$F$3)</f>
        <v>0.88685853170876361</v>
      </c>
      <c r="W36" s="4" cm="1">
        <f t="array" ref="W36">DeltaC(S36,$B$2,$W$23,$D$2,$E$2,$F$3)</f>
        <v>0.85923063815805933</v>
      </c>
      <c r="X36" s="4" cm="1">
        <f t="array" ref="X36">DeltaC(S36,$B$2,$X$23,$D$2,$E$2,$F$3)</f>
        <v>0.83869492248144772</v>
      </c>
      <c r="Y36" s="4" cm="1">
        <f t="array" ref="Y36">DeltaC(S36,$B$2,$Y$23,$D$2,$E$2,$F$3)</f>
        <v>0.82293195018806276</v>
      </c>
      <c r="Z36" s="4" cm="1">
        <f t="array" ref="Z36">DeltaC(S36,$B$2,$Z$23,$D$2,$E$2,$F$3)</f>
        <v>0.81050916202186163</v>
      </c>
      <c r="AA36" s="4" cm="1">
        <f t="array" ref="AA36">DeltaC(S36,$B$2,$AA$23,$D$2,$E$2,$F$3)</f>
        <v>0.80051177059449707</v>
      </c>
      <c r="AB36" s="4" cm="1">
        <f t="array" ref="AB36">DeltaC(S36,$B$2,$AB$23,$D$2,$E$2,$F$3)</f>
        <v>0.79233157169098423</v>
      </c>
      <c r="AC36" s="4" cm="1">
        <f t="array" ref="AC36">DeltaC(S36,$B$2,$AC$23,$D$2,$E$2,$F$3)</f>
        <v>0.78554896929810647</v>
      </c>
      <c r="AD36" s="4" cm="1">
        <f t="array" ref="AD36">DeltaC(S36,$B$2,$AD$23,$D$2,$E$2,$F$3)</f>
        <v>0.754591046066726</v>
      </c>
      <c r="AE36" s="4" cm="1">
        <f t="array" ref="AE36">DeltaC(S36,$B$2,$AE$23,$D$2,$E$2,$F$3)</f>
        <v>0.74806744044833062</v>
      </c>
      <c r="AF36" s="4" cm="1">
        <f t="array" ref="AF36">DeltaC(S36,$B$2,$AF$23,$D$2,$E$2,$F$3)</f>
        <v>0.74874189438577665</v>
      </c>
      <c r="AG36" s="5" cm="1">
        <f t="array" ref="AG36">DeltaC(S36,$B$2,$AG$23,$D$2,$E$2,$F$3)</f>
        <v>0.75229664733269397</v>
      </c>
      <c r="AK36" s="1">
        <v>120</v>
      </c>
      <c r="AL36" s="4" cm="1">
        <f t="array" ref="AL36">DeltaC(AK36,$B$2,$AL$23,$D$2,$E$2,$F$4)</f>
        <v>0.99999999693089381</v>
      </c>
      <c r="AM36" s="4" cm="1">
        <f t="array" ref="AM36">DeltaC(AK36,$B$2,$AM$23,$D$2,$E$2,$F$4)</f>
        <v>0.9999829287565416</v>
      </c>
      <c r="AN36" s="4" cm="1">
        <f t="array" ref="AN36">DeltaC(AK36,$B$2,$AN$23,$D$2,$E$2,$F$4)</f>
        <v>0.99967623132709937</v>
      </c>
      <c r="AO36" s="4" cm="1">
        <f t="array" ref="AO36">DeltaC(AK36,$B$2,$AO$23,$D$2,$E$2,$F$4)</f>
        <v>0.99854754541412227</v>
      </c>
      <c r="AP36" s="4" cm="1">
        <f t="array" ref="AP36">DeltaC(AK36,$B$2,$AP$23,$D$2,$E$2,$F$4)</f>
        <v>0.99636788743791604</v>
      </c>
      <c r="AQ36" s="4" cm="1">
        <f t="array" ref="AQ36">DeltaC(AK36,$B$2,$AQ$23,$D$2,$E$2,$F$4)</f>
        <v>0.99324341588079323</v>
      </c>
      <c r="AR36" s="4" cm="1">
        <f t="array" ref="AR36">DeltaC(AK36,$B$2,$AR$23,$D$2,$E$2,$F$4)</f>
        <v>0.98940714410148023</v>
      </c>
      <c r="AS36" s="4" cm="1">
        <f t="array" ref="AS36">DeltaC(AK36,$B$2,$AS$23,$D$2,$E$2,$F$4)</f>
        <v>0.98509406838389912</v>
      </c>
      <c r="AT36" s="4" cm="1">
        <f t="array" ref="AT36">DeltaC(AK36,$B$2,$AT$23,$D$2,$E$2,$F$4)</f>
        <v>0.98049779905589118</v>
      </c>
      <c r="AU36" s="4" cm="1">
        <f t="array" ref="AU36">DeltaC(AK36,$B$2,$AU$23,$D$2,$E$2,$F$4)</f>
        <v>0.9757644962341846</v>
      </c>
      <c r="AV36" s="4" cm="1">
        <f t="array" ref="AV36">DeltaC(AK36,$B$2,$AV$23,$D$2,$E$2,$F$4)</f>
        <v>0.93336619424077227</v>
      </c>
      <c r="AW36" s="4" cm="1">
        <f t="array" ref="AW36">DeltaC(AK36,$B$2,$AW$23,$D$2,$E$2,$F$4)</f>
        <v>0.90531441414396252</v>
      </c>
      <c r="AX36" s="4" cm="1">
        <f t="array" ref="AX36">DeltaC(AK36,$B$2,$AX$23,$D$2,$E$2,$F$4)</f>
        <v>0.88716872324765816</v>
      </c>
      <c r="AY36" s="5" cm="1">
        <f t="array" ref="AY36">DeltaC(AK36,$B$2,$AY$23,$D$2,$E$2,$F$4)</f>
        <v>0.87508800250645269</v>
      </c>
    </row>
    <row r="37" spans="1:51" x14ac:dyDescent="0.3">
      <c r="A37" s="1">
        <v>125</v>
      </c>
      <c r="B37" s="4" cm="1">
        <f t="array" ref="B37">DeltaC($A$37,$B$2,B23,$D$2,$E$2,$F$2)</f>
        <v>0.99982531626414572</v>
      </c>
      <c r="C37" s="4" cm="1">
        <f t="array" ref="C37">DeltaC($A$37,$B$2,C23,$D$2,$E$2,$F$2)</f>
        <v>0.99479497737862488</v>
      </c>
      <c r="D37" s="4" cm="1">
        <f t="array" ref="D37">DeltaC($A$37,$B$2,D23,$D$2,$E$2,$F$2)</f>
        <v>0.98296199066116863</v>
      </c>
      <c r="E37" s="4" cm="1">
        <f t="array" ref="E37">DeltaC($A$37,$B$2,E23,$D$2,$E$2,$F$2)</f>
        <v>0.96848451708238714</v>
      </c>
      <c r="F37" s="4" cm="1">
        <f t="array" ref="F37">DeltaC($A$37,$B$2,F23,$D$2,$E$2,$F$2)</f>
        <v>0.95390232385199913</v>
      </c>
      <c r="G37" s="4" cm="1">
        <f t="array" ref="G37">DeltaC($A$37,$B$2,G23,$D$2,$E$2,$F$2)</f>
        <v>0.9402142801511969</v>
      </c>
      <c r="H37" s="4" cm="1">
        <f t="array" ref="H37">DeltaC($A$37,$B$2,H23,$D$2,$E$2,$F$2)</f>
        <v>0.92772250848626392</v>
      </c>
      <c r="I37" s="4" cm="1">
        <f t="array" ref="I37">DeltaC($A$37,$B$2,I23,$D$2,$E$2,$F$2)</f>
        <v>0.91644879859772543</v>
      </c>
      <c r="J37" s="4" cm="1">
        <f t="array" ref="J37">DeltaC($A$37,$B$2,J23,$D$2,$E$2,$F$2)</f>
        <v>0.90631047116941144</v>
      </c>
      <c r="K37" s="4" cm="1">
        <f t="array" ref="K37">DeltaC($A$37,$B$2,K23,$D$2,$E$2,$F$2)</f>
        <v>0.89719292559733332</v>
      </c>
      <c r="L37" s="4" cm="1">
        <f t="array" ref="L37">DeltaC($A$37,$B$2,L23,$D$2,$E$2,$F$2)</f>
        <v>0.84160197553171501</v>
      </c>
      <c r="M37" s="4" cm="1">
        <f t="array" ref="M37">DeltaC($A$37,$B$2,M23,$D$2,$E$2,$F$2)</f>
        <v>0.81699370064357868</v>
      </c>
      <c r="N37" s="4" cm="1">
        <f t="array" ref="N37">DeltaC($A$37,$B$2,N23,$D$2,$E$2,$F$2)</f>
        <v>0.8045148033278835</v>
      </c>
      <c r="O37" s="5" cm="1">
        <f t="array" ref="O37">DeltaC($A$37,$B$2,O23,$D$2,$E$2,$F$2)</f>
        <v>0.79796496558691377</v>
      </c>
      <c r="S37" s="1">
        <v>125</v>
      </c>
      <c r="T37" s="4" cm="1">
        <f t="array" ref="T37">DeltaC(S37,$B$2,$T$23,$D$2,$E$2,$F$3)</f>
        <v>0.99202624587419741</v>
      </c>
      <c r="U37" s="4" cm="1">
        <f t="array" ref="U37">DeltaC(S37,$B$2,$U$23,$D$2,$E$2,$F$3)</f>
        <v>0.95952522958374731</v>
      </c>
      <c r="V37" s="4" cm="1">
        <f t="array" ref="V37">DeltaC(S37,$B$2,$V$23,$D$2,$E$2,$F$3)</f>
        <v>0.92763817410360494</v>
      </c>
      <c r="W37" s="4" cm="1">
        <f t="array" ref="W37">DeltaC(S37,$B$2,$W$23,$D$2,$E$2,$F$3)</f>
        <v>0.90182488378357184</v>
      </c>
      <c r="X37" s="4" cm="1">
        <f t="array" ref="X37">DeltaC(S37,$B$2,$X$23,$D$2,$E$2,$F$3)</f>
        <v>0.8813068623898227</v>
      </c>
      <c r="Y37" s="4" cm="1">
        <f t="array" ref="Y37">DeltaC(S37,$B$2,$Y$23,$D$2,$E$2,$F$3)</f>
        <v>0.86482705141973815</v>
      </c>
      <c r="Z37" s="4" cm="1">
        <f t="array" ref="Z37">DeltaC(S37,$B$2,$Z$23,$D$2,$E$2,$F$3)</f>
        <v>0.85138984659601935</v>
      </c>
      <c r="AA37" s="4" cm="1">
        <f t="array" ref="AA37">DeltaC(S37,$B$2,$AA$23,$D$2,$E$2,$F$3)</f>
        <v>0.84027414396084255</v>
      </c>
      <c r="AB37" s="4" cm="1">
        <f t="array" ref="AB37">DeltaC(S37,$B$2,$AB$23,$D$2,$E$2,$F$3)</f>
        <v>0.83096150825161674</v>
      </c>
      <c r="AC37" s="4" cm="1">
        <f t="array" ref="AC37">DeltaC(S37,$B$2,$AC$23,$D$2,$E$2,$F$3)</f>
        <v>0.82307441711333762</v>
      </c>
      <c r="AD37" s="4" cm="1">
        <f t="array" ref="AD37">DeltaC(S37,$B$2,$AD$23,$D$2,$E$2,$F$3)</f>
        <v>0.78383972120701739</v>
      </c>
      <c r="AE37" s="4" cm="1">
        <f t="array" ref="AE37">DeltaC(S37,$B$2,$AE$23,$D$2,$E$2,$F$3)</f>
        <v>0.77246297183665924</v>
      </c>
      <c r="AF37" s="4" cm="1">
        <f t="array" ref="AF37">DeltaC(S37,$B$2,$AF$23,$D$2,$E$2,$F$3)</f>
        <v>0.76991671192728894</v>
      </c>
      <c r="AG37" s="5" cm="1">
        <f t="array" ref="AG37">DeltaC(S37,$B$2,$AG$23,$D$2,$E$2,$F$3)</f>
        <v>0.77113459229413017</v>
      </c>
      <c r="AK37" s="1">
        <v>125</v>
      </c>
      <c r="AL37" s="4" cm="1">
        <f t="array" ref="AL37">DeltaC(AK37,$B$2,$AL$23,$D$2,$E$2,$F$4)</f>
        <v>0.99999999999939337</v>
      </c>
      <c r="AM37" s="4" cm="1">
        <f t="array" ref="AM37">DeltaC(AK37,$B$2,$AM$23,$D$2,$E$2,$F$4)</f>
        <v>0.99999978673956835</v>
      </c>
      <c r="AN37" s="4" cm="1">
        <f t="array" ref="AN37">DeltaC(AK37,$B$2,$AN$23,$D$2,$E$2,$F$4)</f>
        <v>0.99998381961018046</v>
      </c>
      <c r="AO37" s="4" cm="1">
        <f t="array" ref="AO37">DeltaC(AK37,$B$2,$AO$23,$D$2,$E$2,$F$4)</f>
        <v>0.99985444081884667</v>
      </c>
      <c r="AP37" s="4" cm="1">
        <f t="array" ref="AP37">DeltaC(AK37,$B$2,$AP$23,$D$2,$E$2,$F$4)</f>
        <v>0.99944644902317548</v>
      </c>
      <c r="AQ37" s="4" cm="1">
        <f t="array" ref="AQ37">DeltaC(AK37,$B$2,$AQ$23,$D$2,$E$2,$F$4)</f>
        <v>0.99863656915944365</v>
      </c>
      <c r="AR37" s="4" cm="1">
        <f t="array" ref="AR37">DeltaC(AK37,$B$2,$AR$23,$D$2,$E$2,$F$4)</f>
        <v>0.9973854793151351</v>
      </c>
      <c r="AS37" s="4" cm="1">
        <f t="array" ref="AS37">DeltaC(AK37,$B$2,$AS$23,$D$2,$E$2,$F$4)</f>
        <v>0.99571799089194879</v>
      </c>
      <c r="AT37" s="4" cm="1">
        <f t="array" ref="AT37">DeltaC(AK37,$B$2,$AT$23,$D$2,$E$2,$F$4)</f>
        <v>0.99369223383243865</v>
      </c>
      <c r="AU37" s="4" cm="1">
        <f t="array" ref="AU37">DeltaC(AK37,$B$2,$AU$23,$D$2,$E$2,$F$4)</f>
        <v>0.9913773450413681</v>
      </c>
      <c r="AV37" s="4" cm="1">
        <f t="array" ref="AV37">DeltaC(AK37,$B$2,$AV$23,$D$2,$E$2,$F$4)</f>
        <v>0.9632726598800867</v>
      </c>
      <c r="AW37" s="4" cm="1">
        <f t="array" ref="AW37">DeltaC(AK37,$B$2,$AW$23,$D$2,$E$2,$F$4)</f>
        <v>0.9392042006984751</v>
      </c>
      <c r="AX37" s="4" cm="1">
        <f t="array" ref="AX37">DeltaC(AK37,$B$2,$AX$23,$D$2,$E$2,$F$4)</f>
        <v>0.9215709212989972</v>
      </c>
      <c r="AY37" s="5" cm="1">
        <f t="array" ref="AY37">DeltaC(AK37,$B$2,$AY$23,$D$2,$E$2,$F$4)</f>
        <v>0.90878962693226017</v>
      </c>
    </row>
    <row r="38" spans="1:51" x14ac:dyDescent="0.3">
      <c r="A38" s="1">
        <v>130</v>
      </c>
      <c r="B38" s="4" cm="1">
        <f t="array" ref="B38">DeltaC($A$38,$B$2,B23,$D$2,$E$2,$F$2)</f>
        <v>0.99998640314018139</v>
      </c>
      <c r="C38" s="4" cm="1">
        <f t="array" ref="C38">DeltaC($A$38,$B$2,C23,$D$2,$E$2,$F$2)</f>
        <v>0.99865188998007925</v>
      </c>
      <c r="D38" s="4" cm="1">
        <f t="array" ref="D38">DeltaC($A$38,$B$2,D23,$D$2,$E$2,$F$2)</f>
        <v>0.99337921785148087</v>
      </c>
      <c r="E38" s="4" cm="1">
        <f t="array" ref="E38">DeltaC($A$38,$B$2,E23,$D$2,$E$2,$F$2)</f>
        <v>0.98496017489321974</v>
      </c>
      <c r="F38" s="4" cm="1">
        <f t="array" ref="F38">DeltaC($A$38,$B$2,F23,$D$2,$E$2,$F$2)</f>
        <v>0.97507573833647321</v>
      </c>
      <c r="G38" s="4" cm="1">
        <f t="array" ref="G38">DeltaC($A$38,$B$2,G23,$D$2,$E$2,$F$2)</f>
        <v>0.96483221684018183</v>
      </c>
      <c r="H38" s="4" cm="1">
        <f t="array" ref="H38">DeltaC($A$38,$B$2,H23,$D$2,$E$2,$F$2)</f>
        <v>0.95481273623086027</v>
      </c>
      <c r="I38" s="4" cm="1">
        <f t="array" ref="I38">DeltaC($A$38,$B$2,I23,$D$2,$E$2,$F$2)</f>
        <v>0.9452921469955603</v>
      </c>
      <c r="J38" s="4" cm="1">
        <f t="array" ref="J38">DeltaC($A$38,$B$2,J23,$D$2,$E$2,$F$2)</f>
        <v>0.93638087415065951</v>
      </c>
      <c r="K38" s="4" cm="1">
        <f t="array" ref="K38">DeltaC($A$38,$B$2,K23,$D$2,$E$2,$F$2)</f>
        <v>0.92810491023994279</v>
      </c>
      <c r="L38" s="4" cm="1">
        <f t="array" ref="L38">DeltaC($A$38,$B$2,L23,$D$2,$E$2,$F$2)</f>
        <v>0.87280055331254425</v>
      </c>
      <c r="M38" s="4" cm="1">
        <f t="array" ref="M38">DeltaC($A$38,$B$2,M23,$D$2,$E$2,$F$2)</f>
        <v>0.84546800175065795</v>
      </c>
      <c r="N38" s="4" cm="1">
        <f t="array" ref="N38">DeltaC($A$38,$B$2,N23,$D$2,$E$2,$F$2)</f>
        <v>0.83044131386615572</v>
      </c>
      <c r="O38" s="5" cm="1">
        <f t="array" ref="O38">DeltaC($A$38,$B$2,O23,$D$2,$E$2,$F$2)</f>
        <v>0.82175514850703979</v>
      </c>
      <c r="S38" s="1">
        <v>130</v>
      </c>
      <c r="T38" s="4" cm="1">
        <f t="array" ref="T38">DeltaC(S38,$B$2,$T$23,$D$2,$E$2,$F$3)</f>
        <v>0.9976251547967403</v>
      </c>
      <c r="U38" s="4" cm="1">
        <f t="array" ref="U38">DeltaC(S38,$B$2,$U$23,$D$2,$E$2,$F$3)</f>
        <v>0.97920186730211123</v>
      </c>
      <c r="V38" s="4" cm="1">
        <f t="array" ref="V38">DeltaC(S38,$B$2,$V$23,$D$2,$E$2,$F$3)</f>
        <v>0.95516243259384059</v>
      </c>
      <c r="W38" s="4" cm="1">
        <f t="array" ref="W38">DeltaC(S38,$B$2,$W$23,$D$2,$E$2,$F$3)</f>
        <v>0.93302831921275364</v>
      </c>
      <c r="X38" s="4" cm="1">
        <f t="array" ref="X38">DeltaC(S38,$B$2,$X$23,$D$2,$E$2,$F$3)</f>
        <v>0.91409849026161683</v>
      </c>
      <c r="Y38" s="4" cm="1">
        <f t="array" ref="Y38">DeltaC(S38,$B$2,$Y$23,$D$2,$E$2,$F$3)</f>
        <v>0.89814375452956496</v>
      </c>
      <c r="Z38" s="4" cm="1">
        <f t="array" ref="Z38">DeltaC(S38,$B$2,$Z$23,$D$2,$E$2,$F$3)</f>
        <v>0.8846722298971994</v>
      </c>
      <c r="AA38" s="4" cm="1">
        <f t="array" ref="AA38">DeltaC(S38,$B$2,$AA$23,$D$2,$E$2,$F$3)</f>
        <v>0.87322148228571717</v>
      </c>
      <c r="AB38" s="4" cm="1">
        <f t="array" ref="AB38">DeltaC(S38,$B$2,$AB$23,$D$2,$E$2,$F$3)</f>
        <v>0.86341232176687477</v>
      </c>
      <c r="AC38" s="4" cm="1">
        <f t="array" ref="AC38">DeltaC(S38,$B$2,$AC$23,$D$2,$E$2,$F$3)</f>
        <v>0.85494512380940124</v>
      </c>
      <c r="AD38" s="4" cm="1">
        <f t="array" ref="AD38">DeltaC(S38,$B$2,$AD$23,$D$2,$E$2,$F$3)</f>
        <v>0.80993885351262629</v>
      </c>
      <c r="AE38" s="4" cm="1">
        <f t="array" ref="AE38">DeltaC(S38,$B$2,$AE$23,$D$2,$E$2,$F$3)</f>
        <v>0.79459325631183764</v>
      </c>
      <c r="AF38" s="4" cm="1">
        <f t="array" ref="AF38">DeltaC(S38,$B$2,$AF$23,$D$2,$E$2,$F$3)</f>
        <v>0.78928431354169604</v>
      </c>
      <c r="AG38" s="5" cm="1">
        <f t="array" ref="AG38">DeltaC(S38,$B$2,$AG$23,$D$2,$E$2,$F$3)</f>
        <v>0.78845019812977468</v>
      </c>
      <c r="AK38" s="1">
        <v>130</v>
      </c>
      <c r="AL38" s="4" cm="1">
        <f t="array" ref="AL38">DeltaC(AK38,$B$2,$AL$23,$D$2,$E$2,$F$4)</f>
        <v>1</v>
      </c>
      <c r="AM38" s="4" cm="1">
        <f t="array" ref="AM38">DeltaC(AK38,$B$2,$AM$23,$D$2,$E$2,$F$4)</f>
        <v>0.99999999851931465</v>
      </c>
      <c r="AN38" s="4" cm="1">
        <f t="array" ref="AN38">DeltaC(AK38,$B$2,$AN$23,$D$2,$E$2,$F$4)</f>
        <v>0.99999944833507226</v>
      </c>
      <c r="AO38" s="4" cm="1">
        <f t="array" ref="AO38">DeltaC(AK38,$B$2,$AO$23,$D$2,$E$2,$F$4)</f>
        <v>0.99998898282504689</v>
      </c>
      <c r="AP38" s="4" cm="1">
        <f t="array" ref="AP38">DeltaC(AK38,$B$2,$AP$23,$D$2,$E$2,$F$4)</f>
        <v>0.99993230917992704</v>
      </c>
      <c r="AQ38" s="4" cm="1">
        <f t="array" ref="AQ38">DeltaC(AK38,$B$2,$AQ$23,$D$2,$E$2,$F$4)</f>
        <v>0.99977023212247085</v>
      </c>
      <c r="AR38" s="4" cm="1">
        <f t="array" ref="AR38">DeltaC(AK38,$B$2,$AR$23,$D$2,$E$2,$F$4)</f>
        <v>0.99944558802202021</v>
      </c>
      <c r="AS38" s="4" cm="1">
        <f t="array" ref="AS38">DeltaC(AK38,$B$2,$AS$23,$D$2,$E$2,$F$4)</f>
        <v>0.99892066116278744</v>
      </c>
      <c r="AT38" s="4" cm="1">
        <f t="array" ref="AT38">DeltaC(AK38,$B$2,$AT$23,$D$2,$E$2,$F$4)</f>
        <v>0.99818047109526631</v>
      </c>
      <c r="AU38" s="4" cm="1">
        <f t="array" ref="AU38">DeltaC(AK38,$B$2,$AU$23,$D$2,$E$2,$F$4)</f>
        <v>0.99722837337629622</v>
      </c>
      <c r="AV38" s="4" cm="1">
        <f t="array" ref="AV38">DeltaC(AK38,$B$2,$AV$23,$D$2,$E$2,$F$4)</f>
        <v>0.9806483495408157</v>
      </c>
      <c r="AW38" s="4" cm="1">
        <f t="array" ref="AW38">DeltaC(AK38,$B$2,$AW$23,$D$2,$E$2,$F$4)</f>
        <v>0.96201541129490264</v>
      </c>
      <c r="AX38" s="4" cm="1">
        <f t="array" ref="AX38">DeltaC(AK38,$B$2,$AX$23,$D$2,$E$2,$F$4)</f>
        <v>0.94649958655795841</v>
      </c>
      <c r="AY38" s="5" cm="1">
        <f t="array" ref="AY38">DeltaC(AK38,$B$2,$AY$23,$D$2,$E$2,$F$4)</f>
        <v>0.93431723431540992</v>
      </c>
    </row>
    <row r="39" spans="1:51" x14ac:dyDescent="0.3">
      <c r="A39" s="1">
        <v>135</v>
      </c>
      <c r="B39" s="4" cm="1">
        <f t="array" ref="B39">DeltaC($A$39,$B$2,B23,$D$2,$E$2,$F$2)</f>
        <v>0.99999917643923686</v>
      </c>
      <c r="C39" s="4" cm="1">
        <f t="array" ref="C39">DeltaC($A$39,$B$2,C23,$D$2,$E$2,$F$2)</f>
        <v>0.99968959215435294</v>
      </c>
      <c r="D39" s="4" cm="1">
        <f t="array" ref="D39">DeltaC($A$39,$B$2,D23,$D$2,$E$2,$F$2)</f>
        <v>0.99761170131759624</v>
      </c>
      <c r="E39" s="4" cm="1">
        <f t="array" ref="E39">DeltaC($A$39,$B$2,E23,$D$2,$E$2,$F$2)</f>
        <v>0.99319515409537595</v>
      </c>
      <c r="F39" s="4" cm="1">
        <f t="array" ref="F39">DeltaC($A$39,$B$2,F23,$D$2,$E$2,$F$2)</f>
        <v>0.987063941065492</v>
      </c>
      <c r="G39" s="4" cm="1">
        <f t="array" ref="G39">DeltaC($A$39,$B$2,G23,$D$2,$E$2,$F$2)</f>
        <v>0.97998098357938546</v>
      </c>
      <c r="H39" s="4" cm="1">
        <f t="array" ref="H39">DeltaC($A$39,$B$2,H23,$D$2,$E$2,$F$2)</f>
        <v>0.97250574341060869</v>
      </c>
      <c r="I39" s="4" cm="1">
        <f t="array" ref="I39">DeltaC($A$39,$B$2,I23,$D$2,$E$2,$F$2)</f>
        <v>0.9649914282191755</v>
      </c>
      <c r="J39" s="4" cm="1">
        <f t="array" ref="J39">DeltaC($A$39,$B$2,J23,$D$2,$E$2,$F$2)</f>
        <v>0.95764540824748623</v>
      </c>
      <c r="K39" s="4" cm="1">
        <f t="array" ref="K39">DeltaC($A$39,$B$2,K23,$D$2,$E$2,$F$2)</f>
        <v>0.95058198959185258</v>
      </c>
      <c r="L39" s="4" cm="1">
        <f t="array" ref="L39">DeltaC($A$39,$B$2,L23,$D$2,$E$2,$F$2)</f>
        <v>0.89851971842195577</v>
      </c>
      <c r="M39" s="4" cm="1">
        <f t="array" ref="M39">DeltaC($A$39,$B$2,M23,$D$2,$E$2,$F$2)</f>
        <v>0.86994580030636615</v>
      </c>
      <c r="N39" s="4" cm="1">
        <f t="array" ref="N39">DeltaC($A$39,$B$2,N23,$D$2,$E$2,$F$2)</f>
        <v>0.85320104521339801</v>
      </c>
      <c r="O39" s="5" cm="1">
        <f t="array" ref="O39">DeltaC($A$39,$B$2,O23,$D$2,$E$2,$F$2)</f>
        <v>0.8429039016580514</v>
      </c>
      <c r="S39" s="1">
        <v>135</v>
      </c>
      <c r="T39" s="4" cm="1">
        <f t="array" ref="T39">DeltaC(S39,$B$2,$T$23,$D$2,$E$2,$F$3)</f>
        <v>0.99936207053892745</v>
      </c>
      <c r="U39" s="4" cm="1">
        <f t="array" ref="U39">DeltaC(S39,$B$2,$U$23,$D$2,$E$2,$F$3)</f>
        <v>0.98979805440371849</v>
      </c>
      <c r="V39" s="4" cm="1">
        <f t="array" ref="V39">DeltaC(S39,$B$2,$V$23,$D$2,$E$2,$F$3)</f>
        <v>0.97299735807546184</v>
      </c>
      <c r="W39" s="4" cm="1">
        <f t="array" ref="W39">DeltaC(S39,$B$2,$W$23,$D$2,$E$2,$F$3)</f>
        <v>0.95521216048553548</v>
      </c>
      <c r="X39" s="4" cm="1">
        <f t="array" ref="X39">DeltaC(S39,$B$2,$X$23,$D$2,$E$2,$F$3)</f>
        <v>0.93874735257652986</v>
      </c>
      <c r="Y39" s="4" cm="1">
        <f t="array" ref="Y39">DeltaC(S39,$B$2,$Y$23,$D$2,$E$2,$F$3)</f>
        <v>0.92413592245152854</v>
      </c>
      <c r="Z39" s="4" cm="1">
        <f t="array" ref="Z39">DeltaC(S39,$B$2,$Z$23,$D$2,$E$2,$F$3)</f>
        <v>0.91133681457196536</v>
      </c>
      <c r="AA39" s="4" cm="1">
        <f t="array" ref="AA39">DeltaC(S39,$B$2,$AA$23,$D$2,$E$2,$F$3)</f>
        <v>0.90014918606468963</v>
      </c>
      <c r="AB39" s="4" cm="1">
        <f t="array" ref="AB39">DeltaC(S39,$B$2,$AB$23,$D$2,$E$2,$F$3)</f>
        <v>0.89034882296294016</v>
      </c>
      <c r="AC39" s="4" cm="1">
        <f t="array" ref="AC39">DeltaC(S39,$B$2,$AC$23,$D$2,$E$2,$F$3)</f>
        <v>0.88173051157264637</v>
      </c>
      <c r="AD39" s="4" cm="1">
        <f t="array" ref="AD39">DeltaC(S39,$B$2,$AD$23,$D$2,$E$2,$F$3)</f>
        <v>0.83313443249219921</v>
      </c>
      <c r="AE39" s="4" cm="1">
        <f t="array" ref="AE39">DeltaC(S39,$B$2,$AE$23,$D$2,$E$2,$F$3)</f>
        <v>0.81463163438593589</v>
      </c>
      <c r="AF39" s="4" cm="1">
        <f t="array" ref="AF39">DeltaC(S39,$B$2,$AF$23,$D$2,$E$2,$F$3)</f>
        <v>0.80698542949219532</v>
      </c>
      <c r="AG39" s="5" cm="1">
        <f t="array" ref="AG39">DeltaC(S39,$B$2,$AG$23,$D$2,$E$2,$F$3)</f>
        <v>0.80436467483037943</v>
      </c>
      <c r="AK39" s="1">
        <v>135</v>
      </c>
      <c r="AL39" s="4" cm="1">
        <f t="array" ref="AL39">DeltaC(AK39,$B$2,$AL$23,$D$2,$E$2,$F$4)</f>
        <v>1</v>
      </c>
      <c r="AM39" s="4" cm="1">
        <f t="array" ref="AM39">DeltaC(AK39,$B$2,$AM$23,$D$2,$E$2,$F$4)</f>
        <v>0.99999999999389166</v>
      </c>
      <c r="AN39" s="4" cm="1">
        <f t="array" ref="AN39">DeltaC(AK39,$B$2,$AN$23,$D$2,$E$2,$F$4)</f>
        <v>0.9999999866108833</v>
      </c>
      <c r="AO39" s="4" cm="1">
        <f t="array" ref="AO39">DeltaC(AK39,$B$2,$AO$23,$D$2,$E$2,$F$4)</f>
        <v>0.99999935060366185</v>
      </c>
      <c r="AP39" s="4" cm="1">
        <f t="array" ref="AP39">DeltaC(AK39,$B$2,$AP$23,$D$2,$E$2,$F$4)</f>
        <v>0.99999319889057736</v>
      </c>
      <c r="AQ39" s="4" cm="1">
        <f t="array" ref="AQ39">DeltaC(AK39,$B$2,$AQ$23,$D$2,$E$2,$F$4)</f>
        <v>0.99996703614043125</v>
      </c>
      <c r="AR39" s="4" cm="1">
        <f t="array" ref="AR39">DeltaC(AK39,$B$2,$AR$23,$D$2,$E$2,$F$4)</f>
        <v>0.99989736258573836</v>
      </c>
      <c r="AS39" s="4" cm="1">
        <f t="array" ref="AS39">DeltaC(AK39,$B$2,$AS$23,$D$2,$E$2,$F$4)</f>
        <v>0.99975797900363672</v>
      </c>
      <c r="AT39" s="4" cm="1">
        <f t="array" ref="AT39">DeltaC(AK39,$B$2,$AT$23,$D$2,$E$2,$F$4)</f>
        <v>0.99952627336039468</v>
      </c>
      <c r="AU39" s="4" cm="1">
        <f t="array" ref="AU39">DeltaC(AK39,$B$2,$AU$23,$D$2,$E$2,$F$4)</f>
        <v>0.99918656546080542</v>
      </c>
      <c r="AV39" s="4" cm="1">
        <f t="array" ref="AV39">DeltaC(AK39,$B$2,$AV$23,$D$2,$E$2,$F$4)</f>
        <v>0.99020716359662175</v>
      </c>
      <c r="AW39" s="4" cm="1">
        <f t="array" ref="AW39">DeltaC(AK39,$B$2,$AW$23,$D$2,$E$2,$F$4)</f>
        <v>0.97683982081086107</v>
      </c>
      <c r="AX39" s="4" cm="1">
        <f t="array" ref="AX39">DeltaC(AK39,$B$2,$AX$23,$D$2,$E$2,$F$4)</f>
        <v>0.9641109494110095</v>
      </c>
      <c r="AY39" s="5" cm="1">
        <f t="array" ref="AY39">DeltaC(AK39,$B$2,$AY$23,$D$2,$E$2,$F$4)</f>
        <v>0.9532794554679479</v>
      </c>
    </row>
    <row r="40" spans="1:51" x14ac:dyDescent="0.3">
      <c r="A40" s="6">
        <v>140</v>
      </c>
      <c r="B40" s="7" cm="1">
        <f t="array" ref="B40">DeltaC($A$40,$B$2,B23,$D$2,$E$2,$F$2)</f>
        <v>0.99999996008829672</v>
      </c>
      <c r="C40" s="7" cm="1">
        <f t="array" ref="C40">DeltaC($A$40,$B$2,C23,$D$2,$E$2,$F$2)</f>
        <v>0.99993565599706147</v>
      </c>
      <c r="D40" s="7" cm="1">
        <f t="array" ref="D40">DeltaC($A$40,$B$2,D23,$D$2,$E$2,$F$2)</f>
        <v>0.99919396953371908</v>
      </c>
      <c r="E40" s="7" cm="1">
        <f t="array" ref="E40">DeltaC($A$40,$B$2,E23,$D$2,$E$2,$F$2)</f>
        <v>0.99706463005532564</v>
      </c>
      <c r="F40" s="7" cm="1">
        <f t="array" ref="F40">DeltaC($A$40,$B$2,F23,$D$2,$E$2,$F$2)</f>
        <v>0.9935275944696309</v>
      </c>
      <c r="G40" s="7" cm="1">
        <f t="array" ref="G40">DeltaC($A$40,$B$2,G23,$D$2,$E$2,$F$2)</f>
        <v>0.98893439681623385</v>
      </c>
      <c r="H40" s="7" cm="1">
        <f t="array" ref="H40">DeltaC($A$40,$B$2,H23,$D$2,$E$2,$F$2)</f>
        <v>0.98367272820713014</v>
      </c>
      <c r="I40" s="7" cm="1">
        <f t="array" ref="I40">DeltaC($A$40,$B$2,I23,$D$2,$E$2,$F$2)</f>
        <v>0.97805296953813903</v>
      </c>
      <c r="J40" s="7" cm="1">
        <f t="array" ref="J40">DeltaC($A$40,$B$2,J23,$D$2,$E$2,$F$2)</f>
        <v>0.97229624527713165</v>
      </c>
      <c r="K40" s="7" cm="1">
        <f t="array" ref="K40">DeltaC($A$40,$B$2,K23,$D$2,$E$2,$F$2)</f>
        <v>0.96655118639654458</v>
      </c>
      <c r="L40" s="7" cm="1">
        <f t="array" ref="L40">DeltaC($A$40,$B$2,L23,$D$2,$E$2,$F$2)</f>
        <v>0.91950370400292614</v>
      </c>
      <c r="M40" s="7" cm="1">
        <f t="array" ref="M40">DeltaC($A$40,$B$2,M23,$D$2,$E$2,$F$2)</f>
        <v>0.89086087651205015</v>
      </c>
      <c r="N40" s="7" cm="1">
        <f t="array" ref="N40">DeltaC($A$40,$B$2,N23,$D$2,$E$2,$F$2)</f>
        <v>0.87310261037867953</v>
      </c>
      <c r="O40" s="8" cm="1">
        <f t="array" ref="O40">DeltaC($A$40,$B$2,O23,$D$2,$E$2,$F$2)</f>
        <v>0.86165498136593754</v>
      </c>
      <c r="S40" s="6">
        <v>140</v>
      </c>
      <c r="T40" s="7" cm="1">
        <f t="array" ref="T40">DeltaC(S40,$B$2,$T$23,$D$2,$E$2,$F$3)</f>
        <v>0.99984374547949573</v>
      </c>
      <c r="U40" s="7" cm="1">
        <f t="array" ref="U40">DeltaC(S40,$B$2,$U$23,$D$2,$E$2,$F$3)</f>
        <v>0.99519988085741351</v>
      </c>
      <c r="V40" s="7" cm="1">
        <f t="array" ref="V40">DeltaC(S40,$B$2,$V$23,$D$2,$E$2,$F$3)</f>
        <v>0.98414791288614301</v>
      </c>
      <c r="W40" s="7" cm="1">
        <f t="array" ref="W40">DeltaC(S40,$B$2,$W$23,$D$2,$E$2,$F$3)</f>
        <v>0.97057515521784565</v>
      </c>
      <c r="X40" s="7" cm="1">
        <f t="array" ref="X40">DeltaC(S40,$B$2,$X$23,$D$2,$E$2,$F$3)</f>
        <v>0.95689898642329596</v>
      </c>
      <c r="Y40" s="7" cm="1">
        <f t="array" ref="Y40">DeltaC(S40,$B$2,$Y$23,$D$2,$E$2,$F$3)</f>
        <v>0.94407756560009015</v>
      </c>
      <c r="Z40" s="7" cm="1">
        <f t="array" ref="Z40">DeltaC(S40,$B$2,$Z$23,$D$2,$E$2,$F$3)</f>
        <v>0.93240240791875728</v>
      </c>
      <c r="AA40" s="7" cm="1">
        <f t="array" ref="AA40">DeltaC(S40,$B$2,$AA$23,$D$2,$E$2,$F$3)</f>
        <v>0.92189531953464121</v>
      </c>
      <c r="AB40" s="7" cm="1">
        <f t="array" ref="AB40">DeltaC(S40,$B$2,$AB$23,$D$2,$E$2,$F$3)</f>
        <v>0.9124771715221327</v>
      </c>
      <c r="AC40" s="7" cm="1">
        <f t="array" ref="AC40">DeltaC(S40,$B$2,$AC$23,$D$2,$E$2,$F$3)</f>
        <v>0.90403781886513113</v>
      </c>
      <c r="AD40" s="7" cm="1">
        <f t="array" ref="AD40">DeltaC(S40,$B$2,$AD$23,$D$2,$E$2,$F$3)</f>
        <v>0.85367938888663453</v>
      </c>
      <c r="AE40" s="7" cm="1">
        <f t="array" ref="AE40">DeltaC(S40,$B$2,$AE$23,$D$2,$E$2,$F$3)</f>
        <v>0.83274857213885123</v>
      </c>
      <c r="AF40" s="7" cm="1">
        <f t="array" ref="AF40">DeltaC(S40,$B$2,$AF$23,$D$2,$E$2,$F$3)</f>
        <v>0.82315449700674104</v>
      </c>
      <c r="AG40" s="8" cm="1">
        <f t="array" ref="AG40">DeltaC(S40,$B$2,$AG$23,$D$2,$E$2,$F$3)</f>
        <v>0.81899164140300906</v>
      </c>
      <c r="AK40" s="6">
        <v>140</v>
      </c>
      <c r="AL40" s="7" cm="1">
        <f t="array" ref="AL40">DeltaC(AK40,$B$2,$AL$23,$D$2,$E$2,$F$4)</f>
        <v>1</v>
      </c>
      <c r="AM40" s="7" cm="1">
        <f t="array" ref="AM40">DeltaC(AK40,$B$2,$AM$23,$D$2,$E$2,$F$4)</f>
        <v>0.99999999999998412</v>
      </c>
      <c r="AN40" s="7" cm="1">
        <f t="array" ref="AN40">DeltaC(AK40,$B$2,$AN$23,$D$2,$E$2,$F$4)</f>
        <v>0.99999999975964071</v>
      </c>
      <c r="AO40" s="7" cm="1">
        <f t="array" ref="AO40">DeltaC(AK40,$B$2,$AO$23,$D$2,$E$2,$F$4)</f>
        <v>0.99999996934905533</v>
      </c>
      <c r="AP40" s="7" cm="1">
        <f t="array" ref="AP40">DeltaC(AK40,$B$2,$AP$23,$D$2,$E$2,$F$4)</f>
        <v>0.99999942627332528</v>
      </c>
      <c r="AQ40" s="7" cm="1">
        <f t="array" ref="AQ40">DeltaC(AK40,$B$2,$AQ$23,$D$2,$E$2,$F$4)</f>
        <v>0.99999590254116577</v>
      </c>
      <c r="AR40" s="7" cm="1">
        <f t="array" ref="AR40">DeltaC(AK40,$B$2,$AR$23,$D$2,$E$2,$F$4)</f>
        <v>0.99998316518966346</v>
      </c>
      <c r="AS40" s="7" cm="1">
        <f t="array" ref="AS40">DeltaC(AK40,$B$2,$AS$23,$D$2,$E$2,$F$4)</f>
        <v>0.99995111048223762</v>
      </c>
      <c r="AT40" s="7" cm="1">
        <f t="array" ref="AT40">DeltaC(AK40,$B$2,$AT$23,$D$2,$E$2,$F$4)</f>
        <v>0.99988744523010076</v>
      </c>
      <c r="AU40" s="7" cm="1">
        <f t="array" ref="AU40">DeltaC(AK40,$B$2,$AU$23,$D$2,$E$2,$F$4)</f>
        <v>0.99977989302522097</v>
      </c>
      <c r="AV40" s="7" cm="1">
        <f t="array" ref="AV40">DeltaC(AK40,$B$2,$AV$23,$D$2,$E$2,$F$4)</f>
        <v>0.99521999012116835</v>
      </c>
      <c r="AW40" s="7" cm="1">
        <f t="array" ref="AW40">DeltaC(AK40,$B$2,$AW$23,$D$2,$E$2,$F$4)</f>
        <v>0.98618256040797059</v>
      </c>
      <c r="AX40" s="7" cm="1">
        <f t="array" ref="AX40">DeltaC(AK40,$B$2,$AX$23,$D$2,$E$2,$F$4)</f>
        <v>0.97628058460472156</v>
      </c>
      <c r="AY40" s="8" cm="1">
        <f t="array" ref="AY40">DeltaC(AK40,$B$2,$AY$23,$D$2,$E$2,$F$4)</f>
        <v>0.96712760884191817</v>
      </c>
    </row>
    <row r="45" spans="1:51" x14ac:dyDescent="0.3">
      <c r="A45" s="54" t="s">
        <v>7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6"/>
      <c r="S45" s="49" t="s">
        <v>7</v>
      </c>
      <c r="T45" s="50"/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1"/>
      <c r="AK45" s="49" t="s">
        <v>7</v>
      </c>
      <c r="AL45" s="50"/>
      <c r="AM45" s="50"/>
      <c r="AN45" s="50"/>
      <c r="AO45" s="50"/>
      <c r="AP45" s="50"/>
      <c r="AQ45" s="50"/>
      <c r="AR45" s="50"/>
      <c r="AS45" s="50"/>
      <c r="AT45" s="50"/>
      <c r="AU45" s="50"/>
      <c r="AV45" s="50"/>
      <c r="AW45" s="50"/>
      <c r="AX45" s="50"/>
      <c r="AY45" s="51"/>
    </row>
    <row r="46" spans="1:51" x14ac:dyDescent="0.3">
      <c r="A46" s="9" t="s">
        <v>3</v>
      </c>
      <c r="B46" s="57" t="s">
        <v>4</v>
      </c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8"/>
      <c r="S46" s="1" t="s">
        <v>3</v>
      </c>
      <c r="T46" s="52" t="s">
        <v>4</v>
      </c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3"/>
      <c r="AK46" s="1" t="s">
        <v>3</v>
      </c>
      <c r="AL46" s="52" t="s">
        <v>4</v>
      </c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3"/>
    </row>
    <row r="47" spans="1:51" x14ac:dyDescent="0.3">
      <c r="A47" s="9"/>
      <c r="B47" s="10">
        <v>0.1</v>
      </c>
      <c r="C47" s="10">
        <v>0.2</v>
      </c>
      <c r="D47" s="10">
        <v>0.3</v>
      </c>
      <c r="E47" s="10">
        <v>0.4</v>
      </c>
      <c r="F47" s="10">
        <v>0.5</v>
      </c>
      <c r="G47" s="10">
        <v>0.6</v>
      </c>
      <c r="H47" s="10">
        <v>0.7</v>
      </c>
      <c r="I47" s="10">
        <v>0.8</v>
      </c>
      <c r="J47" s="10">
        <v>0.9</v>
      </c>
      <c r="K47" s="10">
        <v>1</v>
      </c>
      <c r="L47" s="10">
        <v>2</v>
      </c>
      <c r="M47" s="10">
        <v>3</v>
      </c>
      <c r="N47" s="10">
        <v>4</v>
      </c>
      <c r="O47" s="11">
        <v>5</v>
      </c>
      <c r="S47" s="1"/>
      <c r="T47" s="2">
        <v>0.1</v>
      </c>
      <c r="U47" s="2">
        <v>0.2</v>
      </c>
      <c r="V47" s="2">
        <v>0.3</v>
      </c>
      <c r="W47" s="2">
        <v>0.4</v>
      </c>
      <c r="X47" s="2">
        <v>0.5</v>
      </c>
      <c r="Y47" s="2">
        <v>0.6</v>
      </c>
      <c r="Z47" s="2">
        <v>0.7</v>
      </c>
      <c r="AA47" s="2">
        <v>0.8</v>
      </c>
      <c r="AB47" s="2">
        <v>0.9</v>
      </c>
      <c r="AC47" s="2">
        <v>1</v>
      </c>
      <c r="AD47" s="2">
        <v>2</v>
      </c>
      <c r="AE47" s="2">
        <v>3</v>
      </c>
      <c r="AF47" s="2">
        <v>4</v>
      </c>
      <c r="AG47" s="3">
        <v>5</v>
      </c>
      <c r="AK47" s="1"/>
      <c r="AL47" s="2">
        <v>0.1</v>
      </c>
      <c r="AM47" s="2">
        <v>0.2</v>
      </c>
      <c r="AN47" s="2">
        <v>0.3</v>
      </c>
      <c r="AO47" s="2">
        <v>0.4</v>
      </c>
      <c r="AP47" s="2">
        <v>0.5</v>
      </c>
      <c r="AQ47" s="2">
        <v>0.6</v>
      </c>
      <c r="AR47" s="2">
        <v>0.7</v>
      </c>
      <c r="AS47" s="2">
        <v>0.8</v>
      </c>
      <c r="AT47" s="2">
        <v>0.9</v>
      </c>
      <c r="AU47" s="2">
        <v>1</v>
      </c>
      <c r="AV47" s="2">
        <v>2</v>
      </c>
      <c r="AW47" s="2">
        <v>3</v>
      </c>
      <c r="AX47" s="2">
        <v>4</v>
      </c>
      <c r="AY47" s="3">
        <v>5</v>
      </c>
    </row>
    <row r="48" spans="1:51" x14ac:dyDescent="0.3">
      <c r="A48" s="9">
        <v>60</v>
      </c>
      <c r="B48" s="12" cm="1">
        <f t="array" ref="B48">GammaCP(A48,$B$2,$B$47,$D$2,$E$2,$F$2)</f>
        <v>1.0516556577990333E-15</v>
      </c>
      <c r="C48" s="12" cm="1">
        <f t="array" ref="C48">GammaCP(A48,$B$2,$C$47,$D$2,$E$2,$F$2)</f>
        <v>8.9897290546272933E-9</v>
      </c>
      <c r="D48" s="12" cm="1">
        <f t="array" ref="D48">GammaCP(A48,$B$2,$D$47,$D$2,$E$2,$F$2)</f>
        <v>1.683337757156276E-6</v>
      </c>
      <c r="E48" s="12" cm="1">
        <f t="array" ref="E48">GammaCP(A48,$B$2,$E$47,$D$2,$E$2,$F$2)</f>
        <v>2.2064431982817099E-5</v>
      </c>
      <c r="F48" s="12" cm="1">
        <f t="array" ref="F48">GammaCP(A48,$B$2,$F$47,$D$2,$E$2,$F$2)</f>
        <v>1.0070170546498086E-4</v>
      </c>
      <c r="G48" s="12" cm="1">
        <f t="array" ref="G48">GammaCP(A48,$B$2,$G$47,$D$2,$E$2,$F$2)</f>
        <v>2.7236380704730455E-4</v>
      </c>
      <c r="H48" s="12" cm="1">
        <f t="array" ref="H48">GammaCP(A48,$B$2,$H$47,$D$2,$E$2,$F$2)</f>
        <v>5.4760481596518001E-4</v>
      </c>
      <c r="I48" s="12" cm="1">
        <f t="array" ref="I48">GammaCP(A48,$B$2,$I$47,$D$2,$E$2,$F$2)</f>
        <v>9.1609936771568209E-4</v>
      </c>
      <c r="J48" s="12" cm="1">
        <f t="array" ref="J48">GammaCP(A48,$B$2,$J$47,$D$2,$E$2,$F$2)</f>
        <v>1.3571389458380502E-3</v>
      </c>
      <c r="K48" s="12" cm="1">
        <f t="array" ref="K48">GammaCP(A48,$B$2,$K$47,$D$2,$E$2,$F$2)</f>
        <v>1.8477969471792112E-3</v>
      </c>
      <c r="L48" s="12" cm="1">
        <f t="array" ref="L48">GammaCP(A48,$B$2,$L$47,$D$2,$E$2,$F$2)</f>
        <v>6.5999568536451924E-3</v>
      </c>
      <c r="M48" s="12" cm="1">
        <f t="array" ref="M48">GammaCP(A48,$B$2,$M$47,$D$2,$E$2,$F$2)</f>
        <v>9.1771016304238069E-3</v>
      </c>
      <c r="N48" s="12" cm="1">
        <f t="array" ref="N48">GammaCP(A48,$B$2,$N$47,$D$2,$E$2,$F$2)</f>
        <v>1.0313315500073911E-2</v>
      </c>
      <c r="O48" s="13" cm="1">
        <f t="array" ref="O48">GammaCP(A48,$B$2,$O$47,$D$2,$E$2,$F$2)</f>
        <v>1.073708151996329E-2</v>
      </c>
      <c r="S48" s="1">
        <v>60</v>
      </c>
      <c r="T48" s="4" cm="1">
        <f t="array" ref="T48">GammaCP(S48,$B$2,$T$47,$D$2,$E$2,$F$3)</f>
        <v>4.8371729163416413E-8</v>
      </c>
      <c r="U48" s="4" cm="1">
        <f t="array" ref="U48">GammaCP(S48,$B$2,$U$47,$D$2,$E$2,$F$3)</f>
        <v>4.8005602280442924E-5</v>
      </c>
      <c r="V48" s="4" cm="1">
        <f t="array" ref="V48">GammaCP(S48,$B$2,$V$47,$D$2,$E$2,$F$3)</f>
        <v>4.3836057898992057E-4</v>
      </c>
      <c r="W48" s="4" cm="1">
        <f t="array" ref="W48">GammaCP(S48,$B$2,$W$47,$D$2,$E$2,$F$3)</f>
        <v>1.2684980236185479E-3</v>
      </c>
      <c r="X48" s="4" cm="1">
        <f t="array" ref="X48">GammaCP(S48,$B$2,$X$47,$D$2,$E$2,$F$3)</f>
        <v>2.3382957957450946E-3</v>
      </c>
      <c r="Y48" s="4" cm="1">
        <f t="array" ref="Y48">GammaCP(S48,$B$2,$Y$47,$D$2,$E$2,$F$3)</f>
        <v>3.4549517028754713E-3</v>
      </c>
      <c r="Z48" s="4" cm="1">
        <f t="array" ref="Z48">GammaCP(S48,$B$2,$Z$47,$D$2,$E$2,$F$3)</f>
        <v>4.509629684515108E-3</v>
      </c>
      <c r="AA48" s="4" cm="1">
        <f t="array" ref="AA48">GammaCP(S48,$B$2,$AA$47,$D$2,$E$2,$F$3)</f>
        <v>5.4555892387964204E-3</v>
      </c>
      <c r="AB48" s="4" cm="1">
        <f t="array" ref="AB48">GammaCP(S48,$B$2,$AB$47,$D$2,$E$2,$F$3)</f>
        <v>6.2802722099484769E-3</v>
      </c>
      <c r="AC48" s="4" cm="1">
        <f t="array" ref="AC48">GammaCP(S48,$B$2,$AC$47,$D$2,$E$2,$F$3)</f>
        <v>6.9875383385906882E-3</v>
      </c>
      <c r="AD48" s="4" cm="1">
        <f t="array" ref="AD48">GammaCP(S48,$B$2,$AD$47,$D$2,$E$2,$F$3)</f>
        <v>1.0030097674802636E-2</v>
      </c>
      <c r="AE48" s="4" cm="1">
        <f t="array" ref="AE48">GammaCP(S48,$B$2,$AE$47,$D$2,$E$2,$F$3)</f>
        <v>1.025398028665004E-2</v>
      </c>
      <c r="AF48" s="4" cm="1">
        <f t="array" ref="AF48">GammaCP(S48,$B$2,$AF$47,$D$2,$E$2,$F$3)</f>
        <v>9.8534950455954461E-3</v>
      </c>
      <c r="AG48" s="5" cm="1">
        <f t="array" ref="AG48">GammaCP(S48,$B$2,$AG$47,$D$2,$E$2,$F$3)</f>
        <v>9.3178601442685666E-3</v>
      </c>
      <c r="AK48" s="1">
        <v>60</v>
      </c>
      <c r="AL48" s="4" cm="1">
        <f t="array" ref="AL48">GammaCP(AK48,$B$2,$AL$47,$D$2,$E$2,$F$4)</f>
        <v>9.8181668070315396E-58</v>
      </c>
      <c r="AM48" s="4" cm="1">
        <f t="array" ref="AM48">GammaCP(AK48,$B$2,$AM$47,$D$2,$E$2,$F$4)</f>
        <v>1.4877614568192042E-29</v>
      </c>
      <c r="AN48" s="4" cm="1">
        <f t="array" ref="AN48">GammaCP(AK48,$B$2,$AN$47,$D$2,$E$2,$F$4)</f>
        <v>3.3715886606541128E-20</v>
      </c>
      <c r="AO48" s="4" cm="1">
        <f t="array" ref="AO48">GammaCP(AK48,$B$2,$AO$47,$D$2,$E$2,$F$4)</f>
        <v>1.5374265651823466E-15</v>
      </c>
      <c r="AP48" s="4" cm="1">
        <f t="array" ref="AP48">GammaCP(AK48,$B$2,$AP$47,$D$2,$E$2,$F$4)</f>
        <v>9.3540877738933165E-13</v>
      </c>
      <c r="AQ48" s="4" cm="1">
        <f t="array" ref="AQ48">GammaCP(AK48,$B$2,$AQ$47,$D$2,$E$2,$F$4)</f>
        <v>6.60221001258594E-11</v>
      </c>
      <c r="AR48" s="4" cm="1">
        <f t="array" ref="AR48">GammaCP(AK48,$B$2,$AR$47,$D$2,$E$2,$F$4)</f>
        <v>1.3641015888556876E-9</v>
      </c>
      <c r="AS48" s="4" cm="1">
        <f t="array" ref="AS48">GammaCP(AK48,$B$2,$AS$47,$D$2,$E$2,$F$4)</f>
        <v>1.309790020055326E-8</v>
      </c>
      <c r="AT48" s="4" cm="1">
        <f t="array" ref="AT48">GammaCP(AK48,$B$2,$AT$47,$D$2,$E$2,$F$4)</f>
        <v>7.5530633187758123E-8</v>
      </c>
      <c r="AU48" s="4" cm="1">
        <f t="array" ref="AU48">GammaCP(AK48,$B$2,$AU$47,$D$2,$E$2,$F$4)</f>
        <v>3.0503159925846612E-7</v>
      </c>
      <c r="AV48" s="4" cm="1">
        <f t="array" ref="AV48">GammaCP(AK48,$B$2,$AV$47,$D$2,$E$2,$F$4)</f>
        <v>1.4524281869372614E-4</v>
      </c>
      <c r="AW48" s="4" cm="1">
        <f t="array" ref="AW48">GammaCP(AK48,$B$2,$AW$47,$D$2,$E$2,$F$4)</f>
        <v>1.031684190152515E-3</v>
      </c>
      <c r="AX48" s="4" cm="1">
        <f t="array" ref="AX48">GammaCP(AK48,$B$2,$AX$47,$D$2,$E$2,$F$4)</f>
        <v>2.6204952010288863E-3</v>
      </c>
      <c r="AY48" s="5" cm="1">
        <f t="array" ref="AY48">GammaCP(AK48,$B$2,$AY$47,$D$2,$E$2,$F$4)</f>
        <v>4.4499754398238528E-3</v>
      </c>
    </row>
    <row r="49" spans="1:51" x14ac:dyDescent="0.3">
      <c r="A49" s="9">
        <v>65</v>
      </c>
      <c r="B49" s="12" cm="1">
        <f t="array" ref="B49">GammaCP(A49,$B$2,$B$47,$D$2,$E$2,$F$2)</f>
        <v>1.1286957540817281E-11</v>
      </c>
      <c r="C49" s="12" cm="1">
        <f t="array" ref="C49">GammaCP(A49,$B$2,$C$47,$D$2,$E$2,$F$2)</f>
        <v>8.6832323834608043E-7</v>
      </c>
      <c r="D49" s="12" cm="1">
        <f t="array" ref="D49">GammaCP(A49,$B$2,$D$47,$D$2,$E$2,$F$2)</f>
        <v>3.3820751258091636E-5</v>
      </c>
      <c r="E49" s="12" cm="1">
        <f t="array" ref="E49">GammaCP(A49,$B$2,$E$47,$D$2,$E$2,$F$2)</f>
        <v>2.0218238688417132E-4</v>
      </c>
      <c r="F49" s="12" cm="1">
        <f t="array" ref="F49">GammaCP(A49,$B$2,$F$47,$D$2,$E$2,$F$2)</f>
        <v>5.7611680391896742E-4</v>
      </c>
      <c r="G49" s="12" cm="1">
        <f t="array" ref="G49">GammaCP(A49,$B$2,$G$47,$D$2,$E$2,$F$2)</f>
        <v>1.1382523244176262E-3</v>
      </c>
      <c r="H49" s="12" cm="1">
        <f t="array" ref="H49">GammaCP(A49,$B$2,$H$47,$D$2,$E$2,$F$2)</f>
        <v>1.8286848240875091E-3</v>
      </c>
      <c r="I49" s="12" cm="1">
        <f t="array" ref="I49">GammaCP(A49,$B$2,$I$47,$D$2,$E$2,$F$2)</f>
        <v>2.5855385907713364E-3</v>
      </c>
      <c r="J49" s="12" cm="1">
        <f t="array" ref="J49">GammaCP(A49,$B$2,$J$47,$D$2,$E$2,$F$2)</f>
        <v>3.3605151026574491E-3</v>
      </c>
      <c r="K49" s="12" cm="1">
        <f t="array" ref="K49">GammaCP(A49,$B$2,$K$47,$D$2,$E$2,$F$2)</f>
        <v>4.1207309613217006E-3</v>
      </c>
      <c r="L49" s="12" cm="1">
        <f t="array" ref="L49">GammaCP(A49,$B$2,$L$47,$D$2,$E$2,$F$2)</f>
        <v>9.1893387459059377E-3</v>
      </c>
      <c r="M49" s="12" cm="1">
        <f t="array" ref="M49">GammaCP(A49,$B$2,$M$47,$D$2,$E$2,$F$2)</f>
        <v>1.0920849507992856E-2</v>
      </c>
      <c r="N49" s="12" cm="1">
        <f t="array" ref="N49">GammaCP(A49,$B$2,$N$47,$D$2,$E$2,$F$2)</f>
        <v>1.1346268148064859E-2</v>
      </c>
      <c r="O49" s="13" cm="1">
        <f t="array" ref="O49">GammaCP(A49,$B$2,$O$47,$D$2,$E$2,$F$2)</f>
        <v>1.126894618169702E-2</v>
      </c>
      <c r="S49" s="1">
        <v>65</v>
      </c>
      <c r="T49" s="4" cm="1">
        <f t="array" ref="T49">GammaCP(S49,$B$2,$T$47,$D$2,$E$2,$F$3)</f>
        <v>2.7992835519207707E-6</v>
      </c>
      <c r="U49" s="4" cm="1">
        <f t="array" ref="U49">GammaCP(S49,$B$2,$U$47,$D$2,$E$2,$F$3)</f>
        <v>3.4238659642402429E-4</v>
      </c>
      <c r="V49" s="4" cm="1">
        <f t="array" ref="V49">GammaCP(S49,$B$2,$V$47,$D$2,$E$2,$F$3)</f>
        <v>1.5558922158995399E-3</v>
      </c>
      <c r="W49" s="4" cm="1">
        <f t="array" ref="W49">GammaCP(S49,$B$2,$W$47,$D$2,$E$2,$F$3)</f>
        <v>3.1761382873591237E-3</v>
      </c>
      <c r="X49" s="4" cm="1">
        <f t="array" ref="X49">GammaCP(S49,$B$2,$X$47,$D$2,$E$2,$F$3)</f>
        <v>4.7488233231175458E-3</v>
      </c>
      <c r="Y49" s="4" cm="1">
        <f t="array" ref="Y49">GammaCP(S49,$B$2,$Y$47,$D$2,$E$2,$F$3)</f>
        <v>6.1025757786037091E-3</v>
      </c>
      <c r="Z49" s="4" cm="1">
        <f t="array" ref="Z49">GammaCP(S49,$B$2,$Z$47,$D$2,$E$2,$F$3)</f>
        <v>7.2096701015754924E-3</v>
      </c>
      <c r="AA49" s="4" cm="1">
        <f t="array" ref="AA49">GammaCP(S49,$B$2,$AA$47,$D$2,$E$2,$F$3)</f>
        <v>8.0936358441935641E-3</v>
      </c>
      <c r="AB49" s="4" cm="1">
        <f t="array" ref="AB49">GammaCP(S49,$B$2,$AB$47,$D$2,$E$2,$F$3)</f>
        <v>8.7907122230331258E-3</v>
      </c>
      <c r="AC49" s="4" cm="1">
        <f t="array" ref="AC49">GammaCP(S49,$B$2,$AC$47,$D$2,$E$2,$F$3)</f>
        <v>9.3360824327461973E-3</v>
      </c>
      <c r="AD49" s="4" cm="1">
        <f t="array" ref="AD49">GammaCP(S49,$B$2,$AD$47,$D$2,$E$2,$F$3)</f>
        <v>1.0869825982032191E-2</v>
      </c>
      <c r="AE49" s="4" cm="1">
        <f t="array" ref="AE49">GammaCP(S49,$B$2,$AE$47,$D$2,$E$2,$F$3)</f>
        <v>1.0363399155444455E-2</v>
      </c>
      <c r="AF49" s="4" cm="1">
        <f t="array" ref="AF49">GammaCP(S49,$B$2,$AF$47,$D$2,$E$2,$F$3)</f>
        <v>9.6171460019162294E-3</v>
      </c>
      <c r="AG49" s="5" cm="1">
        <f t="array" ref="AG49">GammaCP(S49,$B$2,$AG$47,$D$2,$E$2,$F$3)</f>
        <v>8.9059405124312912E-3</v>
      </c>
      <c r="AK49" s="1">
        <v>65</v>
      </c>
      <c r="AL49" s="4" cm="1">
        <f t="array" ref="AL49">GammaCP(AK49,$B$2,$AL$47,$D$2,$E$2,$F$4)</f>
        <v>1.8675541334492263E-41</v>
      </c>
      <c r="AM49" s="4" cm="1">
        <f t="array" ref="AM49">GammaCP(AK49,$B$2,$AM$47,$D$2,$E$2,$F$4)</f>
        <v>1.8565304082520432E-21</v>
      </c>
      <c r="AN49" s="4" cm="1">
        <f t="array" ref="AN49">GammaCP(AK49,$B$2,$AN$47,$D$2,$E$2,$F$4)</f>
        <v>7.8761142092033319E-15</v>
      </c>
      <c r="AO49" s="4" cm="1">
        <f t="array" ref="AO49">GammaCP(AK49,$B$2,$AO$47,$D$2,$E$2,$F$4)</f>
        <v>1.553910960400279E-11</v>
      </c>
      <c r="AP49" s="4" cm="1">
        <f t="array" ref="AP49">GammaCP(AK49,$B$2,$AP$47,$D$2,$E$2,$F$4)</f>
        <v>1.4365666725428593E-9</v>
      </c>
      <c r="AQ49" s="4" cm="1">
        <f t="array" ref="AQ49">GammaCP(AK49,$B$2,$AQ$47,$D$2,$E$2,$F$4)</f>
        <v>2.8871903156587706E-8</v>
      </c>
      <c r="AR49" s="4" cm="1">
        <f t="array" ref="AR49">GammaCP(AK49,$B$2,$AR$47,$D$2,$E$2,$F$4)</f>
        <v>2.4319945667214467E-7</v>
      </c>
      <c r="AS49" s="4" cm="1">
        <f t="array" ref="AS49">GammaCP(AK49,$B$2,$AS$47,$D$2,$E$2,$F$4)</f>
        <v>1.1914200891051552E-6</v>
      </c>
      <c r="AT49" s="4" cm="1">
        <f t="array" ref="AT49">GammaCP(AK49,$B$2,$AT$47,$D$2,$E$2,$F$4)</f>
        <v>4.0707905271917845E-6</v>
      </c>
      <c r="AU49" s="4" cm="1">
        <f t="array" ref="AU49">GammaCP(AK49,$B$2,$AU$47,$D$2,$E$2,$F$4)</f>
        <v>1.0815693509621757E-5</v>
      </c>
      <c r="AV49" s="4" cm="1">
        <f t="array" ref="AV49">GammaCP(AK49,$B$2,$AV$47,$D$2,$E$2,$F$4)</f>
        <v>7.8252244975753993E-4</v>
      </c>
      <c r="AW49" s="4" cm="1">
        <f t="array" ref="AW49">GammaCP(AK49,$B$2,$AW$47,$D$2,$E$2,$F$4)</f>
        <v>2.9660589498737341E-3</v>
      </c>
      <c r="AX49" s="4" cm="1">
        <f t="array" ref="AX49">GammaCP(AK49,$B$2,$AX$47,$D$2,$E$2,$F$4)</f>
        <v>5.5034091875470386E-3</v>
      </c>
      <c r="AY49" s="5" cm="1">
        <f t="array" ref="AY49">GammaCP(AK49,$B$2,$AY$47,$D$2,$E$2,$F$4)</f>
        <v>7.7406121902881767E-3</v>
      </c>
    </row>
    <row r="50" spans="1:51" x14ac:dyDescent="0.3">
      <c r="A50" s="9">
        <v>70</v>
      </c>
      <c r="B50" s="12" cm="1">
        <f t="array" ref="B50">GammaCP(A50,$B$2,$B$47,$D$2,$E$2,$F$2)</f>
        <v>1.4597010892531749E-8</v>
      </c>
      <c r="C50" s="12" cm="1">
        <f t="array" ref="C50">GammaCP(A50,$B$2,$C$47,$D$2,$E$2,$F$2)</f>
        <v>2.9265998523210969E-5</v>
      </c>
      <c r="D50" s="12" cm="1">
        <f t="array" ref="D50">GammaCP(A50,$B$2,$D$47,$D$2,$E$2,$F$2)</f>
        <v>3.3795857220289077E-4</v>
      </c>
      <c r="E50" s="12" cm="1">
        <f t="array" ref="E50">GammaCP(A50,$B$2,$E$47,$D$2,$E$2,$F$2)</f>
        <v>1.1000759814895993E-3</v>
      </c>
      <c r="F50" s="12" cm="1">
        <f t="array" ref="F50">GammaCP(A50,$B$2,$F$47,$D$2,$E$2,$F$2)</f>
        <v>2.1766539744156989E-3</v>
      </c>
      <c r="G50" s="12" cm="1">
        <f t="array" ref="G50">GammaCP(A50,$B$2,$G$47,$D$2,$E$2,$F$2)</f>
        <v>3.3722289783455627E-3</v>
      </c>
      <c r="H50" s="12" cm="1">
        <f t="array" ref="H50">GammaCP(A50,$B$2,$H$47,$D$2,$E$2,$F$2)</f>
        <v>4.5539531232495038E-3</v>
      </c>
      <c r="I50" s="12" cm="1">
        <f t="array" ref="I50">GammaCP(A50,$B$2,$I$47,$D$2,$E$2,$F$2)</f>
        <v>5.6523508060789462E-3</v>
      </c>
      <c r="J50" s="12" cm="1">
        <f t="array" ref="J50">GammaCP(A50,$B$2,$J$47,$D$2,$E$2,$F$2)</f>
        <v>6.6387114573764547E-3</v>
      </c>
      <c r="K50" s="12" cm="1">
        <f t="array" ref="K50">GammaCP(A50,$B$2,$K$47,$D$2,$E$2,$F$2)</f>
        <v>7.5067523489369872E-3</v>
      </c>
      <c r="L50" s="12" cm="1">
        <f t="array" ref="L50">GammaCP(A50,$B$2,$L$47,$D$2,$E$2,$F$2)</f>
        <v>1.1624159945686188E-2</v>
      </c>
      <c r="M50" s="12" cm="1">
        <f t="array" ref="M50">GammaCP(A50,$B$2,$M$47,$D$2,$E$2,$F$2)</f>
        <v>1.22330166765713E-2</v>
      </c>
      <c r="N50" s="12" cm="1">
        <f t="array" ref="N50">GammaCP(A50,$B$2,$N$47,$D$2,$E$2,$F$2)</f>
        <v>1.1959970353331821E-2</v>
      </c>
      <c r="O50" s="13" cm="1">
        <f t="array" ref="O50">GammaCP(A50,$B$2,$O$47,$D$2,$E$2,$F$2)</f>
        <v>1.1453027766679769E-2</v>
      </c>
      <c r="S50" s="1">
        <v>70</v>
      </c>
      <c r="T50" s="4" cm="1">
        <f t="array" ref="T50">GammaCP(S50,$B$2,$T$47,$D$2,$E$2,$F$3)</f>
        <v>6.35621151820228E-5</v>
      </c>
      <c r="U50" s="4" cm="1">
        <f t="array" ref="U50">GammaCP(S50,$B$2,$U$47,$D$2,$E$2,$F$3)</f>
        <v>1.5369719040112578E-3</v>
      </c>
      <c r="V50" s="4" cm="1">
        <f t="array" ref="V50">GammaCP(S50,$B$2,$V$47,$D$2,$E$2,$F$3)</f>
        <v>4.0687523516901537E-3</v>
      </c>
      <c r="W50" s="4" cm="1">
        <f t="array" ref="W50">GammaCP(S50,$B$2,$W$47,$D$2,$E$2,$F$3)</f>
        <v>6.3393895489089096E-3</v>
      </c>
      <c r="X50" s="4" cm="1">
        <f t="array" ref="X50">GammaCP(S50,$B$2,$X$47,$D$2,$E$2,$F$3)</f>
        <v>8.059977346624966E-3</v>
      </c>
      <c r="Y50" s="4" cm="1">
        <f t="array" ref="Y50">GammaCP(S50,$B$2,$Y$47,$D$2,$E$2,$F$3)</f>
        <v>9.2966719191608007E-3</v>
      </c>
      <c r="Z50" s="4" cm="1">
        <f t="array" ref="Z50">GammaCP(S50,$B$2,$Z$47,$D$2,$E$2,$F$3)</f>
        <v>1.0167303762997197E-2</v>
      </c>
      <c r="AA50" s="4" cm="1">
        <f t="array" ref="AA50">GammaCP(S50,$B$2,$AA$47,$D$2,$E$2,$F$3)</f>
        <v>1.0771870609204376E-2</v>
      </c>
      <c r="AB50" s="4" cm="1">
        <f t="array" ref="AB50">GammaCP(S50,$B$2,$AB$47,$D$2,$E$2,$F$3)</f>
        <v>1.1184482954854207E-2</v>
      </c>
      <c r="AC50" s="4" cm="1">
        <f t="array" ref="AC50">GammaCP(S50,$B$2,$AC$47,$D$2,$E$2,$F$3)</f>
        <v>1.1458084787714838E-2</v>
      </c>
      <c r="AD50" s="4" cm="1">
        <f t="array" ref="AD50">GammaCP(S50,$B$2,$AD$47,$D$2,$E$2,$F$3)</f>
        <v>1.1344091423781006E-2</v>
      </c>
      <c r="AE50" s="4" cm="1">
        <f t="array" ref="AE50">GammaCP(S50,$B$2,$AE$47,$D$2,$E$2,$F$3)</f>
        <v>1.0246666696571996E-2</v>
      </c>
      <c r="AF50" s="4" cm="1">
        <f t="array" ref="AF50">GammaCP(S50,$B$2,$AF$47,$D$2,$E$2,$F$3)</f>
        <v>9.2553580000514068E-3</v>
      </c>
      <c r="AG50" s="5" cm="1">
        <f t="array" ref="AG50">GammaCP(S50,$B$2,$AG$47,$D$2,$E$2,$F$3)</f>
        <v>8.4330908674948215E-3</v>
      </c>
      <c r="AK50" s="1">
        <v>70</v>
      </c>
      <c r="AL50" s="4" cm="1">
        <f t="array" ref="AL50">GammaCP(AK50,$B$2,$AL$47,$D$2,$E$2,$F$4)</f>
        <v>7.2920970083605385E-29</v>
      </c>
      <c r="AM50" s="4" cm="1">
        <f t="array" ref="AM50">GammaCP(AK50,$B$2,$AM$47,$D$2,$E$2,$F$4)</f>
        <v>3.3439581371571196E-15</v>
      </c>
      <c r="AN50" s="4" cm="1">
        <f t="array" ref="AN50">GammaCP(AK50,$B$2,$AN$47,$D$2,$E$2,$F$4)</f>
        <v>1.0961347486332762E-10</v>
      </c>
      <c r="AO50" s="4" cm="1">
        <f t="array" ref="AO50">GammaCP(AK50,$B$2,$AO$47,$D$2,$E$2,$F$4)</f>
        <v>1.9009673521623239E-8</v>
      </c>
      <c r="AP50" s="4" cm="1">
        <f t="array" ref="AP50">GammaCP(AK50,$B$2,$AP$47,$D$2,$E$2,$F$4)</f>
        <v>4.0857545005606403E-7</v>
      </c>
      <c r="AQ50" s="4" cm="1">
        <f t="array" ref="AQ50">GammaCP(AK50,$B$2,$AQ$47,$D$2,$E$2,$F$4)</f>
        <v>3.1047063387497025E-6</v>
      </c>
      <c r="AR50" s="4" cm="1">
        <f t="array" ref="AR50">GammaCP(AK50,$B$2,$AR$47,$D$2,$E$2,$F$4)</f>
        <v>1.3055468334454291E-5</v>
      </c>
      <c r="AS50" s="4" cm="1">
        <f t="array" ref="AS50">GammaCP(AK50,$B$2,$AS$47,$D$2,$E$2,$F$4)</f>
        <v>3.7984667450688734E-5</v>
      </c>
      <c r="AT50" s="4" cm="1">
        <f t="array" ref="AT50">GammaCP(AK50,$B$2,$AT$47,$D$2,$E$2,$F$4)</f>
        <v>8.6540937665519226E-5</v>
      </c>
      <c r="AU50" s="4" cm="1">
        <f t="array" ref="AU50">GammaCP(AK50,$B$2,$AU$47,$D$2,$E$2,$F$4)</f>
        <v>1.6626343859570735E-4</v>
      </c>
      <c r="AV50" s="4" cm="1">
        <f t="array" ref="AV50">GammaCP(AK50,$B$2,$AV$47,$D$2,$E$2,$F$4)</f>
        <v>2.7966437332461506E-3</v>
      </c>
      <c r="AW50" s="4" cm="1">
        <f t="array" ref="AW50">GammaCP(AK50,$B$2,$AW$47,$D$2,$E$2,$F$4)</f>
        <v>6.5180762218455023E-3</v>
      </c>
      <c r="AX50" s="4" cm="1">
        <f t="array" ref="AX50">GammaCP(AK50,$B$2,$AX$47,$D$2,$E$2,$F$4)</f>
        <v>9.4835539632301003E-3</v>
      </c>
      <c r="AY50" s="5" cm="1">
        <f t="array" ref="AY50">GammaCP(AK50,$B$2,$AY$47,$D$2,$E$2,$F$4)</f>
        <v>1.1528012005023357E-2</v>
      </c>
    </row>
    <row r="51" spans="1:51" x14ac:dyDescent="0.3">
      <c r="A51" s="9">
        <v>75</v>
      </c>
      <c r="B51" s="12" cm="1">
        <f t="array" ref="B51">GammaCP(A51,$B$2,$B$47,$D$2,$E$2,$F$2)</f>
        <v>3.3512354645083046E-6</v>
      </c>
      <c r="C51" s="12" cm="1">
        <f t="array" ref="C51">GammaCP(A51,$B$2,$C$47,$D$2,$E$2,$F$2)</f>
        <v>4.1746111765088794E-4</v>
      </c>
      <c r="D51" s="12" cm="1">
        <f t="array" ref="D51">GammaCP(A51,$B$2,$D$47,$D$2,$E$2,$F$2)</f>
        <v>1.9093551185000314E-3</v>
      </c>
      <c r="E51" s="12" cm="1">
        <f t="array" ref="E51">GammaCP(A51,$B$2,$E$47,$D$2,$E$2,$F$2)</f>
        <v>3.9113907532951553E-3</v>
      </c>
      <c r="F51" s="12" cm="1">
        <f t="array" ref="F51">GammaCP(A51,$B$2,$F$47,$D$2,$E$2,$F$2)</f>
        <v>5.8617741810673704E-3</v>
      </c>
      <c r="G51" s="12" cm="1">
        <f t="array" ref="G51">GammaCP(A51,$B$2,$G$47,$D$2,$E$2,$F$2)</f>
        <v>7.5458967272333368E-3</v>
      </c>
      <c r="H51" s="12" cm="1">
        <f t="array" ref="H51">GammaCP(A51,$B$2,$H$47,$D$2,$E$2,$F$2)</f>
        <v>8.9273180622224217E-3</v>
      </c>
      <c r="I51" s="12" cm="1">
        <f t="array" ref="I51">GammaCP(A51,$B$2,$I$47,$D$2,$E$2,$F$2)</f>
        <v>1.0033802504733588E-2</v>
      </c>
      <c r="J51" s="12" cm="1">
        <f t="array" ref="J51">GammaCP(A51,$B$2,$J$47,$D$2,$E$2,$F$2)</f>
        <v>1.0909406223302241E-2</v>
      </c>
      <c r="K51" s="12" cm="1">
        <f t="array" ref="K51">GammaCP(A51,$B$2,$K$47,$D$2,$E$2,$F$2)</f>
        <v>1.1597225794774839E-2</v>
      </c>
      <c r="L51" s="12" cm="1">
        <f t="array" ref="L51">GammaCP(A51,$B$2,$L$47,$D$2,$E$2,$F$2)</f>
        <v>1.3601749391133747E-2</v>
      </c>
      <c r="M51" s="12" cm="1">
        <f t="array" ref="M51">GammaCP(A51,$B$2,$M$47,$D$2,$E$2,$F$2)</f>
        <v>1.304799601147523E-2</v>
      </c>
      <c r="N51" s="12" cm="1">
        <f t="array" ref="N51">GammaCP(A51,$B$2,$N$47,$D$2,$E$2,$F$2)</f>
        <v>1.2179483699411454E-2</v>
      </c>
      <c r="O51" s="13" cm="1">
        <f t="array" ref="O51">GammaCP(A51,$B$2,$O$47,$D$2,$E$2,$F$2)</f>
        <v>1.1343634002882847E-2</v>
      </c>
      <c r="S51" s="1">
        <v>75</v>
      </c>
      <c r="T51" s="4" cm="1">
        <f t="array" ref="T51">GammaCP(S51,$B$2,$T$47,$D$2,$E$2,$F$3)</f>
        <v>6.7225819369320081E-4</v>
      </c>
      <c r="U51" s="4" cm="1">
        <f t="array" ref="U51">GammaCP(S51,$B$2,$U$47,$D$2,$E$2,$F$3)</f>
        <v>4.7282210181891797E-3</v>
      </c>
      <c r="V51" s="4" cm="1">
        <f t="array" ref="V51">GammaCP(S51,$B$2,$V$47,$D$2,$E$2,$F$3)</f>
        <v>8.2932442565351941E-3</v>
      </c>
      <c r="W51" s="4" cm="1">
        <f t="array" ref="W51">GammaCP(S51,$B$2,$W$47,$D$2,$E$2,$F$3)</f>
        <v>1.0517834159617731E-2</v>
      </c>
      <c r="X51" s="4" cm="1">
        <f t="array" ref="X51">GammaCP(S51,$B$2,$X$47,$D$2,$E$2,$F$3)</f>
        <v>1.1819037433225307E-2</v>
      </c>
      <c r="Y51" s="4" cm="1">
        <f t="array" ref="Y51">GammaCP(S51,$B$2,$Y$47,$D$2,$E$2,$F$3)</f>
        <v>1.2555154567235539E-2</v>
      </c>
      <c r="Z51" s="4" cm="1">
        <f t="array" ref="Z51">GammaCP(S51,$B$2,$Z$47,$D$2,$E$2,$F$3)</f>
        <v>1.2946786325768763E-2</v>
      </c>
      <c r="AA51" s="4" cm="1">
        <f t="array" ref="AA51">GammaCP(S51,$B$2,$AA$47,$D$2,$E$2,$F$3)</f>
        <v>1.3124825156577537E-2</v>
      </c>
      <c r="AB51" s="4" cm="1">
        <f t="array" ref="AB51">GammaCP(S51,$B$2,$AB$47,$D$2,$E$2,$F$3)</f>
        <v>1.3168033532704496E-2</v>
      </c>
      <c r="AC51" s="4" cm="1">
        <f t="array" ref="AC51">GammaCP(S51,$B$2,$AC$47,$D$2,$E$2,$F$3)</f>
        <v>1.3124994619891275E-2</v>
      </c>
      <c r="AD51" s="4" cm="1">
        <f t="array" ref="AD51">GammaCP(S51,$B$2,$AD$47,$D$2,$E$2,$F$3)</f>
        <v>1.148487381824651E-2</v>
      </c>
      <c r="AE51" s="4" cm="1">
        <f t="array" ref="AE51">GammaCP(S51,$B$2,$AE$47,$D$2,$E$2,$F$3)</f>
        <v>9.9554811818721185E-3</v>
      </c>
      <c r="AF51" s="4" cm="1">
        <f t="array" ref="AF51">GammaCP(S51,$B$2,$AF$47,$D$2,$E$2,$F$3)</f>
        <v>8.8091587418353094E-3</v>
      </c>
      <c r="AG51" s="5" cm="1">
        <f t="array" ref="AG51">GammaCP(S51,$B$2,$AG$47,$D$2,$E$2,$F$3)</f>
        <v>7.9280236081079453E-3</v>
      </c>
      <c r="AK51" s="1">
        <v>75</v>
      </c>
      <c r="AL51" s="4" cm="1">
        <f t="array" ref="AL51">GammaCP(AK51,$B$2,$AL$47,$D$2,$E$2,$F$4)</f>
        <v>2.7634460319906593E-19</v>
      </c>
      <c r="AM51" s="4" cm="1">
        <f t="array" ref="AM51">GammaCP(AK51,$B$2,$AM$47,$D$2,$E$2,$F$4)</f>
        <v>1.8884525527510622E-10</v>
      </c>
      <c r="AN51" s="4" cm="1">
        <f t="array" ref="AN51">GammaCP(AK51,$B$2,$AN$47,$D$2,$E$2,$F$4)</f>
        <v>1.5233209793360453E-7</v>
      </c>
      <c r="AO51" s="4" cm="1">
        <f t="array" ref="AO51">GammaCP(AK51,$B$2,$AO$47,$D$2,$E$2,$F$4)</f>
        <v>4.1442242901485525E-6</v>
      </c>
      <c r="AP51" s="4" cm="1">
        <f t="array" ref="AP51">GammaCP(AK51,$B$2,$AP$47,$D$2,$E$2,$F$4)</f>
        <v>2.931335523260756E-5</v>
      </c>
      <c r="AQ51" s="4" cm="1">
        <f t="array" ref="AQ51">GammaCP(AK51,$B$2,$AQ$47,$D$2,$E$2,$F$4)</f>
        <v>1.0617694808839026E-4</v>
      </c>
      <c r="AR51" s="4" cm="1">
        <f t="array" ref="AR51">GammaCP(AK51,$B$2,$AR$47,$D$2,$E$2,$F$4)</f>
        <v>2.630006185665992E-4</v>
      </c>
      <c r="AS51" s="4" cm="1">
        <f t="array" ref="AS51">GammaCP(AK51,$B$2,$AS$47,$D$2,$E$2,$F$4)</f>
        <v>5.1450381124671122E-4</v>
      </c>
      <c r="AT51" s="4" cm="1">
        <f t="array" ref="AT51">GammaCP(AK51,$B$2,$AT$47,$D$2,$E$2,$F$4)</f>
        <v>8.6084583659867787E-4</v>
      </c>
      <c r="AU51" s="4" cm="1">
        <f t="array" ref="AU51">GammaCP(AK51,$B$2,$AU$47,$D$2,$E$2,$F$4)</f>
        <v>1.2919311227899846E-3</v>
      </c>
      <c r="AV51" s="4" cm="1">
        <f t="array" ref="AV51">GammaCP(AK51,$B$2,$AV$47,$D$2,$E$2,$F$4)</f>
        <v>7.1516197776597063E-3</v>
      </c>
      <c r="AW51" s="4" cm="1">
        <f t="array" ref="AW51">GammaCP(AK51,$B$2,$AW$47,$D$2,$E$2,$F$4)</f>
        <v>1.150786954283289E-2</v>
      </c>
      <c r="AX51" s="4" cm="1">
        <f t="array" ref="AX51">GammaCP(AK51,$B$2,$AX$47,$D$2,$E$2,$F$4)</f>
        <v>1.3912357420204602E-2</v>
      </c>
      <c r="AY51" s="5" cm="1">
        <f t="array" ref="AY51">GammaCP(AK51,$B$2,$AY$47,$D$2,$E$2,$F$4)</f>
        <v>1.5132702486471092E-2</v>
      </c>
    </row>
    <row r="52" spans="1:51" x14ac:dyDescent="0.3">
      <c r="A52" s="9">
        <v>80</v>
      </c>
      <c r="B52" s="12" cm="1">
        <f t="array" ref="B52">GammaCP(A52,$B$2,$B$47,$D$2,$E$2,$F$2)</f>
        <v>1.8444991272199748E-4</v>
      </c>
      <c r="C52" s="12" cm="1">
        <f t="array" ref="C52">GammaCP(A52,$B$2,$C$47,$D$2,$E$2,$F$2)</f>
        <v>2.9270332354272271E-3</v>
      </c>
      <c r="D52" s="12" cm="1">
        <f t="array" ref="D52">GammaCP(A52,$B$2,$D$47,$D$2,$E$2,$F$2)</f>
        <v>6.736138931655423E-3</v>
      </c>
      <c r="E52" s="12" cm="1">
        <f t="array" ref="E52">GammaCP(A52,$B$2,$E$47,$D$2,$E$2,$F$2)</f>
        <v>9.7884039294375228E-3</v>
      </c>
      <c r="F52" s="12" cm="1">
        <f t="array" ref="F52">GammaCP(A52,$B$2,$F$47,$D$2,$E$2,$F$2)</f>
        <v>1.1937780047109169E-2</v>
      </c>
      <c r="G52" s="12" cm="1">
        <f t="array" ref="G52">GammaCP(A52,$B$2,$G$47,$D$2,$E$2,$F$2)</f>
        <v>1.3395159432299533E-2</v>
      </c>
      <c r="H52" s="12" cm="1">
        <f t="array" ref="H52">GammaCP(A52,$B$2,$H$47,$D$2,$E$2,$F$2)</f>
        <v>1.4366321033900608E-2</v>
      </c>
      <c r="I52" s="12" cm="1">
        <f t="array" ref="I52">GammaCP(A52,$B$2,$I$47,$D$2,$E$2,$F$2)</f>
        <v>1.5001364182628533E-2</v>
      </c>
      <c r="J52" s="12" cm="1">
        <f t="array" ref="J52">GammaCP(A52,$B$2,$J$47,$D$2,$E$2,$F$2)</f>
        <v>1.5403132263133373E-2</v>
      </c>
      <c r="K52" s="12" cm="1">
        <f t="array" ref="K52">GammaCP(A52,$B$2,$K$47,$D$2,$E$2,$F$2)</f>
        <v>1.5641421674019225E-2</v>
      </c>
      <c r="L52" s="12" cm="1">
        <f t="array" ref="L52">GammaCP(A52,$B$2,$L$47,$D$2,$E$2,$F$2)</f>
        <v>1.4928999083209113E-2</v>
      </c>
      <c r="M52" s="12" cm="1">
        <f t="array" ref="M52">GammaCP(A52,$B$2,$M$47,$D$2,$E$2,$F$2)</f>
        <v>1.3370603439876852E-2</v>
      </c>
      <c r="N52" s="12" cm="1">
        <f t="array" ref="N52">GammaCP(A52,$B$2,$N$47,$D$2,$E$2,$F$2)</f>
        <v>1.205928909750143E-2</v>
      </c>
      <c r="O52" s="13" cm="1">
        <f t="array" ref="O52">GammaCP(A52,$B$2,$O$47,$D$2,$E$2,$F$2)</f>
        <v>1.1002627628314172E-2</v>
      </c>
      <c r="S52" s="1">
        <v>80</v>
      </c>
      <c r="T52" s="4" cm="1">
        <f t="array" ref="T52">GammaCP(S52,$B$2,$T$47,$D$2,$E$2,$F$3)</f>
        <v>3.7827836741325775E-3</v>
      </c>
      <c r="U52" s="4" cm="1">
        <f t="array" ref="U52">GammaCP(S52,$B$2,$U$47,$D$2,$E$2,$F$3)</f>
        <v>1.0647723775453422E-2</v>
      </c>
      <c r="V52" s="4" cm="1">
        <f t="array" ref="V52">GammaCP(S52,$B$2,$V$47,$D$2,$E$2,$F$3)</f>
        <v>1.3762943653982108E-2</v>
      </c>
      <c r="W52" s="4" cm="1">
        <f t="array" ref="W52">GammaCP(S52,$B$2,$W$47,$D$2,$E$2,$F$3)</f>
        <v>1.4983978051139487E-2</v>
      </c>
      <c r="X52" s="4" cm="1">
        <f t="array" ref="X52">GammaCP(S52,$B$2,$X$47,$D$2,$E$2,$F$3)</f>
        <v>1.5364246918448026E-2</v>
      </c>
      <c r="Y52" s="4" cm="1">
        <f t="array" ref="Y52">GammaCP(S52,$B$2,$Y$47,$D$2,$E$2,$F$3)</f>
        <v>1.5354539900425004E-2</v>
      </c>
      <c r="Z52" s="4" cm="1">
        <f t="array" ref="Z52">GammaCP(S52,$B$2,$Z$47,$D$2,$E$2,$F$3)</f>
        <v>1.5157858484034765E-2</v>
      </c>
      <c r="AA52" s="4" cm="1">
        <f t="array" ref="AA52">GammaCP(S52,$B$2,$AA$47,$D$2,$E$2,$F$3)</f>
        <v>1.4871858249720593E-2</v>
      </c>
      <c r="AB52" s="4" cm="1">
        <f t="array" ref="AB52">GammaCP(S52,$B$2,$AB$47,$D$2,$E$2,$F$3)</f>
        <v>1.4546046008012573E-2</v>
      </c>
      <c r="AC52" s="4" cm="1">
        <f t="array" ref="AC52">GammaCP(S52,$B$2,$AC$47,$D$2,$E$2,$F$3)</f>
        <v>1.4206432265572271E-2</v>
      </c>
      <c r="AD52" s="4" cm="1">
        <f t="array" ref="AD52">GammaCP(S52,$B$2,$AD$47,$D$2,$E$2,$F$3)</f>
        <v>1.1343327721716879E-2</v>
      </c>
      <c r="AE52" s="4" cm="1">
        <f t="array" ref="AE52">GammaCP(S52,$B$2,$AE$47,$D$2,$E$2,$F$3)</f>
        <v>9.5371649510801217E-3</v>
      </c>
      <c r="AF52" s="4" cm="1">
        <f t="array" ref="AF52">GammaCP(S52,$B$2,$AF$47,$D$2,$E$2,$F$3)</f>
        <v>8.3111834375704362E-3</v>
      </c>
      <c r="AG52" s="5" cm="1">
        <f t="array" ref="AG52">GammaCP(S52,$B$2,$AG$47,$D$2,$E$2,$F$3)</f>
        <v>7.4116721863495584E-3</v>
      </c>
      <c r="AK52" s="1">
        <v>80</v>
      </c>
      <c r="AL52" s="4" cm="1">
        <f t="array" ref="AL52">GammaCP(AK52,$B$2,$AL$47,$D$2,$E$2,$F$4)</f>
        <v>3.3905822708430672E-12</v>
      </c>
      <c r="AM52" s="4" cm="1">
        <f t="array" ref="AM52">GammaCP(AK52,$B$2,$AM$47,$D$2,$E$2,$F$4)</f>
        <v>6.1021351588952594E-7</v>
      </c>
      <c r="AN52" s="4" cm="1">
        <f t="array" ref="AN52">GammaCP(AK52,$B$2,$AN$47,$D$2,$E$2,$F$4)</f>
        <v>3.1551352715495865E-5</v>
      </c>
      <c r="AO52" s="4" cm="1">
        <f t="array" ref="AO52">GammaCP(AK52,$B$2,$AO$47,$D$2,$E$2,$F$4)</f>
        <v>2.1731776002153894E-4</v>
      </c>
      <c r="AP52" s="4" cm="1">
        <f t="array" ref="AP52">GammaCP(AK52,$B$2,$AP$47,$D$2,$E$2,$F$4)</f>
        <v>6.7417515498728673E-4</v>
      </c>
      <c r="AQ52" s="4" cm="1">
        <f t="array" ref="AQ52">GammaCP(AK52,$B$2,$AQ$47,$D$2,$E$2,$F$4)</f>
        <v>1.4096380488958409E-3</v>
      </c>
      <c r="AR52" s="4" cm="1">
        <f t="array" ref="AR52">GammaCP(AK52,$B$2,$AR$47,$D$2,$E$2,$F$4)</f>
        <v>2.3582196949555518E-3</v>
      </c>
      <c r="AS52" s="4" cm="1">
        <f t="array" ref="AS52">GammaCP(AK52,$B$2,$AS$47,$D$2,$E$2,$F$4)</f>
        <v>3.4369932223750686E-3</v>
      </c>
      <c r="AT52" s="4" cm="1">
        <f t="array" ref="AT52">GammaCP(AK52,$B$2,$AT$47,$D$2,$E$2,$F$4)</f>
        <v>4.573896828554253E-3</v>
      </c>
      <c r="AU52" s="4" cm="1">
        <f t="array" ref="AU52">GammaCP(AK52,$B$2,$AU$47,$D$2,$E$2,$F$4)</f>
        <v>5.7155372876400009E-3</v>
      </c>
      <c r="AV52" s="4" cm="1">
        <f t="array" ref="AV52">GammaCP(AK52,$B$2,$AV$47,$D$2,$E$2,$F$4)</f>
        <v>1.3876417664915328E-2</v>
      </c>
      <c r="AW52" s="4" cm="1">
        <f t="array" ref="AW52">GammaCP(AK52,$B$2,$AW$47,$D$2,$E$2,$F$4)</f>
        <v>1.6964964604488354E-2</v>
      </c>
      <c r="AX52" s="4" cm="1">
        <f t="array" ref="AX52">GammaCP(AK52,$B$2,$AX$47,$D$2,$E$2,$F$4)</f>
        <v>1.7877273947675215E-2</v>
      </c>
      <c r="AY52" s="5" cm="1">
        <f t="array" ref="AY52">GammaCP(AK52,$B$2,$AY$47,$D$2,$E$2,$F$4)</f>
        <v>1.7906989830010486E-2</v>
      </c>
    </row>
    <row r="53" spans="1:51" x14ac:dyDescent="0.3">
      <c r="A53" s="9">
        <v>85</v>
      </c>
      <c r="B53" s="12" cm="1">
        <f t="array" ref="B53">GammaCP(A53,$B$2,$B$47,$D$2,$E$2,$F$2)</f>
        <v>3.0836372935947147E-3</v>
      </c>
      <c r="C53" s="12" cm="1">
        <f t="array" ref="C53">GammaCP(A53,$B$2,$C$47,$D$2,$E$2,$F$2)</f>
        <v>1.134964427745312E-2</v>
      </c>
      <c r="D53" s="12" cm="1">
        <f t="array" ref="D53">GammaCP(A53,$B$2,$D$47,$D$2,$E$2,$F$2)</f>
        <v>1.6048048164004219E-2</v>
      </c>
      <c r="E53" s="12" cm="1">
        <f t="array" ref="E53">GammaCP(A53,$B$2,$E$47,$D$2,$E$2,$F$2)</f>
        <v>1.8278954822369093E-2</v>
      </c>
      <c r="F53" s="12" cm="1">
        <f t="array" ref="F53">GammaCP(A53,$B$2,$F$47,$D$2,$E$2,$F$2)</f>
        <v>1.9261939996234254E-2</v>
      </c>
      <c r="G53" s="12" cm="1">
        <f t="array" ref="G53">GammaCP(A53,$B$2,$G$47,$D$2,$E$2,$F$2)</f>
        <v>1.9607203543702156E-2</v>
      </c>
      <c r="H53" s="12" cm="1">
        <f t="array" ref="H53">GammaCP(A53,$B$2,$H$47,$D$2,$E$2,$F$2)</f>
        <v>1.9615204928584505E-2</v>
      </c>
      <c r="I53" s="12" cm="1">
        <f t="array" ref="I53">GammaCP(A53,$B$2,$I$47,$D$2,$E$2,$F$2)</f>
        <v>1.944073459830415E-2</v>
      </c>
      <c r="J53" s="12" cm="1">
        <f t="array" ref="J53">GammaCP(A53,$B$2,$J$47,$D$2,$E$2,$F$2)</f>
        <v>1.916736194416201E-2</v>
      </c>
      <c r="K53" s="12" cm="1">
        <f t="array" ref="K53">GammaCP(A53,$B$2,$K$47,$D$2,$E$2,$F$2)</f>
        <v>1.8841983940109528E-2</v>
      </c>
      <c r="L53" s="12" cm="1">
        <f t="array" ref="L53">GammaCP(A53,$B$2,$L$47,$D$2,$E$2,$F$2)</f>
        <v>1.5538821309956895E-2</v>
      </c>
      <c r="M53" s="12" cm="1">
        <f t="array" ref="M53">GammaCP(A53,$B$2,$M$47,$D$2,$E$2,$F$2)</f>
        <v>1.3255131727717093E-2</v>
      </c>
      <c r="N53" s="12" cm="1">
        <f t="array" ref="N53">GammaCP(A53,$B$2,$N$47,$D$2,$E$2,$F$2)</f>
        <v>1.1667493720574828E-2</v>
      </c>
      <c r="O53" s="13" cm="1">
        <f t="array" ref="O53">GammaCP(A53,$B$2,$O$47,$D$2,$E$2,$F$2)</f>
        <v>1.0490736571836448E-2</v>
      </c>
      <c r="S53" s="1">
        <v>85</v>
      </c>
      <c r="T53" s="4" cm="1">
        <f t="array" ref="T53">GammaCP(S53,$B$2,$T$47,$D$2,$E$2,$F$3)</f>
        <v>1.2575012584514565E-2</v>
      </c>
      <c r="U53" s="4" cm="1">
        <f t="array" ref="U53">GammaCP(S53,$B$2,$U$47,$D$2,$E$2,$F$3)</f>
        <v>1.8488250396356994E-2</v>
      </c>
      <c r="V53" s="4" cm="1">
        <f t="array" ref="V53">GammaCP(S53,$B$2,$V$47,$D$2,$E$2,$F$3)</f>
        <v>1.9245583173855801E-2</v>
      </c>
      <c r="W53" s="4" cm="1">
        <f t="array" ref="W53">GammaCP(S53,$B$2,$W$47,$D$2,$E$2,$F$3)</f>
        <v>1.8803436356655608E-2</v>
      </c>
      <c r="X53" s="4" cm="1">
        <f t="array" ref="X53">GammaCP(S53,$B$2,$X$47,$D$2,$E$2,$F$3)</f>
        <v>1.8068228988525181E-2</v>
      </c>
      <c r="Y53" s="4" cm="1">
        <f t="array" ref="Y53">GammaCP(S53,$B$2,$Y$47,$D$2,$E$2,$F$3)</f>
        <v>1.7291682643531966E-2</v>
      </c>
      <c r="Z53" s="4" cm="1">
        <f t="array" ref="Z53">GammaCP(S53,$B$2,$Z$47,$D$2,$E$2,$F$3)</f>
        <v>1.655034187397918E-2</v>
      </c>
      <c r="AA53" s="4" cm="1">
        <f t="array" ref="AA53">GammaCP(S53,$B$2,$AA$47,$D$2,$E$2,$F$3)</f>
        <v>1.586575934798053E-2</v>
      </c>
      <c r="AB53" s="4" cm="1">
        <f t="array" ref="AB53">GammaCP(S53,$B$2,$AB$47,$D$2,$E$2,$F$3)</f>
        <v>1.5240725494598824E-2</v>
      </c>
      <c r="AC53" s="4" cm="1">
        <f t="array" ref="AC53">GammaCP(S53,$B$2,$AC$47,$D$2,$E$2,$F$3)</f>
        <v>1.4671609392337213E-2</v>
      </c>
      <c r="AD53" s="4" cm="1">
        <f t="array" ref="AD53">GammaCP(S53,$B$2,$AD$47,$D$2,$E$2,$F$3)</f>
        <v>1.0978106060139997E-2</v>
      </c>
      <c r="AE53" s="4" cm="1">
        <f t="array" ref="AE53">GammaCP(S53,$B$2,$AE$47,$D$2,$E$2,$F$3)</f>
        <v>9.0324238181826739E-3</v>
      </c>
      <c r="AF53" s="4" cm="1">
        <f t="array" ref="AF53">GammaCP(S53,$B$2,$AF$47,$D$2,$E$2,$F$3)</f>
        <v>7.7865829825335157E-3</v>
      </c>
      <c r="AG53" s="5" cm="1">
        <f t="array" ref="AG53">GammaCP(S53,$B$2,$AG$47,$D$2,$E$2,$F$3)</f>
        <v>6.8988971767481675E-3</v>
      </c>
      <c r="AK53" s="1">
        <v>85</v>
      </c>
      <c r="AL53" s="4" cm="1">
        <f t="array" ref="AL53">GammaCP(AK53,$B$2,$AL$47,$D$2,$E$2,$F$4)</f>
        <v>3.4793158250122273E-7</v>
      </c>
      <c r="AM53" s="4" cm="1">
        <f t="array" ref="AM53">GammaCP(AK53,$B$2,$AM$47,$D$2,$E$2,$F$4)</f>
        <v>1.812092789174275E-4</v>
      </c>
      <c r="AN53" s="4" cm="1">
        <f t="array" ref="AN53">GammaCP(AK53,$B$2,$AN$47,$D$2,$E$2,$F$4)</f>
        <v>1.3351896003566924E-3</v>
      </c>
      <c r="AO53" s="4" cm="1">
        <f t="array" ref="AO53">GammaCP(AK53,$B$2,$AO$47,$D$2,$E$2,$F$4)</f>
        <v>3.4716293491663377E-3</v>
      </c>
      <c r="AP53" s="4" cm="1">
        <f t="array" ref="AP53">GammaCP(AK53,$B$2,$AP$47,$D$2,$E$2,$F$4)</f>
        <v>6.0028678035567969E-3</v>
      </c>
      <c r="AQ53" s="4" cm="1">
        <f t="array" ref="AQ53">GammaCP(AK53,$B$2,$AQ$47,$D$2,$E$2,$F$4)</f>
        <v>8.5007827825346501E-3</v>
      </c>
      <c r="AR53" s="4" cm="1">
        <f t="array" ref="AR53">GammaCP(AK53,$B$2,$AR$47,$D$2,$E$2,$F$4)</f>
        <v>1.0765981199439561E-2</v>
      </c>
      <c r="AS53" s="4" cm="1">
        <f t="array" ref="AS53">GammaCP(AK53,$B$2,$AS$47,$D$2,$E$2,$F$4)</f>
        <v>1.2734636942227621E-2</v>
      </c>
      <c r="AT53" s="4" cm="1">
        <f t="array" ref="AT53">GammaCP(AK53,$B$2,$AT$47,$D$2,$E$2,$F$4)</f>
        <v>1.4407206646598534E-2</v>
      </c>
      <c r="AU53" s="4" cm="1">
        <f t="array" ref="AU53">GammaCP(AK53,$B$2,$AU$47,$D$2,$E$2,$F$4)</f>
        <v>1.5810256172317044E-2</v>
      </c>
      <c r="AV53" s="4" cm="1">
        <f t="array" ref="AV53">GammaCP(AK53,$B$2,$AV$47,$D$2,$E$2,$F$4)</f>
        <v>2.139474487152776E-2</v>
      </c>
      <c r="AW53" s="4" cm="1">
        <f t="array" ref="AW53">GammaCP(AK53,$B$2,$AW$47,$D$2,$E$2,$F$4)</f>
        <v>2.1526099405862077E-2</v>
      </c>
      <c r="AX53" s="4" cm="1">
        <f t="array" ref="AX53">GammaCP(AK53,$B$2,$AX$47,$D$2,$E$2,$F$4)</f>
        <v>2.0578086869191912E-2</v>
      </c>
      <c r="AY53" s="5" cm="1">
        <f t="array" ref="AY53">GammaCP(AK53,$B$2,$AY$47,$D$2,$E$2,$F$4)</f>
        <v>1.9442006249843848E-2</v>
      </c>
    </row>
    <row r="54" spans="1:51" x14ac:dyDescent="0.3">
      <c r="A54" s="9">
        <v>90</v>
      </c>
      <c r="B54" s="12" cm="1">
        <f t="array" ref="B54">GammaCP(A54,$B$2,$B$47,$D$2,$E$2,$F$2)</f>
        <v>1.8916378586336532E-2</v>
      </c>
      <c r="C54" s="12" cm="1">
        <f t="array" ref="C54">GammaCP(A54,$B$2,$C$47,$D$2,$E$2,$F$2)</f>
        <v>2.6739234389615497E-2</v>
      </c>
      <c r="D54" s="12" cm="1">
        <f t="array" ref="D54">GammaCP(A54,$B$2,$D$47,$D$2,$E$2,$F$2)</f>
        <v>2.7482291431425852E-2</v>
      </c>
      <c r="E54" s="12" cm="1">
        <f t="array" ref="E54">GammaCP(A54,$B$2,$E$47,$D$2,$E$2,$F$2)</f>
        <v>2.6687880405210144E-2</v>
      </c>
      <c r="F54" s="12" cm="1">
        <f t="array" ref="F54">GammaCP(A54,$B$2,$F$47,$D$2,$E$2,$F$2)</f>
        <v>2.5556533759819561E-2</v>
      </c>
      <c r="G54" s="12" cm="1">
        <f t="array" ref="G54">GammaCP(A54,$B$2,$G$47,$D$2,$E$2,$F$2)</f>
        <v>2.440677414752461E-2</v>
      </c>
      <c r="H54" s="12" cm="1">
        <f t="array" ref="H54">GammaCP(A54,$B$2,$H$47,$D$2,$E$2,$F$2)</f>
        <v>2.3329031963279283E-2</v>
      </c>
      <c r="I54" s="12" cm="1">
        <f t="array" ref="I54">GammaCP(A54,$B$2,$I$47,$D$2,$E$2,$F$2)</f>
        <v>2.2344641814505347E-2</v>
      </c>
      <c r="J54" s="12" cm="1">
        <f t="array" ref="J54">GammaCP(A54,$B$2,$J$47,$D$2,$E$2,$F$2)</f>
        <v>2.1452524339852529E-2</v>
      </c>
      <c r="K54" s="12" cm="1">
        <f t="array" ref="K54">GammaCP(A54,$B$2,$K$47,$D$2,$E$2,$F$2)</f>
        <v>2.0644622964645629E-2</v>
      </c>
      <c r="L54" s="12" cm="1">
        <f t="array" ref="L54">GammaCP(A54,$B$2,$L$47,$D$2,$E$2,$F$2)</f>
        <v>1.5471684475151492E-2</v>
      </c>
      <c r="M54" s="12" cm="1">
        <f t="array" ref="M54">GammaCP(A54,$B$2,$M$47,$D$2,$E$2,$F$2)</f>
        <v>1.2783505889003444E-2</v>
      </c>
      <c r="N54" s="12" cm="1">
        <f t="array" ref="N54">GammaCP(A54,$B$2,$N$47,$D$2,$E$2,$F$2)</f>
        <v>1.1074310697636874E-2</v>
      </c>
      <c r="O54" s="13" cm="1">
        <f t="array" ref="O54">GammaCP(A54,$B$2,$O$47,$D$2,$E$2,$F$2)</f>
        <v>9.8625457284395694E-3</v>
      </c>
      <c r="S54" s="1">
        <v>90</v>
      </c>
      <c r="T54" s="4" cm="1">
        <f t="array" ref="T54">GammaCP(S54,$B$2,$T$47,$D$2,$E$2,$F$3)</f>
        <v>2.6849994493107557E-2</v>
      </c>
      <c r="U54" s="4" cm="1">
        <f t="array" ref="U54">GammaCP(S54,$B$2,$U$47,$D$2,$E$2,$F$3)</f>
        <v>2.5799834788109946E-2</v>
      </c>
      <c r="V54" s="4" cm="1">
        <f t="array" ref="V54">GammaCP(S54,$B$2,$V$47,$D$2,$E$2,$F$3)</f>
        <v>2.3306691732956811E-2</v>
      </c>
      <c r="W54" s="4" cm="1">
        <f t="array" ref="W54">GammaCP(S54,$B$2,$W$47,$D$2,$E$2,$F$3)</f>
        <v>2.1212946857819125E-2</v>
      </c>
      <c r="X54" s="4" cm="1">
        <f t="array" ref="X54">GammaCP(S54,$B$2,$X$47,$D$2,$E$2,$F$3)</f>
        <v>1.9534751872486739E-2</v>
      </c>
      <c r="Y54" s="4" cm="1">
        <f t="array" ref="Y54">GammaCP(S54,$B$2,$Y$47,$D$2,$E$2,$F$3)</f>
        <v>1.8172524320191754E-2</v>
      </c>
      <c r="Z54" s="4" cm="1">
        <f t="array" ref="Z54">GammaCP(S54,$B$2,$Z$47,$D$2,$E$2,$F$3)</f>
        <v>1.7044687194816176E-2</v>
      </c>
      <c r="AA54" s="4" cm="1">
        <f t="array" ref="AA54">GammaCP(S54,$B$2,$AA$47,$D$2,$E$2,$F$3)</f>
        <v>1.6093332217008621E-2</v>
      </c>
      <c r="AB54" s="4" cm="1">
        <f t="array" ref="AB54">GammaCP(S54,$B$2,$AB$47,$D$2,$E$2,$F$3)</f>
        <v>1.5277763824001957E-2</v>
      </c>
      <c r="AC54" s="4" cm="1">
        <f t="array" ref="AC54">GammaCP(S54,$B$2,$AC$47,$D$2,$E$2,$F$3)</f>
        <v>1.4568912566910484E-2</v>
      </c>
      <c r="AD54" s="4" cm="1">
        <f t="array" ref="AD54">GammaCP(S54,$B$2,$AD$47,$D$2,$E$2,$F$3)</f>
        <v>1.0447330574272131E-2</v>
      </c>
      <c r="AE54" s="4" cm="1">
        <f t="array" ref="AE54">GammaCP(S54,$B$2,$AE$47,$D$2,$E$2,$F$3)</f>
        <v>8.4747143075524275E-3</v>
      </c>
      <c r="AF54" s="4" cm="1">
        <f t="array" ref="AF54">GammaCP(S54,$B$2,$AF$47,$D$2,$E$2,$F$3)</f>
        <v>7.2541928646975579E-3</v>
      </c>
      <c r="AG54" s="5" cm="1">
        <f t="array" ref="AG54">GammaCP(S54,$B$2,$AG$47,$D$2,$E$2,$F$3)</f>
        <v>6.3999223842824441E-3</v>
      </c>
      <c r="AK54" s="1">
        <v>90</v>
      </c>
      <c r="AL54" s="4" cm="1">
        <f t="array" ref="AL54">GammaCP(AK54,$B$2,$AL$47,$D$2,$E$2,$F$4)</f>
        <v>6.3723381042931552E-4</v>
      </c>
      <c r="AM54" s="4" cm="1">
        <f t="array" ref="AM54">GammaCP(AK54,$B$2,$AM$47,$D$2,$E$2,$F$4)</f>
        <v>7.2202698909513228E-3</v>
      </c>
      <c r="AN54" s="4" cm="1">
        <f t="array" ref="AN54">GammaCP(AK54,$B$2,$AN$47,$D$2,$E$2,$F$4)</f>
        <v>1.4851555899595276E-2</v>
      </c>
      <c r="AO54" s="4" cm="1">
        <f t="array" ref="AO54">GammaCP(AK54,$B$2,$AO$47,$D$2,$E$2,$F$4)</f>
        <v>2.0402828136932078E-2</v>
      </c>
      <c r="AP54" s="4" cm="1">
        <f t="array" ref="AP54">GammaCP(AK54,$B$2,$AP$47,$D$2,$E$2,$F$4)</f>
        <v>2.4058724750173604E-2</v>
      </c>
      <c r="AQ54" s="4" cm="1">
        <f t="array" ref="AQ54">GammaCP(AK54,$B$2,$AQ$47,$D$2,$E$2,$F$4)</f>
        <v>2.6396354113062126E-2</v>
      </c>
      <c r="AR54" s="4" cm="1">
        <f t="array" ref="AR54">GammaCP(AK54,$B$2,$AR$47,$D$2,$E$2,$F$4)</f>
        <v>2.7859621858699939E-2</v>
      </c>
      <c r="AS54" s="4" cm="1">
        <f t="array" ref="AS54">GammaCP(AK54,$B$2,$AS$47,$D$2,$E$2,$F$4)</f>
        <v>2.8743231871235137E-2</v>
      </c>
      <c r="AT54" s="4" cm="1">
        <f t="array" ref="AT54">GammaCP(AK54,$B$2,$AT$47,$D$2,$E$2,$F$4)</f>
        <v>2.9238167534758407E-2</v>
      </c>
      <c r="AU54" s="4" cm="1">
        <f t="array" ref="AU54">GammaCP(AK54,$B$2,$AU$47,$D$2,$E$2,$F$4)</f>
        <v>2.9469063817634214E-2</v>
      </c>
      <c r="AV54" s="4" cm="1">
        <f t="array" ref="AV54">GammaCP(AK54,$B$2,$AV$47,$D$2,$E$2,$F$4)</f>
        <v>2.7195143108108638E-2</v>
      </c>
      <c r="AW54" s="4" cm="1">
        <f t="array" ref="AW54">GammaCP(AK54,$B$2,$AW$47,$D$2,$E$2,$F$4)</f>
        <v>2.4084363839664263E-2</v>
      </c>
      <c r="AX54" s="4" cm="1">
        <f t="array" ref="AX54">GammaCP(AK54,$B$2,$AX$47,$D$2,$E$2,$F$4)</f>
        <v>2.1600690529166151E-2</v>
      </c>
      <c r="AY54" s="5" cm="1">
        <f t="array" ref="AY54">GammaCP(AK54,$B$2,$AY$47,$D$2,$E$2,$F$4)</f>
        <v>1.964171465053164E-2</v>
      </c>
    </row>
    <row r="55" spans="1:51" x14ac:dyDescent="0.3">
      <c r="A55" s="9">
        <v>95</v>
      </c>
      <c r="B55" s="12" cm="1">
        <f t="array" ref="B55">GammaCP(A55,$B$2,$B$47,$D$2,$E$2,$F$2)</f>
        <v>4.9607400575778234E-2</v>
      </c>
      <c r="C55" s="12" cm="1">
        <f t="array" ref="C55">GammaCP(A55,$B$2,$C$47,$D$2,$E$2,$F$2)</f>
        <v>4.1300684164172589E-2</v>
      </c>
      <c r="D55" s="12" cm="1">
        <f t="array" ref="D55">GammaCP(A55,$B$2,$D$47,$D$2,$E$2,$F$2)</f>
        <v>3.5581792279001205E-2</v>
      </c>
      <c r="E55" s="12" cm="1">
        <f t="array" ref="E55">GammaCP(A55,$B$2,$E$47,$D$2,$E$2,$F$2)</f>
        <v>3.1635322258043573E-2</v>
      </c>
      <c r="F55" s="12" cm="1">
        <f t="array" ref="F55">GammaCP(A55,$B$2,$F$47,$D$2,$E$2,$F$2)</f>
        <v>2.8732281352043247E-2</v>
      </c>
      <c r="G55" s="12" cm="1">
        <f t="array" ref="G55">GammaCP(A55,$B$2,$G$47,$D$2,$E$2,$F$2)</f>
        <v>2.6488164394297603E-2</v>
      </c>
      <c r="H55" s="12" cm="1">
        <f t="array" ref="H55">GammaCP(A55,$B$2,$H$47,$D$2,$E$2,$F$2)</f>
        <v>2.4688265009858646E-2</v>
      </c>
      <c r="I55" s="12" cm="1">
        <f t="array" ref="I55">GammaCP(A55,$B$2,$I$47,$D$2,$E$2,$F$2)</f>
        <v>2.3203661883923712E-2</v>
      </c>
      <c r="J55" s="12" cm="1">
        <f t="array" ref="J55">GammaCP(A55,$B$2,$J$47,$D$2,$E$2,$F$2)</f>
        <v>2.1952066922098782E-2</v>
      </c>
      <c r="K55" s="12" cm="1">
        <f t="array" ref="K55">GammaCP(A55,$B$2,$K$47,$D$2,$E$2,$F$2)</f>
        <v>2.087829727981377E-2</v>
      </c>
      <c r="L55" s="12" cm="1">
        <f t="array" ref="L55">GammaCP(A55,$B$2,$L$47,$D$2,$E$2,$F$2)</f>
        <v>1.4840061535306965E-2</v>
      </c>
      <c r="M55" s="12" cm="1">
        <f t="array" ref="M55">GammaCP(A55,$B$2,$M$47,$D$2,$E$2,$F$2)</f>
        <v>1.2047161650680642E-2</v>
      </c>
      <c r="N55" s="12" cm="1">
        <f t="array" ref="N55">GammaCP(A55,$B$2,$N$47,$D$2,$E$2,$F$2)</f>
        <v>1.034474514620942E-2</v>
      </c>
      <c r="O55" s="13" cm="1">
        <f t="array" ref="O55">GammaCP(A55,$B$2,$O$47,$D$2,$E$2,$F$2)</f>
        <v>9.1641696406864273E-3</v>
      </c>
      <c r="S55" s="1">
        <v>95</v>
      </c>
      <c r="T55" s="4" cm="1">
        <f t="array" ref="T55">GammaCP(S55,$B$2,$T$47,$D$2,$E$2,$F$3)</f>
        <v>3.9397555493342631E-2</v>
      </c>
      <c r="U55" s="4" cm="1">
        <f t="array" ref="U55">GammaCP(S55,$B$2,$U$47,$D$2,$E$2,$F$3)</f>
        <v>2.9920175402764985E-2</v>
      </c>
      <c r="V55" s="4" cm="1">
        <f t="array" ref="V55">GammaCP(S55,$B$2,$V$47,$D$2,$E$2,$F$3)</f>
        <v>2.4990132225163459E-2</v>
      </c>
      <c r="W55" s="4" cm="1">
        <f t="array" ref="W55">GammaCP(S55,$B$2,$W$47,$D$2,$E$2,$F$3)</f>
        <v>2.187052870331763E-2</v>
      </c>
      <c r="X55" s="4" cm="1">
        <f t="array" ref="X55">GammaCP(S55,$B$2,$X$47,$D$2,$E$2,$F$3)</f>
        <v>1.9671994336736279E-2</v>
      </c>
      <c r="Y55" s="4" cm="1">
        <f t="array" ref="Y55">GammaCP(S55,$B$2,$Y$47,$D$2,$E$2,$F$3)</f>
        <v>1.8015399304984771E-2</v>
      </c>
      <c r="Z55" s="4" cm="1">
        <f t="array" ref="Z55">GammaCP(S55,$B$2,$Z$47,$D$2,$E$2,$F$3)</f>
        <v>1.6709061466729097E-2</v>
      </c>
      <c r="AA55" s="4" cm="1">
        <f t="array" ref="AA55">GammaCP(S55,$B$2,$AA$47,$D$2,$E$2,$F$3)</f>
        <v>1.5644431582997612E-2</v>
      </c>
      <c r="AB55" s="4" cm="1">
        <f t="array" ref="AB55">GammaCP(S55,$B$2,$AB$47,$D$2,$E$2,$F$3)</f>
        <v>1.4754868041798961E-2</v>
      </c>
      <c r="AC55" s="4" cm="1">
        <f t="array" ref="AC55">GammaCP(S55,$B$2,$AC$47,$D$2,$E$2,$F$3)</f>
        <v>1.3996906305568678E-2</v>
      </c>
      <c r="AD55" s="4" cm="1">
        <f t="array" ref="AD55">GammaCP(S55,$B$2,$AD$47,$D$2,$E$2,$F$3)</f>
        <v>9.8037554378220936E-3</v>
      </c>
      <c r="AE55" s="4" cm="1">
        <f t="array" ref="AE55">GammaCP(S55,$B$2,$AE$47,$D$2,$E$2,$F$3)</f>
        <v>7.8905317151781781E-3</v>
      </c>
      <c r="AF55" s="4" cm="1">
        <f t="array" ref="AF55">GammaCP(S55,$B$2,$AF$47,$D$2,$E$2,$F$3)</f>
        <v>6.727711143982254E-3</v>
      </c>
      <c r="AG55" s="5" cm="1">
        <f t="array" ref="AG55">GammaCP(S55,$B$2,$AG$47,$D$2,$E$2,$F$3)</f>
        <v>5.9214922774464777E-3</v>
      </c>
      <c r="AK55" s="1">
        <v>95</v>
      </c>
      <c r="AL55" s="4" cm="1">
        <f t="array" ref="AL55">GammaCP(AK55,$B$2,$AL$47,$D$2,$E$2,$F$4)</f>
        <v>3.8441261874572016E-2</v>
      </c>
      <c r="AM55" s="4" cm="1">
        <f t="array" ref="AM55">GammaCP(AK55,$B$2,$AM$47,$D$2,$E$2,$F$4)</f>
        <v>5.2414503254015796E-2</v>
      </c>
      <c r="AN55" s="4" cm="1">
        <f t="array" ref="AN55">GammaCP(AK55,$B$2,$AN$47,$D$2,$E$2,$F$4)</f>
        <v>5.3227540948401576E-2</v>
      </c>
      <c r="AO55" s="4" cm="1">
        <f t="array" ref="AO55">GammaCP(AK55,$B$2,$AO$47,$D$2,$E$2,$F$4)</f>
        <v>5.137928103783846E-2</v>
      </c>
      <c r="AP55" s="4" cm="1">
        <f t="array" ref="AP55">GammaCP(AK55,$B$2,$AP$47,$D$2,$E$2,$F$4)</f>
        <v>4.9024161779533067E-2</v>
      </c>
      <c r="AQ55" s="4" cm="1">
        <f t="array" ref="AQ55">GammaCP(AK55,$B$2,$AQ$47,$D$2,$E$2,$F$4)</f>
        <v>4.670622857015766E-2</v>
      </c>
      <c r="AR55" s="4" cm="1">
        <f t="array" ref="AR55">GammaCP(AK55,$B$2,$AR$47,$D$2,$E$2,$F$4)</f>
        <v>4.4567221413124185E-2</v>
      </c>
      <c r="AS55" s="4" cm="1">
        <f t="array" ref="AS55">GammaCP(AK55,$B$2,$AS$47,$D$2,$E$2,$F$4)</f>
        <v>4.2631739576590874E-2</v>
      </c>
      <c r="AT55" s="4" cm="1">
        <f t="array" ref="AT55">GammaCP(AK55,$B$2,$AT$47,$D$2,$E$2,$F$4)</f>
        <v>4.0888684659269085E-2</v>
      </c>
      <c r="AU55" s="4" cm="1">
        <f t="array" ref="AU55">GammaCP(AK55,$B$2,$AU$47,$D$2,$E$2,$F$4)</f>
        <v>3.9317306319057527E-2</v>
      </c>
      <c r="AV55" s="4" cm="1">
        <f t="array" ref="AV55">GammaCP(AK55,$B$2,$AV$47,$D$2,$E$2,$F$4)</f>
        <v>2.9359502161316501E-2</v>
      </c>
      <c r="AW55" s="4" cm="1">
        <f t="array" ref="AW55">GammaCP(AK55,$B$2,$AW$47,$D$2,$E$2,$F$4)</f>
        <v>2.4229204673908024E-2</v>
      </c>
      <c r="AX55" s="4" cm="1">
        <f t="array" ref="AX55">GammaCP(AK55,$B$2,$AX$47,$D$2,$E$2,$F$4)</f>
        <v>2.0977075164115507E-2</v>
      </c>
      <c r="AY55" s="5" cm="1">
        <f t="array" ref="AY55">GammaCP(AK55,$B$2,$AY$47,$D$2,$E$2,$F$4)</f>
        <v>1.8675003380643759E-2</v>
      </c>
    </row>
    <row r="56" spans="1:51" x14ac:dyDescent="0.3">
      <c r="A56" s="9">
        <v>100</v>
      </c>
      <c r="B56" s="12" cm="1">
        <f t="array" ref="B56">GammaCP(A56,$B$2,$B$47,$D$2,$E$2,$F$2)</f>
        <v>6.3007389850102596E-2</v>
      </c>
      <c r="C56" s="12" cm="1">
        <f t="array" ref="C56">GammaCP(A56,$B$2,$C$47,$D$2,$E$2,$F$2)</f>
        <v>4.4502858739261325E-2</v>
      </c>
      <c r="D56" s="12" cm="1">
        <f t="array" ref="D56">GammaCP(A56,$B$2,$D$47,$D$2,$E$2,$F$2)</f>
        <v>3.6295576501642057E-2</v>
      </c>
      <c r="E56" s="12" cm="1">
        <f t="array" ref="E56">GammaCP(A56,$B$2,$E$47,$D$2,$E$2,$F$2)</f>
        <v>3.1397549176385639E-2</v>
      </c>
      <c r="F56" s="12" cm="1">
        <f t="array" ref="F56">GammaCP(A56,$B$2,$F$47,$D$2,$E$2,$F$2)</f>
        <v>2.8051246304186254E-2</v>
      </c>
      <c r="G56" s="12" cm="1">
        <f t="array" ref="G56">GammaCP(A56,$B$2,$G$47,$D$2,$E$2,$F$2)</f>
        <v>2.55783754134996E-2</v>
      </c>
      <c r="H56" s="12" cm="1">
        <f t="array" ref="H56">GammaCP(A56,$B$2,$H$47,$D$2,$E$2,$F$2)</f>
        <v>2.3654347961507349E-2</v>
      </c>
      <c r="I56" s="12" cm="1">
        <f t="array" ref="I56">GammaCP(A56,$B$2,$I$47,$D$2,$E$2,$F$2)</f>
        <v>2.2101737998123483E-2</v>
      </c>
      <c r="J56" s="12" cm="1">
        <f t="array" ref="J56">GammaCP(A56,$B$2,$J$47,$D$2,$E$2,$F$2)</f>
        <v>2.0814289167512139E-2</v>
      </c>
      <c r="K56" s="12" cm="1">
        <f t="array" ref="K56">GammaCP(A56,$B$2,$K$47,$D$2,$E$2,$F$2)</f>
        <v>1.9723966545394447E-2</v>
      </c>
      <c r="L56" s="12" cm="1">
        <f t="array" ref="L56">GammaCP(A56,$B$2,$L$47,$D$2,$E$2,$F$2)</f>
        <v>1.3790926583135299E-2</v>
      </c>
      <c r="M56" s="12" cm="1">
        <f t="array" ref="M56">GammaCP(A56,$B$2,$M$47,$D$2,$E$2,$F$2)</f>
        <v>1.1134276551152787E-2</v>
      </c>
      <c r="N56" s="12" cm="1">
        <f t="array" ref="N56">GammaCP(A56,$B$2,$N$47,$D$2,$E$2,$F$2)</f>
        <v>9.5346953865131038E-3</v>
      </c>
      <c r="O56" s="13" cm="1">
        <f t="array" ref="O56">GammaCP(A56,$B$2,$O$47,$D$2,$E$2,$F$2)</f>
        <v>8.4326874401380626E-3</v>
      </c>
      <c r="S56" s="1">
        <v>100</v>
      </c>
      <c r="T56" s="4" cm="1">
        <f t="array" ref="T56">GammaCP(S56,$B$2,$T$47,$D$2,$E$2,$F$3)</f>
        <v>4.1981596977461719E-2</v>
      </c>
      <c r="U56" s="4" cm="1">
        <f t="array" ref="U56">GammaCP(S56,$B$2,$U$47,$D$2,$E$2,$F$3)</f>
        <v>2.9635625719445866E-2</v>
      </c>
      <c r="V56" s="4" cm="1">
        <f t="array" ref="V56">GammaCP(S56,$B$2,$V$47,$D$2,$E$2,$F$3)</f>
        <v>2.4156756171112039E-2</v>
      </c>
      <c r="W56" s="4" cm="1">
        <f t="array" ref="W56">GammaCP(S56,$B$2,$W$47,$D$2,$E$2,$F$3)</f>
        <v>2.0885236208200961E-2</v>
      </c>
      <c r="X56" s="4" cm="1">
        <f t="array" ref="X56">GammaCP(S56,$B$2,$X$47,$D$2,$E$2,$F$3)</f>
        <v>1.8648956198552002E-2</v>
      </c>
      <c r="Y56" s="4" cm="1">
        <f t="array" ref="Y56">GammaCP(S56,$B$2,$Y$47,$D$2,$E$2,$F$3)</f>
        <v>1.6995504070964784E-2</v>
      </c>
      <c r="Z56" s="4" cm="1">
        <f t="array" ref="Z56">GammaCP(S56,$B$2,$Z$47,$D$2,$E$2,$F$3)</f>
        <v>1.5708358311106813E-2</v>
      </c>
      <c r="AA56" s="4" cm="1">
        <f t="array" ref="AA56">GammaCP(S56,$B$2,$AA$47,$D$2,$E$2,$F$3)</f>
        <v>1.4669150678135829E-2</v>
      </c>
      <c r="AB56" s="4" cm="1">
        <f t="array" ref="AB56">GammaCP(S56,$B$2,$AB$47,$D$2,$E$2,$F$3)</f>
        <v>1.3806984978133098E-2</v>
      </c>
      <c r="AC56" s="4" cm="1">
        <f t="array" ref="AC56">GammaCP(S56,$B$2,$AC$47,$D$2,$E$2,$F$3)</f>
        <v>1.3076461848524422E-2</v>
      </c>
      <c r="AD56" s="4" cm="1">
        <f t="array" ref="AD56">GammaCP(S56,$B$2,$AD$47,$D$2,$E$2,$F$3)</f>
        <v>9.092361475410371E-3</v>
      </c>
      <c r="AE56" s="4" cm="1">
        <f t="array" ref="AE56">GammaCP(S56,$B$2,$AE$47,$D$2,$E$2,$F$3)</f>
        <v>7.3001620980094519E-3</v>
      </c>
      <c r="AF56" s="4" cm="1">
        <f t="array" ref="AF56">GammaCP(S56,$B$2,$AF$47,$D$2,$E$2,$F$3)</f>
        <v>6.2167667801221434E-3</v>
      </c>
      <c r="AG56" s="5" cm="1">
        <f t="array" ref="AG56">GammaCP(S56,$B$2,$AG$47,$D$2,$E$2,$F$3)</f>
        <v>5.4677797056007192E-3</v>
      </c>
      <c r="AK56" s="1">
        <v>100</v>
      </c>
      <c r="AL56" s="4" cm="1">
        <f t="array" ref="AL56">GammaCP(AK56,$B$2,$AL$47,$D$2,$E$2,$F$4)</f>
        <v>0.12601477970020519</v>
      </c>
      <c r="AM56" s="4" cm="1">
        <f t="array" ref="AM56">GammaCP(AK56,$B$2,$AM$47,$D$2,$E$2,$F$4)</f>
        <v>8.900571747852265E-2</v>
      </c>
      <c r="AN56" s="4" cm="1">
        <f t="array" ref="AN56">GammaCP(AK56,$B$2,$AN$47,$D$2,$E$2,$F$4)</f>
        <v>7.2591153003284115E-2</v>
      </c>
      <c r="AO56" s="4" cm="1">
        <f t="array" ref="AO56">GammaCP(AK56,$B$2,$AO$47,$D$2,$E$2,$F$4)</f>
        <v>6.2795098352771278E-2</v>
      </c>
      <c r="AP56" s="4" cm="1">
        <f t="array" ref="AP56">GammaCP(AK56,$B$2,$AP$47,$D$2,$E$2,$F$4)</f>
        <v>5.6102492608372509E-2</v>
      </c>
      <c r="AQ56" s="4" cm="1">
        <f t="array" ref="AQ56">GammaCP(AK56,$B$2,$AQ$47,$D$2,$E$2,$F$4)</f>
        <v>5.1156750826999199E-2</v>
      </c>
      <c r="AR56" s="4" cm="1">
        <f t="array" ref="AR56">GammaCP(AK56,$B$2,$AR$47,$D$2,$E$2,$F$4)</f>
        <v>4.7308695923014697E-2</v>
      </c>
      <c r="AS56" s="4" cm="1">
        <f t="array" ref="AS56">GammaCP(AK56,$B$2,$AS$47,$D$2,$E$2,$F$4)</f>
        <v>4.4203475996246966E-2</v>
      </c>
      <c r="AT56" s="4" cm="1">
        <f t="array" ref="AT56">GammaCP(AK56,$B$2,$AT$47,$D$2,$E$2,$F$4)</f>
        <v>4.1628578335024279E-2</v>
      </c>
      <c r="AU56" s="4" cm="1">
        <f t="array" ref="AU56">GammaCP(AK56,$B$2,$AU$47,$D$2,$E$2,$F$4)</f>
        <v>3.9447933090788895E-2</v>
      </c>
      <c r="AV56" s="4" cm="1">
        <f t="array" ref="AV56">GammaCP(AK56,$B$2,$AV$47,$D$2,$E$2,$F$4)</f>
        <v>2.7581853166270598E-2</v>
      </c>
      <c r="AW56" s="4" cm="1">
        <f t="array" ref="AW56">GammaCP(AK56,$B$2,$AW$47,$D$2,$E$2,$F$4)</f>
        <v>2.2268553102305574E-2</v>
      </c>
      <c r="AX56" s="4" cm="1">
        <f t="array" ref="AX56">GammaCP(AK56,$B$2,$AX$47,$D$2,$E$2,$F$4)</f>
        <v>1.9069390773026208E-2</v>
      </c>
      <c r="AY56" s="5" cm="1">
        <f t="array" ref="AY56">GammaCP(AK56,$B$2,$AY$47,$D$2,$E$2,$F$4)</f>
        <v>1.6865374880276125E-2</v>
      </c>
    </row>
    <row r="57" spans="1:51" x14ac:dyDescent="0.3">
      <c r="A57" s="9">
        <v>105</v>
      </c>
      <c r="B57" s="12" cm="1">
        <f t="array" ref="B57">GammaCP(A57,$B$2,$B$47,$D$2,$E$2,$F$2)</f>
        <v>4.2961708392642114E-2</v>
      </c>
      <c r="C57" s="12" cm="1">
        <f t="array" ref="C57">GammaCP(A57,$B$2,$C$47,$D$2,$E$2,$F$2)</f>
        <v>3.5212130286942131E-2</v>
      </c>
      <c r="D57" s="12" cm="1">
        <f t="array" ref="D57">GammaCP(A57,$B$2,$D$47,$D$2,$E$2,$F$2)</f>
        <v>3.0178399358531966E-2</v>
      </c>
      <c r="E57" s="12" cm="1">
        <f t="array" ref="E57">GammaCP(A57,$B$2,$E$47,$D$2,$E$2,$F$2)</f>
        <v>2.6761306237360671E-2</v>
      </c>
      <c r="F57" s="12" cm="1">
        <f t="array" ref="F57">GammaCP(A57,$B$2,$F$47,$D$2,$E$2,$F$2)</f>
        <v>2.4267506445708336E-2</v>
      </c>
      <c r="G57" s="12" cm="1">
        <f t="array" ref="G57">GammaCP(A57,$B$2,$G$47,$D$2,$E$2,$F$2)</f>
        <v>2.2348767206295854E-2</v>
      </c>
      <c r="H57" s="12" cm="1">
        <f t="array" ref="H57">GammaCP(A57,$B$2,$H$47,$D$2,$E$2,$F$2)</f>
        <v>2.0814619144845083E-2</v>
      </c>
      <c r="I57" s="12" cm="1">
        <f t="array" ref="I57">GammaCP(A57,$B$2,$I$47,$D$2,$E$2,$F$2)</f>
        <v>1.9552017122180458E-2</v>
      </c>
      <c r="J57" s="12" cm="1">
        <f t="array" ref="J57">GammaCP(A57,$B$2,$J$47,$D$2,$E$2,$F$2)</f>
        <v>1.8489346824041981E-2</v>
      </c>
      <c r="K57" s="12" cm="1">
        <f t="array" ref="K57">GammaCP(A57,$B$2,$K$47,$D$2,$E$2,$F$2)</f>
        <v>1.7578836087368842E-2</v>
      </c>
      <c r="L57" s="12" cm="1">
        <f t="array" ref="L57">GammaCP(A57,$B$2,$L$47,$D$2,$E$2,$F$2)</f>
        <v>1.2475292570391814E-2</v>
      </c>
      <c r="M57" s="12" cm="1">
        <f t="array" ref="M57">GammaCP(A57,$B$2,$M$47,$D$2,$E$2,$F$2)</f>
        <v>1.0122157910866229E-2</v>
      </c>
      <c r="N57" s="12" cm="1">
        <f t="array" ref="N57">GammaCP(A57,$B$2,$N$47,$D$2,$E$2,$F$2)</f>
        <v>8.6895009017126795E-3</v>
      </c>
      <c r="O57" s="13" cm="1">
        <f t="array" ref="O57">GammaCP(A57,$B$2,$O$47,$D$2,$E$2,$F$2)</f>
        <v>7.6966219777363509E-3</v>
      </c>
      <c r="S57" s="1">
        <v>105</v>
      </c>
      <c r="T57" s="4" cm="1">
        <f t="array" ref="T57">GammaCP(S57,$B$2,$T$47,$D$2,$E$2,$F$3)</f>
        <v>3.4000529020197352E-2</v>
      </c>
      <c r="U57" s="4" cm="1">
        <f t="array" ref="U57">GammaCP(S57,$B$2,$U$47,$D$2,$E$2,$F$3)</f>
        <v>2.5642378317564652E-2</v>
      </c>
      <c r="V57" s="4" cm="1">
        <f t="array" ref="V57">GammaCP(S57,$B$2,$V$47,$D$2,$E$2,$F$3)</f>
        <v>2.1367578691690262E-2</v>
      </c>
      <c r="W57" s="4" cm="1">
        <f t="array" ref="W57">GammaCP(S57,$B$2,$W$47,$D$2,$E$2,$F$3)</f>
        <v>1.8678514542129085E-2</v>
      </c>
      <c r="X57" s="4" cm="1">
        <f t="array" ref="X57">GammaCP(S57,$B$2,$X$47,$D$2,$E$2,$F$3)</f>
        <v>1.6789169768697553E-2</v>
      </c>
      <c r="Y57" s="4" cm="1">
        <f t="array" ref="Y57">GammaCP(S57,$B$2,$Y$47,$D$2,$E$2,$F$3)</f>
        <v>1.5368208376167368E-2</v>
      </c>
      <c r="Z57" s="4" cm="1">
        <f t="array" ref="Z57">GammaCP(S57,$B$2,$Z$47,$D$2,$E$2,$F$3)</f>
        <v>1.4249101786859475E-2</v>
      </c>
      <c r="AA57" s="4" cm="1">
        <f t="array" ref="AA57">GammaCP(S57,$B$2,$AA$47,$D$2,$E$2,$F$3)</f>
        <v>1.3337894677823488E-2</v>
      </c>
      <c r="AB57" s="4" cm="1">
        <f t="array" ref="AB57">GammaCP(S57,$B$2,$AB$47,$D$2,$E$2,$F$3)</f>
        <v>1.2577052515957669E-2</v>
      </c>
      <c r="AC57" s="4" cm="1">
        <f t="array" ref="AC57">GammaCP(S57,$B$2,$AC$47,$D$2,$E$2,$F$3)</f>
        <v>1.1929120878360653E-2</v>
      </c>
      <c r="AD57" s="4" cm="1">
        <f t="array" ref="AD57">GammaCP(S57,$B$2,$AD$47,$D$2,$E$2,$F$3)</f>
        <v>8.3496184427614955E-3</v>
      </c>
      <c r="AE57" s="4" cm="1">
        <f t="array" ref="AE57">GammaCP(S57,$B$2,$AE$47,$D$2,$E$2,$F$3)</f>
        <v>6.7186139847336453E-3</v>
      </c>
      <c r="AF57" s="4" cm="1">
        <f t="array" ref="AF57">GammaCP(S57,$B$2,$AF$47,$D$2,$E$2,$F$3)</f>
        <v>5.7278335105389287E-3</v>
      </c>
      <c r="AG57" s="5" cm="1">
        <f t="array" ref="AG57">GammaCP(S57,$B$2,$AG$47,$D$2,$E$2,$F$3)</f>
        <v>5.0410846970877594E-3</v>
      </c>
      <c r="AK57" s="1">
        <v>105</v>
      </c>
      <c r="AL57" s="4" cm="1">
        <f t="array" ref="AL57">GammaCP(AK57,$B$2,$AL$47,$D$2,$E$2,$F$4)</f>
        <v>3.3926069444668285E-2</v>
      </c>
      <c r="AM57" s="4" cm="1">
        <f t="array" ref="AM57">GammaCP(AK57,$B$2,$AM$47,$D$2,$E$2,$F$4)</f>
        <v>4.3449753071981678E-2</v>
      </c>
      <c r="AN57" s="4" cm="1">
        <f t="array" ref="AN57">GammaCP(AK57,$B$2,$AN$47,$D$2,$E$2,$F$4)</f>
        <v>4.3212117686085315E-2</v>
      </c>
      <c r="AO57" s="4" cm="1">
        <f t="array" ref="AO57">GammaCP(AK57,$B$2,$AO$47,$D$2,$E$2,$F$4)</f>
        <v>4.1278492158452362E-2</v>
      </c>
      <c r="AP57" s="4" cm="1">
        <f t="array" ref="AP57">GammaCP(AK57,$B$2,$AP$47,$D$2,$E$2,$F$4)</f>
        <v>3.914046415242152E-2</v>
      </c>
      <c r="AQ57" s="4" cm="1">
        <f t="array" ref="AQ57">GammaCP(AK57,$B$2,$AQ$47,$D$2,$E$2,$F$4)</f>
        <v>3.7134472308525499E-2</v>
      </c>
      <c r="AR57" s="4" cm="1">
        <f t="array" ref="AR57">GammaCP(AK57,$B$2,$AR$47,$D$2,$E$2,$F$4)</f>
        <v>3.5328302741473985E-2</v>
      </c>
      <c r="AS57" s="4" cm="1">
        <f t="array" ref="AS57">GammaCP(AK57,$B$2,$AS$47,$D$2,$E$2,$F$4)</f>
        <v>3.3718545937390328E-2</v>
      </c>
      <c r="AT57" s="4" cm="1">
        <f t="array" ref="AT57">GammaCP(AK57,$B$2,$AT$47,$D$2,$E$2,$F$4)</f>
        <v>3.2283704705699037E-2</v>
      </c>
      <c r="AU57" s="4" cm="1">
        <f t="array" ref="AU57">GammaCP(AK57,$B$2,$AU$47,$D$2,$E$2,$F$4)</f>
        <v>3.0999845988993829E-2</v>
      </c>
      <c r="AV57" s="4" cm="1">
        <f t="array" ref="AV57">GammaCP(AK57,$B$2,$AV$47,$D$2,$E$2,$F$4)</f>
        <v>2.3004058320651034E-2</v>
      </c>
      <c r="AW57" s="4" cm="1">
        <f t="array" ref="AW57">GammaCP(AK57,$B$2,$AW$47,$D$2,$E$2,$F$4)</f>
        <v>1.8944723118837964E-2</v>
      </c>
      <c r="AX57" s="4" cm="1">
        <f t="array" ref="AX57">GammaCP(AK57,$B$2,$AX$47,$D$2,$E$2,$F$4)</f>
        <v>1.638478336147095E-2</v>
      </c>
      <c r="AY57" s="5" cm="1">
        <f t="array" ref="AY57">GammaCP(AK57,$B$2,$AY$47,$D$2,$E$2,$F$4)</f>
        <v>1.457754724330231E-2</v>
      </c>
    </row>
    <row r="58" spans="1:51" x14ac:dyDescent="0.3">
      <c r="A58" s="9">
        <v>110</v>
      </c>
      <c r="B58" s="12" cm="1">
        <f t="array" ref="B58">GammaCP(A58,$B$2,$B$47,$D$2,$E$2,$F$2)</f>
        <v>1.7132125878144413E-2</v>
      </c>
      <c r="C58" s="12" cm="1">
        <f t="array" ref="C58">GammaCP(A58,$B$2,$C$47,$D$2,$E$2,$F$2)</f>
        <v>2.1349081451222499E-2</v>
      </c>
      <c r="D58" s="12" cm="1">
        <f t="array" ref="D58">GammaCP(A58,$B$2,$D$47,$D$2,$E$2,$F$2)</f>
        <v>2.1039503593612036E-2</v>
      </c>
      <c r="E58" s="12" cm="1">
        <f t="array" ref="E58">GammaCP(A58,$B$2,$E$47,$D$2,$E$2,$F$2)</f>
        <v>2.0006577096239701E-2</v>
      </c>
      <c r="F58" s="12" cm="1">
        <f t="array" ref="F58">GammaCP(A58,$B$2,$F$47,$D$2,$E$2,$F$2)</f>
        <v>1.8918485039079759E-2</v>
      </c>
      <c r="G58" s="12" cm="1">
        <f t="array" ref="G58">GammaCP(A58,$B$2,$G$47,$D$2,$E$2,$F$2)</f>
        <v>1.7916173218194179E-2</v>
      </c>
      <c r="H58" s="12" cm="1">
        <f t="array" ref="H58">GammaCP(A58,$B$2,$H$47,$D$2,$E$2,$F$2)</f>
        <v>1.7022556226213847E-2</v>
      </c>
      <c r="I58" s="12" cm="1">
        <f t="array" ref="I58">GammaCP(A58,$B$2,$I$47,$D$2,$E$2,$F$2)</f>
        <v>1.6231040004613291E-2</v>
      </c>
      <c r="J58" s="12" cm="1">
        <f t="array" ref="J58">GammaCP(A58,$B$2,$J$47,$D$2,$E$2,$F$2)</f>
        <v>1.5528543194402064E-2</v>
      </c>
      <c r="K58" s="12" cm="1">
        <f t="array" ref="K58">GammaCP(A58,$B$2,$K$47,$D$2,$E$2,$F$2)</f>
        <v>1.4901938093572724E-2</v>
      </c>
      <c r="L58" s="12" cm="1">
        <f t="array" ref="L58">GammaCP(A58,$B$2,$L$47,$D$2,$E$2,$F$2)</f>
        <v>1.1028059378052651E-2</v>
      </c>
      <c r="M58" s="12" cm="1">
        <f t="array" ref="M58">GammaCP(A58,$B$2,$M$47,$D$2,$E$2,$F$2)</f>
        <v>9.0737477955800411E-3</v>
      </c>
      <c r="N58" s="12" cm="1">
        <f t="array" ref="N58">GammaCP(A58,$B$2,$N$47,$D$2,$E$2,$F$2)</f>
        <v>7.8440625463605997E-3</v>
      </c>
      <c r="O58" s="13" cm="1">
        <f t="array" ref="O58">GammaCP(A58,$B$2,$O$47,$D$2,$E$2,$F$2)</f>
        <v>6.9769553505238452E-3</v>
      </c>
      <c r="S58" s="1">
        <v>110</v>
      </c>
      <c r="T58" s="4" cm="1">
        <f t="array" ref="T58">GammaCP(S58,$B$2,$T$47,$D$2,$E$2,$F$3)</f>
        <v>2.173682248663825E-2</v>
      </c>
      <c r="U58" s="4" cm="1">
        <f t="array" ref="U58">GammaCP(S58,$B$2,$U$47,$D$2,$E$2,$F$3)</f>
        <v>1.9748701502398162E-2</v>
      </c>
      <c r="V58" s="4" cm="1">
        <f t="array" ref="V58">GammaCP(S58,$B$2,$V$47,$D$2,$E$2,$F$3)</f>
        <v>1.7510243021562302E-2</v>
      </c>
      <c r="W58" s="4" cm="1">
        <f t="array" ref="W58">GammaCP(S58,$B$2,$W$47,$D$2,$E$2,$F$3)</f>
        <v>1.5789104753624824E-2</v>
      </c>
      <c r="X58" s="4" cm="1">
        <f t="array" ref="X58">GammaCP(S58,$B$2,$X$47,$D$2,$E$2,$F$3)</f>
        <v>1.4458770943216178E-2</v>
      </c>
      <c r="Y58" s="4" cm="1">
        <f t="array" ref="Y58">GammaCP(S58,$B$2,$Y$47,$D$2,$E$2,$F$3)</f>
        <v>1.3400367884206782E-2</v>
      </c>
      <c r="Z58" s="4" cm="1">
        <f t="array" ref="Z58">GammaCP(S58,$B$2,$Z$47,$D$2,$E$2,$F$3)</f>
        <v>1.2535218696786308E-2</v>
      </c>
      <c r="AA58" s="4" cm="1">
        <f t="array" ref="AA58">GammaCP(S58,$B$2,$AA$47,$D$2,$E$2,$F$3)</f>
        <v>1.1811904293602781E-2</v>
      </c>
      <c r="AB58" s="4" cm="1">
        <f t="array" ref="AB58">GammaCP(S58,$B$2,$AB$47,$D$2,$E$2,$F$3)</f>
        <v>1.1195871235951033E-2</v>
      </c>
      <c r="AC58" s="4" cm="1">
        <f t="array" ref="AC58">GammaCP(S58,$B$2,$AC$47,$D$2,$E$2,$F$3)</f>
        <v>1.0663126660408761E-2</v>
      </c>
      <c r="AD58" s="4" cm="1">
        <f t="array" ref="AD58">GammaCP(S58,$B$2,$AD$47,$D$2,$E$2,$F$3)</f>
        <v>7.603783522576131E-3</v>
      </c>
      <c r="AE58" s="4" cm="1">
        <f t="array" ref="AE58">GammaCP(S58,$B$2,$AE$47,$D$2,$E$2,$F$3)</f>
        <v>6.1565649557768741E-3</v>
      </c>
      <c r="AF58" s="4" cm="1">
        <f t="array" ref="AF58">GammaCP(S58,$B$2,$AF$47,$D$2,$E$2,$F$3)</f>
        <v>5.2649832426331956E-3</v>
      </c>
      <c r="AG58" s="5" cm="1">
        <f t="array" ref="AG58">GammaCP(S58,$B$2,$AG$47,$D$2,$E$2,$F$3)</f>
        <v>4.6423651796185005E-3</v>
      </c>
      <c r="AK58" s="1">
        <v>110</v>
      </c>
      <c r="AL58" s="4" cm="1">
        <f t="array" ref="AL58">GammaCP(AK58,$B$2,$AL$47,$D$2,$E$2,$F$4)</f>
        <v>1.0577125055269184E-3</v>
      </c>
      <c r="AM58" s="4" cm="1">
        <f t="array" ref="AM58">GammaCP(AK58,$B$2,$AM$47,$D$2,$E$2,$F$4)</f>
        <v>7.2385257929532482E-3</v>
      </c>
      <c r="AN58" s="4" cm="1">
        <f t="array" ref="AN58">GammaCP(AK58,$B$2,$AN$47,$D$2,$E$2,$F$4)</f>
        <v>1.2585716288856257E-2</v>
      </c>
      <c r="AO58" s="4" cm="1">
        <f t="array" ref="AO58">GammaCP(AK58,$B$2,$AO$47,$D$2,$E$2,$F$4)</f>
        <v>1.5896481134192911E-2</v>
      </c>
      <c r="AP58" s="4" cm="1">
        <f t="array" ref="AP58">GammaCP(AK58,$B$2,$AP$47,$D$2,$E$2,$F$4)</f>
        <v>1.7823213843019742E-2</v>
      </c>
      <c r="AQ58" s="4" cm="1">
        <f t="array" ref="AQ58">GammaCP(AK58,$B$2,$AQ$47,$D$2,$E$2,$F$4)</f>
        <v>1.8908593172743498E-2</v>
      </c>
      <c r="AR58" s="4" cm="1">
        <f t="array" ref="AR58">GammaCP(AK58,$B$2,$AR$47,$D$2,$E$2,$F$4)</f>
        <v>1.9483332622964505E-2</v>
      </c>
      <c r="AS58" s="4" cm="1">
        <f t="array" ref="AS58">GammaCP(AK58,$B$2,$AS$47,$D$2,$E$2,$F$4)</f>
        <v>1.9742547542846392E-2</v>
      </c>
      <c r="AT58" s="4" cm="1">
        <f t="array" ref="AT58">GammaCP(AK58,$B$2,$AT$47,$D$2,$E$2,$F$4)</f>
        <v>1.9803191408745979E-2</v>
      </c>
      <c r="AU58" s="4" cm="1">
        <f t="array" ref="AU58">GammaCP(AK58,$B$2,$AU$47,$D$2,$E$2,$F$4)</f>
        <v>1.9737190221859435E-2</v>
      </c>
      <c r="AV58" s="4" cm="1">
        <f t="array" ref="AV58">GammaCP(AK58,$B$2,$AV$47,$D$2,$E$2,$F$4)</f>
        <v>1.7318613598151577E-2</v>
      </c>
      <c r="AW58" s="4" cm="1">
        <f t="array" ref="AW58">GammaCP(AK58,$B$2,$AW$47,$D$2,$E$2,$F$4)</f>
        <v>1.5081963394812058E-2</v>
      </c>
      <c r="AX58" s="4" cm="1">
        <f t="array" ref="AX58">GammaCP(AK58,$B$2,$AX$47,$D$2,$E$2,$F$4)</f>
        <v>1.3413459498534529E-2</v>
      </c>
      <c r="AY58" s="5" cm="1">
        <f t="array" ref="AY58">GammaCP(AK58,$B$2,$AY$47,$D$2,$E$2,$F$4)</f>
        <v>1.2135644435772966E-2</v>
      </c>
    </row>
    <row r="59" spans="1:51" x14ac:dyDescent="0.3">
      <c r="A59" s="9">
        <v>115</v>
      </c>
      <c r="B59" s="12" cm="1">
        <f t="array" ref="B59">GammaCP(A59,$B$2,$B$47,$D$2,$E$2,$F$2)</f>
        <v>4.293033327812704E-3</v>
      </c>
      <c r="C59" s="12" cm="1">
        <f t="array" ref="C59">GammaCP(A59,$B$2,$C$47,$D$2,$E$2,$F$2)</f>
        <v>1.0279303406877476E-2</v>
      </c>
      <c r="D59" s="12" cm="1">
        <f t="array" ref="D59">GammaCP(A59,$B$2,$D$47,$D$2,$E$2,$F$2)</f>
        <v>1.259400347775148E-2</v>
      </c>
      <c r="E59" s="12" cm="1">
        <f t="array" ref="E59">GammaCP(A59,$B$2,$E$47,$D$2,$E$2,$F$2)</f>
        <v>1.3352820984703353E-2</v>
      </c>
      <c r="F59" s="12" cm="1">
        <f t="array" ref="F59">GammaCP(A59,$B$2,$F$47,$D$2,$E$2,$F$2)</f>
        <v>1.3478753756809105E-2</v>
      </c>
      <c r="G59" s="12" cm="1">
        <f t="array" ref="G59">GammaCP(A59,$B$2,$G$47,$D$2,$E$2,$F$2)</f>
        <v>1.333267834934383E-2</v>
      </c>
      <c r="H59" s="12" cm="1">
        <f t="array" ref="H59">GammaCP(A59,$B$2,$H$47,$D$2,$E$2,$F$2)</f>
        <v>1.306782132810054E-2</v>
      </c>
      <c r="I59" s="12" cm="1">
        <f t="array" ref="I59">GammaCP(A59,$B$2,$I$47,$D$2,$E$2,$F$2)</f>
        <v>1.2754236173725023E-2</v>
      </c>
      <c r="J59" s="12" cm="1">
        <f t="array" ref="J59">GammaCP(A59,$B$2,$J$47,$D$2,$E$2,$F$2)</f>
        <v>1.2425602990436631E-2</v>
      </c>
      <c r="K59" s="12" cm="1">
        <f t="array" ref="K59">GammaCP(A59,$B$2,$K$47,$D$2,$E$2,$F$2)</f>
        <v>1.2098525266351955E-2</v>
      </c>
      <c r="L59" s="12" cm="1">
        <f t="array" ref="L59">GammaCP(A59,$B$2,$L$47,$D$2,$E$2,$F$2)</f>
        <v>9.5576676672171172E-3</v>
      </c>
      <c r="M59" s="12" cm="1">
        <f t="array" ref="M59">GammaCP(A59,$B$2,$M$47,$D$2,$E$2,$F$2)</f>
        <v>8.0369990403848408E-3</v>
      </c>
      <c r="N59" s="12" cm="1">
        <f t="array" ref="N59">GammaCP(A59,$B$2,$N$47,$D$2,$E$2,$F$2)</f>
        <v>7.0238536178371452E-3</v>
      </c>
      <c r="O59" s="13" cm="1">
        <f t="array" ref="O59">GammaCP(A59,$B$2,$O$47,$D$2,$E$2,$F$2)</f>
        <v>6.2883493733863101E-3</v>
      </c>
      <c r="S59" s="1">
        <v>115</v>
      </c>
      <c r="T59" s="4" cm="1">
        <f t="array" ref="T59">GammaCP(S59,$B$2,$T$47,$D$2,$E$2,$F$3)</f>
        <v>1.132338909622355E-2</v>
      </c>
      <c r="U59" s="4" cm="1">
        <f t="array" ref="U59">GammaCP(S59,$B$2,$U$47,$D$2,$E$2,$F$3)</f>
        <v>1.3752363931184043E-2</v>
      </c>
      <c r="V59" s="4" cm="1">
        <f t="array" ref="V59">GammaCP(S59,$B$2,$V$47,$D$2,$E$2,$F$3)</f>
        <v>1.3432302518922605E-2</v>
      </c>
      <c r="W59" s="4" cm="1">
        <f t="array" ref="W59">GammaCP(S59,$B$2,$W$47,$D$2,$E$2,$F$3)</f>
        <v>1.2712341075815795E-2</v>
      </c>
      <c r="X59" s="4" cm="1">
        <f t="array" ref="X59">GammaCP(S59,$B$2,$X$47,$D$2,$E$2,$F$3)</f>
        <v>1.1984095247208171E-2</v>
      </c>
      <c r="Y59" s="4" cm="1">
        <f t="array" ref="Y59">GammaCP(S59,$B$2,$Y$47,$D$2,$E$2,$F$3)</f>
        <v>1.1323860006353008E-2</v>
      </c>
      <c r="Z59" s="4" cm="1">
        <f t="array" ref="Z59">GammaCP(S59,$B$2,$Z$47,$D$2,$E$2,$F$3)</f>
        <v>1.074020246658062E-2</v>
      </c>
      <c r="AA59" s="4" cm="1">
        <f t="array" ref="AA59">GammaCP(S59,$B$2,$AA$47,$D$2,$E$2,$F$3)</f>
        <v>1.0225923975723968E-2</v>
      </c>
      <c r="AB59" s="4" cm="1">
        <f t="array" ref="AB59">GammaCP(S59,$B$2,$AB$47,$D$2,$E$2,$F$3)</f>
        <v>9.7710707636894847E-3</v>
      </c>
      <c r="AC59" s="4" cm="1">
        <f t="array" ref="AC59">GammaCP(S59,$B$2,$AC$47,$D$2,$E$2,$F$3)</f>
        <v>9.366344559542529E-3</v>
      </c>
      <c r="AD59" s="4" cm="1">
        <f t="array" ref="AD59">GammaCP(S59,$B$2,$AD$47,$D$2,$E$2,$F$3)</f>
        <v>6.8757669831697619E-3</v>
      </c>
      <c r="AE59" s="4" cm="1">
        <f t="array" ref="AE59">GammaCP(S59,$B$2,$AE$47,$D$2,$E$2,$F$3)</f>
        <v>5.6212360131347814E-3</v>
      </c>
      <c r="AF59" s="4" cm="1">
        <f t="array" ref="AF59">GammaCP(S59,$B$2,$AF$47,$D$2,$E$2,$F$3)</f>
        <v>4.8304914892427558E-3</v>
      </c>
      <c r="AG59" s="5" cm="1">
        <f t="array" ref="AG59">GammaCP(S59,$B$2,$AG$47,$D$2,$E$2,$F$3)</f>
        <v>4.2716357498546308E-3</v>
      </c>
      <c r="AK59" s="1">
        <v>115</v>
      </c>
      <c r="AL59" s="4" cm="1">
        <f t="array" ref="AL59">GammaCP(AK59,$B$2,$AL$47,$D$2,$E$2,$F$4)</f>
        <v>5.0939285700327291E-6</v>
      </c>
      <c r="AM59" s="4" cm="1">
        <f t="array" ref="AM59">GammaCP(AK59,$B$2,$AM$47,$D$2,$E$2,$F$4)</f>
        <v>4.751834300064429E-4</v>
      </c>
      <c r="AN59" s="4" cm="1">
        <f t="array" ref="AN59">GammaCP(AK59,$B$2,$AN$47,$D$2,$E$2,$F$4)</f>
        <v>1.9736239926009683E-3</v>
      </c>
      <c r="AO59" s="4" cm="1">
        <f t="array" ref="AO59">GammaCP(AK59,$B$2,$AO$47,$D$2,$E$2,$F$4)</f>
        <v>3.852788206715317E-3</v>
      </c>
      <c r="AP59" s="4" cm="1">
        <f t="array" ref="AP59">GammaCP(AK59,$B$2,$AP$47,$D$2,$E$2,$F$4)</f>
        <v>5.6093527215653801E-3</v>
      </c>
      <c r="AQ59" s="4" cm="1">
        <f t="array" ref="AQ59">GammaCP(AK59,$B$2,$AQ$47,$D$2,$E$2,$F$4)</f>
        <v>7.0830615084530833E-3</v>
      </c>
      <c r="AR59" s="4" cm="1">
        <f t="array" ref="AR59">GammaCP(AK59,$B$2,$AR$47,$D$2,$E$2,$F$4)</f>
        <v>8.2651375479295131E-3</v>
      </c>
      <c r="AS59" s="4" cm="1">
        <f t="array" ref="AS59">GammaCP(AK59,$B$2,$AS$47,$D$2,$E$2,$F$4)</f>
        <v>9.19409140342148E-3</v>
      </c>
      <c r="AT59" s="4" cm="1">
        <f t="array" ref="AT59">GammaCP(AK59,$B$2,$AT$47,$D$2,$E$2,$F$4)</f>
        <v>9.9164315716425786E-3</v>
      </c>
      <c r="AU59" s="4" cm="1">
        <f t="array" ref="AU59">GammaCP(AK59,$B$2,$AU$47,$D$2,$E$2,$F$4)</f>
        <v>1.0474112849205517E-2</v>
      </c>
      <c r="AV59" s="4" cm="1">
        <f t="array" ref="AV59">GammaCP(AK59,$B$2,$AV$47,$D$2,$E$2,$F$4)</f>
        <v>1.1934318929118741E-2</v>
      </c>
      <c r="AW59" s="4" cm="1">
        <f t="array" ref="AW59">GammaCP(AK59,$B$2,$AW$47,$D$2,$E$2,$F$4)</f>
        <v>1.1338612960202376E-2</v>
      </c>
      <c r="AX59" s="4" cm="1">
        <f t="array" ref="AX59">GammaCP(AK59,$B$2,$AX$47,$D$2,$E$2,$F$4)</f>
        <v>1.053298866360371E-2</v>
      </c>
      <c r="AY59" s="5" cm="1">
        <f t="array" ref="AY59">GammaCP(AK59,$B$2,$AY$47,$D$2,$E$2,$F$4)</f>
        <v>9.7818031211006871E-3</v>
      </c>
    </row>
    <row r="60" spans="1:51" x14ac:dyDescent="0.3">
      <c r="A60" s="9">
        <v>120</v>
      </c>
      <c r="B60" s="12" cm="1">
        <f t="array" ref="B60">GammaCP(A60,$B$2,$B$47,$D$2,$E$2,$F$2)</f>
        <v>7.1823787351586266E-4</v>
      </c>
      <c r="C60" s="12" cm="1">
        <f t="array" ref="C60">GammaCP(A60,$B$2,$C$47,$D$2,$E$2,$F$2)</f>
        <v>4.0508179535475647E-3</v>
      </c>
      <c r="D60" s="12" cm="1">
        <f t="array" ref="D60">GammaCP(A60,$B$2,$D$47,$D$2,$E$2,$F$2)</f>
        <v>6.6034037139998071E-3</v>
      </c>
      <c r="E60" s="12" cm="1">
        <f t="array" ref="E60">GammaCP(A60,$B$2,$E$47,$D$2,$E$2,$F$2)</f>
        <v>8.0758746095868552E-3</v>
      </c>
      <c r="F60" s="12" cm="1">
        <f t="array" ref="F60">GammaCP(A60,$B$2,$F$47,$D$2,$E$2,$F$2)</f>
        <v>8.881243547387634E-3</v>
      </c>
      <c r="G60" s="12" cm="1">
        <f t="array" ref="G60">GammaCP(A60,$B$2,$G$47,$D$2,$E$2,$F$2)</f>
        <v>9.3013597568778472E-3</v>
      </c>
      <c r="H60" s="12" cm="1">
        <f t="array" ref="H60">GammaCP(A60,$B$2,$H$47,$D$2,$E$2,$F$2)</f>
        <v>9.496205086649636E-3</v>
      </c>
      <c r="I60" s="12" cm="1">
        <f t="array" ref="I60">GammaCP(A60,$B$2,$I$47,$D$2,$E$2,$F$2)</f>
        <v>9.5562993383245896E-3</v>
      </c>
      <c r="J60" s="12" cm="1">
        <f t="array" ref="J60">GammaCP(A60,$B$2,$J$47,$D$2,$E$2,$F$2)</f>
        <v>9.5342861100476319E-3</v>
      </c>
      <c r="K60" s="12" cm="1">
        <f t="array" ref="K60">GammaCP(A60,$B$2,$K$47,$D$2,$E$2,$F$2)</f>
        <v>9.4617501566145283E-3</v>
      </c>
      <c r="L60" s="12" cm="1">
        <f t="array" ref="L60">GammaCP(A60,$B$2,$L$47,$D$2,$E$2,$F$2)</f>
        <v>8.1432630811320364E-3</v>
      </c>
      <c r="M60" s="12" cm="1">
        <f t="array" ref="M60">GammaCP(A60,$B$2,$M$47,$D$2,$E$2,$F$2)</f>
        <v>7.0460051549628569E-3</v>
      </c>
      <c r="N60" s="12" cm="1">
        <f t="array" ref="N60">GammaCP(A60,$B$2,$N$47,$D$2,$E$2,$F$2)</f>
        <v>6.2463417557349936E-3</v>
      </c>
      <c r="O60" s="13" cm="1">
        <f t="array" ref="O60">GammaCP(A60,$B$2,$O$47,$D$2,$E$2,$F$2)</f>
        <v>5.6403714114604637E-3</v>
      </c>
      <c r="S60" s="1">
        <v>120</v>
      </c>
      <c r="T60" s="4" cm="1">
        <f t="array" ref="T60">GammaCP(S60,$B$2,$T$47,$D$2,$E$2,$F$3)</f>
        <v>4.9370130845059288E-3</v>
      </c>
      <c r="U60" s="4" cm="1">
        <f t="array" ref="U60">GammaCP(S60,$B$2,$U$47,$D$2,$E$2,$F$3)</f>
        <v>8.7746917760978486E-3</v>
      </c>
      <c r="V60" s="4" cm="1">
        <f t="array" ref="V60">GammaCP(S60,$B$2,$V$47,$D$2,$E$2,$F$3)</f>
        <v>9.7303217208305568E-3</v>
      </c>
      <c r="W60" s="4" cm="1">
        <f t="array" ref="W60">GammaCP(S60,$B$2,$W$47,$D$2,$E$2,$F$3)</f>
        <v>9.8121320272589428E-3</v>
      </c>
      <c r="X60" s="4" cm="1">
        <f t="array" ref="X60">GammaCP(S60,$B$2,$X$47,$D$2,$E$2,$F$3)</f>
        <v>9.6090347795308399E-3</v>
      </c>
      <c r="Y60" s="4" cm="1">
        <f t="array" ref="Y60">GammaCP(S60,$B$2,$Y$47,$D$2,$E$2,$F$3)</f>
        <v>9.3130824817801022E-3</v>
      </c>
      <c r="Z60" s="4" cm="1">
        <f t="array" ref="Z60">GammaCP(S60,$B$2,$Z$47,$D$2,$E$2,$F$3)</f>
        <v>8.9946864621100811E-3</v>
      </c>
      <c r="AA60" s="4" cm="1">
        <f t="array" ref="AA60">GammaCP(S60,$B$2,$AA$47,$D$2,$E$2,$F$3)</f>
        <v>8.681246196908252E-3</v>
      </c>
      <c r="AB60" s="4" cm="1">
        <f t="array" ref="AB60">GammaCP(S60,$B$2,$AB$47,$D$2,$E$2,$F$3)</f>
        <v>8.3833035199653554E-3</v>
      </c>
      <c r="AC60" s="4" cm="1">
        <f t="array" ref="AC60">GammaCP(S60,$B$2,$AC$47,$D$2,$E$2,$F$3)</f>
        <v>8.1043460458643246E-3</v>
      </c>
      <c r="AD60" s="4" cm="1">
        <f t="array" ref="AD60">GammaCP(S60,$B$2,$AD$47,$D$2,$E$2,$F$3)</f>
        <v>6.1802445927498393E-3</v>
      </c>
      <c r="AE60" s="4" cm="1">
        <f t="array" ref="AE60">GammaCP(S60,$B$2,$AE$47,$D$2,$E$2,$F$3)</f>
        <v>5.1171548019673802E-3</v>
      </c>
      <c r="AF60" s="4" cm="1">
        <f t="array" ref="AF60">GammaCP(S60,$B$2,$AF$47,$D$2,$E$2,$F$3)</f>
        <v>4.4253147744497462E-3</v>
      </c>
      <c r="AG60" s="5" cm="1">
        <f t="array" ref="AG60">GammaCP(S60,$B$2,$AG$47,$D$2,$E$2,$F$3)</f>
        <v>3.928264530213923E-3</v>
      </c>
      <c r="AK60" s="1">
        <v>120</v>
      </c>
      <c r="AL60" s="4" cm="1">
        <f t="array" ref="AL60">GammaCP(AK60,$B$2,$AL$47,$D$2,$E$2,$F$4)</f>
        <v>4.8333065983837001E-9</v>
      </c>
      <c r="AM60" s="4" cm="1">
        <f t="array" ref="AM60">GammaCP(AK60,$B$2,$AM$47,$D$2,$E$2,$F$4)</f>
        <v>1.3878827508435486E-5</v>
      </c>
      <c r="AN60" s="4" cm="1">
        <f t="array" ref="AN60">GammaCP(AK60,$B$2,$AN$47,$D$2,$E$2,$F$4)</f>
        <v>1.8065746203269187E-4</v>
      </c>
      <c r="AO60" s="4" cm="1">
        <f t="array" ref="AO60">GammaCP(AK60,$B$2,$AO$47,$D$2,$E$2,$F$4)</f>
        <v>6.2433347878451618E-4</v>
      </c>
      <c r="AP60" s="4" cm="1">
        <f t="array" ref="AP60">GammaCP(AK60,$B$2,$AP$47,$D$2,$E$2,$F$4)</f>
        <v>1.2805137235044073E-3</v>
      </c>
      <c r="AQ60" s="4" cm="1">
        <f t="array" ref="AQ60">GammaCP(AK60,$B$2,$AQ$47,$D$2,$E$2,$F$4)</f>
        <v>2.0319475824949786E-3</v>
      </c>
      <c r="AR60" s="4" cm="1">
        <f t="array" ref="AR60">GammaCP(AK60,$B$2,$AR$47,$D$2,$E$2,$F$4)</f>
        <v>2.7913416838140051E-3</v>
      </c>
      <c r="AS60" s="4" cm="1">
        <f t="array" ref="AS60">GammaCP(AK60,$B$2,$AS$47,$D$2,$E$2,$F$4)</f>
        <v>3.5093388466936391E-3</v>
      </c>
      <c r="AT60" s="4" cm="1">
        <f t="array" ref="AT60">GammaCP(AK60,$B$2,$AT$47,$D$2,$E$2,$F$4)</f>
        <v>4.1630686520652089E-3</v>
      </c>
      <c r="AU60" s="4" cm="1">
        <f t="array" ref="AU60">GammaCP(AK60,$B$2,$AU$47,$D$2,$E$2,$F$4)</f>
        <v>4.7451367772989453E-3</v>
      </c>
      <c r="AV60" s="4" cm="1">
        <f t="array" ref="AV60">GammaCP(AK60,$B$2,$AV$47,$D$2,$E$2,$F$4)</f>
        <v>7.6165645282489083E-3</v>
      </c>
      <c r="AW60" s="4" cm="1">
        <f t="array" ref="AW60">GammaCP(AK60,$B$2,$AW$47,$D$2,$E$2,$F$4)</f>
        <v>8.1120649104783841E-3</v>
      </c>
      <c r="AX60" s="4" cm="1">
        <f t="array" ref="AX60">GammaCP(AK60,$B$2,$AX$47,$D$2,$E$2,$F$4)</f>
        <v>7.978625905498065E-3</v>
      </c>
      <c r="AY60" s="5" cm="1">
        <f t="array" ref="AY60">GammaCP(AK60,$B$2,$AY$47,$D$2,$E$2,$F$4)</f>
        <v>7.6679346587994858E-3</v>
      </c>
    </row>
    <row r="61" spans="1:51" x14ac:dyDescent="0.3">
      <c r="A61" s="9">
        <v>125</v>
      </c>
      <c r="B61" s="12" cm="1">
        <f t="array" ref="B61">GammaCP(A61,$B$2,$B$47,$D$2,$E$2,$F$2)</f>
        <v>8.4468232865850983E-5</v>
      </c>
      <c r="C61" s="12" cm="1">
        <f t="array" ref="C61">GammaCP(A61,$B$2,$C$47,$D$2,$E$2,$F$2)</f>
        <v>1.3404252747399995E-3</v>
      </c>
      <c r="D61" s="12" cm="1">
        <f t="array" ref="D61">GammaCP(A61,$B$2,$D$47,$D$2,$E$2,$F$2)</f>
        <v>3.0847927412867744E-3</v>
      </c>
      <c r="E61" s="12" cm="1">
        <f t="array" ref="E61">GammaCP(A61,$B$2,$E$47,$D$2,$E$2,$F$2)</f>
        <v>4.4825674910614196E-3</v>
      </c>
      <c r="F61" s="12" cm="1">
        <f t="array" ref="F61">GammaCP(A61,$B$2,$F$47,$D$2,$E$2,$F$2)</f>
        <v>5.4668672380470719E-3</v>
      </c>
      <c r="G61" s="12" cm="1">
        <f t="array" ref="G61">GammaCP(A61,$B$2,$G$47,$D$2,$E$2,$F$2)</f>
        <v>6.1342693499021796E-3</v>
      </c>
      <c r="H61" s="12" cm="1">
        <f t="array" ref="H61">GammaCP(A61,$B$2,$H$47,$D$2,$E$2,$F$2)</f>
        <v>6.5790096216856199E-3</v>
      </c>
      <c r="I61" s="12" cm="1">
        <f t="array" ref="I61">GammaCP(A61,$B$2,$I$47,$D$2,$E$2,$F$2)</f>
        <v>6.8698255498420117E-3</v>
      </c>
      <c r="J61" s="12" cm="1">
        <f t="array" ref="J61">GammaCP(A61,$B$2,$J$47,$D$2,$E$2,$F$2)</f>
        <v>7.0538139252298493E-3</v>
      </c>
      <c r="K61" s="12" cm="1">
        <f t="array" ref="K61">GammaCP(A61,$B$2,$K$47,$D$2,$E$2,$F$2)</f>
        <v>7.162937779782763E-3</v>
      </c>
      <c r="L61" s="12" cm="1">
        <f t="array" ref="L61">GammaCP(A61,$B$2,$L$47,$D$2,$E$2,$F$2)</f>
        <v>6.8366861897907437E-3</v>
      </c>
      <c r="M61" s="12" cm="1">
        <f t="array" ref="M61">GammaCP(A61,$B$2,$M$47,$D$2,$E$2,$F$2)</f>
        <v>6.1230240136718661E-3</v>
      </c>
      <c r="N61" s="12" cm="1">
        <f t="array" ref="N61">GammaCP(A61,$B$2,$N$47,$D$2,$E$2,$F$2)</f>
        <v>5.5225119093422655E-3</v>
      </c>
      <c r="O61" s="13" cm="1">
        <f t="array" ref="O61">GammaCP(A61,$B$2,$O$47,$D$2,$E$2,$F$2)</f>
        <v>5.0386172534840901E-3</v>
      </c>
      <c r="S61" s="1">
        <v>125</v>
      </c>
      <c r="T61" s="4" cm="1">
        <f t="array" ref="T61">GammaCP(S61,$B$2,$T$47,$D$2,$E$2,$F$3)</f>
        <v>1.8430873083992022E-3</v>
      </c>
      <c r="U61" s="4" cm="1">
        <f t="array" ref="U61">GammaCP(S61,$B$2,$U$47,$D$2,$E$2,$F$3)</f>
        <v>5.1878950118337845E-3</v>
      </c>
      <c r="V61" s="4" cm="1">
        <f t="array" ref="V61">GammaCP(S61,$B$2,$V$47,$D$2,$E$2,$F$3)</f>
        <v>6.7057249264153339E-3</v>
      </c>
      <c r="W61" s="4" cm="1">
        <f t="array" ref="W61">GammaCP(S61,$B$2,$W$47,$D$2,$E$2,$F$3)</f>
        <v>7.300650038287E-3</v>
      </c>
      <c r="X61" s="4" cm="1">
        <f t="array" ref="X61">GammaCP(S61,$B$2,$X$47,$D$2,$E$2,$F$3)</f>
        <v>7.4859286012427398E-3</v>
      </c>
      <c r="Y61" s="4" cm="1">
        <f t="array" ref="Y61">GammaCP(S61,$B$2,$Y$47,$D$2,$E$2,$F$3)</f>
        <v>7.4811990466972433E-3</v>
      </c>
      <c r="Z61" s="4" cm="1">
        <f t="array" ref="Z61">GammaCP(S61,$B$2,$Z$47,$D$2,$E$2,$F$3)</f>
        <v>7.3853698760191298E-3</v>
      </c>
      <c r="AA61" s="4" cm="1">
        <f t="array" ref="AA61">GammaCP(S61,$B$2,$AA$47,$D$2,$E$2,$F$3)</f>
        <v>7.2460218594597326E-3</v>
      </c>
      <c r="AB61" s="4" cm="1">
        <f t="array" ref="AB61">GammaCP(S61,$B$2,$AB$47,$D$2,$E$2,$F$3)</f>
        <v>7.0872762215001793E-3</v>
      </c>
      <c r="AC61" s="4" cm="1">
        <f t="array" ref="AC61">GammaCP(S61,$B$2,$AC$47,$D$2,$E$2,$F$3)</f>
        <v>6.9218060724324567E-3</v>
      </c>
      <c r="AD61" s="4" cm="1">
        <f t="array" ref="AD61">GammaCP(S61,$B$2,$AD$47,$D$2,$E$2,$F$3)</f>
        <v>5.5268144202571534E-3</v>
      </c>
      <c r="AE61" s="4" cm="1">
        <f t="array" ref="AE61">GammaCP(S61,$B$2,$AE$47,$D$2,$E$2,$F$3)</f>
        <v>4.6467969605679983E-3</v>
      </c>
      <c r="AF61" s="4" cm="1">
        <f t="array" ref="AF61">GammaCP(S61,$B$2,$AF$47,$D$2,$E$2,$F$3)</f>
        <v>4.0494614630788676E-3</v>
      </c>
      <c r="AG61" s="5" cm="1">
        <f t="array" ref="AG61">GammaCP(S61,$B$2,$AG$47,$D$2,$E$2,$F$3)</f>
        <v>3.6111922111984628E-3</v>
      </c>
      <c r="AK61" s="1">
        <v>125</v>
      </c>
      <c r="AL61" s="4" cm="1">
        <f t="array" ref="AL61">GammaCP(AK61,$B$2,$AL$47,$D$2,$E$2,$F$4)</f>
        <v>1.1110259985098477E-12</v>
      </c>
      <c r="AM61" s="4" cm="1">
        <f t="array" ref="AM61">GammaCP(AK61,$B$2,$AM$47,$D$2,$E$2,$F$4)</f>
        <v>1.9995476488667826E-7</v>
      </c>
      <c r="AN61" s="4" cm="1">
        <f t="array" ref="AN61">GammaCP(AK61,$B$2,$AN$47,$D$2,$E$2,$F$4)</f>
        <v>1.0338747257813624E-5</v>
      </c>
      <c r="AO61" s="4" cm="1">
        <f t="array" ref="AO61">GammaCP(AK61,$B$2,$AO$47,$D$2,$E$2,$F$4)</f>
        <v>7.121068360385758E-5</v>
      </c>
      <c r="AP61" s="4" cm="1">
        <f t="array" ref="AP61">GammaCP(AK61,$B$2,$AP$47,$D$2,$E$2,$F$4)</f>
        <v>2.2091371478623375E-4</v>
      </c>
      <c r="AQ61" s="4" cm="1">
        <f t="array" ref="AQ61">GammaCP(AK61,$B$2,$AQ$47,$D$2,$E$2,$F$4)</f>
        <v>4.6191019586218839E-4</v>
      </c>
      <c r="AR61" s="4" cm="1">
        <f t="array" ref="AR61">GammaCP(AK61,$B$2,$AR$47,$D$2,$E$2,$F$4)</f>
        <v>7.7274142964303433E-4</v>
      </c>
      <c r="AS61" s="4" cm="1">
        <f t="array" ref="AS61">GammaCP(AK61,$B$2,$AS$47,$D$2,$E$2,$F$4)</f>
        <v>1.1262339391078582E-3</v>
      </c>
      <c r="AT61" s="4" cm="1">
        <f t="array" ref="AT61">GammaCP(AK61,$B$2,$AT$47,$D$2,$E$2,$F$4)</f>
        <v>1.4987745127806533E-3</v>
      </c>
      <c r="AU61" s="4" cm="1">
        <f t="array" ref="AU61">GammaCP(AK61,$B$2,$AU$47,$D$2,$E$2,$F$4)</f>
        <v>1.8728672584138741E-3</v>
      </c>
      <c r="AV61" s="4" cm="1">
        <f t="array" ref="AV61">GammaCP(AK61,$B$2,$AV$47,$D$2,$E$2,$F$4)</f>
        <v>4.5470245404394521E-3</v>
      </c>
      <c r="AW61" s="4" cm="1">
        <f t="array" ref="AW61">GammaCP(AK61,$B$2,$AW$47,$D$2,$E$2,$F$4)</f>
        <v>5.5590796015987437E-3</v>
      </c>
      <c r="AX61" s="4" cm="1">
        <f t="array" ref="AX61">GammaCP(AK61,$B$2,$AX$47,$D$2,$E$2,$F$4)</f>
        <v>5.8580251271742132E-3</v>
      </c>
      <c r="AY61" s="5" cm="1">
        <f t="array" ref="AY61">GammaCP(AK61,$B$2,$AY$47,$D$2,$E$2,$F$4)</f>
        <v>5.8677624274978352E-3</v>
      </c>
    </row>
    <row r="62" spans="1:51" x14ac:dyDescent="0.3">
      <c r="A62" s="9">
        <v>130</v>
      </c>
      <c r="B62" s="12" cm="1">
        <f t="array" ref="B62">GammaCP(A62,$B$2,$B$47,$D$2,$E$2,$F$2)</f>
        <v>7.2972234478141031E-6</v>
      </c>
      <c r="C62" s="12" cm="1">
        <f t="array" ref="C62">GammaCP(A62,$B$2,$C$47,$D$2,$E$2,$F$2)</f>
        <v>3.806891985019321E-4</v>
      </c>
      <c r="D62" s="12" cm="1">
        <f t="array" ref="D62">GammaCP(A62,$B$2,$D$47,$D$2,$E$2,$F$2)</f>
        <v>1.3026922814580186E-3</v>
      </c>
      <c r="E62" s="12" cm="1">
        <f t="array" ref="E62">GammaCP(A62,$B$2,$E$47,$D$2,$E$2,$F$2)</f>
        <v>2.3082701661092642E-3</v>
      </c>
      <c r="F62" s="12" cm="1">
        <f t="array" ref="F62">GammaCP(A62,$B$2,$F$47,$D$2,$E$2,$F$2)</f>
        <v>3.1709157235184286E-3</v>
      </c>
      <c r="G62" s="12" cm="1">
        <f t="array" ref="G62">GammaCP(A62,$B$2,$G$47,$D$2,$E$2,$F$2)</f>
        <v>3.8518254155354287E-3</v>
      </c>
      <c r="H62" s="12" cm="1">
        <f t="array" ref="H62">GammaCP(A62,$B$2,$H$47,$D$2,$E$2,$F$2)</f>
        <v>4.3719665660242645E-3</v>
      </c>
      <c r="I62" s="12" cm="1">
        <f t="array" ref="I62">GammaCP(A62,$B$2,$I$47,$D$2,$E$2,$F$2)</f>
        <v>4.7634480986671439E-3</v>
      </c>
      <c r="J62" s="12" cm="1">
        <f t="array" ref="J62">GammaCP(A62,$B$2,$J$47,$D$2,$E$2,$F$2)</f>
        <v>5.0554177985015743E-3</v>
      </c>
      <c r="K62" s="12" cm="1">
        <f t="array" ref="K62">GammaCP(A62,$B$2,$K$47,$D$2,$E$2,$F$2)</f>
        <v>5.2712072632879253E-3</v>
      </c>
      <c r="L62" s="12" cm="1">
        <f t="array" ref="L62">GammaCP(A62,$B$2,$L$47,$D$2,$E$2,$F$2)</f>
        <v>5.6669702285113378E-3</v>
      </c>
      <c r="M62" s="12" cm="1">
        <f t="array" ref="M62">GammaCP(A62,$B$2,$M$47,$D$2,$E$2,$F$2)</f>
        <v>5.2808038728821578E-3</v>
      </c>
      <c r="N62" s="12" cm="1">
        <f t="array" ref="N62">GammaCP(A62,$B$2,$N$47,$D$2,$E$2,$F$2)</f>
        <v>4.858308981287961E-3</v>
      </c>
      <c r="O62" s="13" cm="1">
        <f t="array" ref="O62">GammaCP(A62,$B$2,$O$47,$D$2,$E$2,$F$2)</f>
        <v>4.4856819490140861E-3</v>
      </c>
      <c r="S62" s="1">
        <v>130</v>
      </c>
      <c r="T62" s="4" cm="1">
        <f t="array" ref="T62">GammaCP(S62,$B$2,$T$47,$D$2,$E$2,$F$3)</f>
        <v>6.0071558236562614E-4</v>
      </c>
      <c r="U62" s="4" cm="1">
        <f t="array" ref="U62">GammaCP(S62,$B$2,$U$47,$D$2,$E$2,$F$3)</f>
        <v>2.8696661309163202E-3</v>
      </c>
      <c r="V62" s="4" cm="1">
        <f t="array" ref="V62">GammaCP(S62,$B$2,$V$47,$D$2,$E$2,$F$3)</f>
        <v>4.4244401962093725E-3</v>
      </c>
      <c r="W62" s="4" cm="1">
        <f t="array" ref="W62">GammaCP(S62,$B$2,$W$47,$D$2,$E$2,$F$3)</f>
        <v>5.2609033868653314E-3</v>
      </c>
      <c r="X62" s="4" cm="1">
        <f t="array" ref="X62">GammaCP(S62,$B$2,$X$47,$D$2,$E$2,$F$3)</f>
        <v>5.6874317310270693E-3</v>
      </c>
      <c r="Y62" s="4" cm="1">
        <f t="array" ref="Y62">GammaCP(S62,$B$2,$Y$47,$D$2,$E$2,$F$3)</f>
        <v>5.8878427994134399E-3</v>
      </c>
      <c r="Z62" s="4" cm="1">
        <f t="array" ref="Z62">GammaCP(S62,$B$2,$Z$47,$D$2,$E$2,$F$3)</f>
        <v>5.9606848610583791E-3</v>
      </c>
      <c r="AA62" s="4" cm="1">
        <f t="array" ref="AA62">GammaCP(S62,$B$2,$AA$47,$D$2,$E$2,$F$3)</f>
        <v>5.9597458042224315E-3</v>
      </c>
      <c r="AB62" s="4" cm="1">
        <f t="array" ref="AB62">GammaCP(S62,$B$2,$AB$47,$D$2,$E$2,$F$3)</f>
        <v>5.9154595576943591E-3</v>
      </c>
      <c r="AC62" s="4" cm="1">
        <f t="array" ref="AC62">GammaCP(S62,$B$2,$AC$47,$D$2,$E$2,$F$3)</f>
        <v>5.8456577452828994E-3</v>
      </c>
      <c r="AD62" s="4" cm="1">
        <f t="array" ref="AD62">GammaCP(S62,$B$2,$AD$47,$D$2,$E$2,$F$3)</f>
        <v>4.9210815203458418E-3</v>
      </c>
      <c r="AE62" s="4" cm="1">
        <f t="array" ref="AE62">GammaCP(S62,$B$2,$AE$47,$D$2,$E$2,$F$3)</f>
        <v>4.2111102732515686E-3</v>
      </c>
      <c r="AF62" s="4" cm="1">
        <f t="array" ref="AF62">GammaCP(S62,$B$2,$AF$47,$D$2,$E$2,$F$3)</f>
        <v>3.7022761379487913E-3</v>
      </c>
      <c r="AG62" s="5" cm="1">
        <f t="array" ref="AG62">GammaCP(S62,$B$2,$AG$47,$D$2,$E$2,$F$3)</f>
        <v>3.3190921842812561E-3</v>
      </c>
      <c r="AK62" s="1">
        <v>130</v>
      </c>
      <c r="AL62" s="4" cm="1">
        <f t="array" ref="AL62">GammaCP(AK62,$B$2,$AL$47,$D$2,$E$2,$F$4)</f>
        <v>7.3829715398268222E-17</v>
      </c>
      <c r="AM62" s="4" cm="1">
        <f t="array" ref="AM62">GammaCP(AK62,$B$2,$AM$47,$D$2,$E$2,$F$4)</f>
        <v>1.5520066218442016E-9</v>
      </c>
      <c r="AN62" s="4" cm="1">
        <f t="array" ref="AN62">GammaCP(AK62,$B$2,$AN$47,$D$2,$E$2,$F$4)</f>
        <v>3.9226661156427158E-7</v>
      </c>
      <c r="AO62" s="4" cm="1">
        <f t="array" ref="AO62">GammaCP(AK62,$B$2,$AO$47,$D$2,$E$2,$F$4)</f>
        <v>5.9735759091088044E-6</v>
      </c>
      <c r="AP62" s="4" cm="1">
        <f t="array" ref="AP62">GammaCP(AK62,$B$2,$AP$47,$D$2,$E$2,$F$4)</f>
        <v>2.9830284442140869E-5</v>
      </c>
      <c r="AQ62" s="4" cm="1">
        <f t="array" ref="AQ62">GammaCP(AK62,$B$2,$AQ$47,$D$2,$E$2,$F$4)</f>
        <v>8.5668780985105112E-5</v>
      </c>
      <c r="AR62" s="4" cm="1">
        <f t="array" ref="AR62">GammaCP(AK62,$B$2,$AR$47,$D$2,$E$2,$F$4)</f>
        <v>1.7978334895153025E-4</v>
      </c>
      <c r="AS62" s="4" cm="1">
        <f t="array" ref="AS62">GammaCP(AK62,$B$2,$AS$47,$D$2,$E$2,$F$4)</f>
        <v>3.1058576900406593E-4</v>
      </c>
      <c r="AT62" s="4" cm="1">
        <f t="array" ref="AT62">GammaCP(AK62,$B$2,$AT$47,$D$2,$E$2,$F$4)</f>
        <v>4.7175720539731364E-4</v>
      </c>
      <c r="AU62" s="4" cm="1">
        <f t="array" ref="AU62">GammaCP(AK62,$B$2,$AU$47,$D$2,$E$2,$F$4)</f>
        <v>6.5528870342850616E-4</v>
      </c>
      <c r="AV62" s="4" cm="1">
        <f t="array" ref="AV62">GammaCP(AK62,$B$2,$AV$47,$D$2,$E$2,$F$4)</f>
        <v>2.5609344709387897E-3</v>
      </c>
      <c r="AW62" s="4" cm="1">
        <f t="array" ref="AW62">GammaCP(AK62,$B$2,$AW$47,$D$2,$E$2,$F$4)</f>
        <v>3.6693507025244649E-3</v>
      </c>
      <c r="AX62" s="4" cm="1">
        <f t="array" ref="AX62">GammaCP(AK62,$B$2,$AX$47,$D$2,$E$2,$F$4)</f>
        <v>4.1859606357164706E-3</v>
      </c>
      <c r="AY62" s="5" cm="1">
        <f t="array" ref="AY62">GammaCP(AK62,$B$2,$AY$47,$D$2,$E$2,$F$4)</f>
        <v>4.3973494544828021E-3</v>
      </c>
    </row>
    <row r="63" spans="1:51" x14ac:dyDescent="0.3">
      <c r="A63" s="9">
        <v>135</v>
      </c>
      <c r="B63" s="12" cm="1">
        <f t="array" ref="B63">GammaCP(A63,$B$2,$B$47,$D$2,$E$2,$F$2)</f>
        <v>4.8093577566927407E-7</v>
      </c>
      <c r="C63" s="12" cm="1">
        <f t="array" ref="C63">GammaCP(A63,$B$2,$C$47,$D$2,$E$2,$F$2)</f>
        <v>9.4556994587265133E-5</v>
      </c>
      <c r="D63" s="12" cm="1">
        <f t="array" ref="D63">GammaCP(A63,$B$2,$D$47,$D$2,$E$2,$F$2)</f>
        <v>5.0353481185787989E-4</v>
      </c>
      <c r="E63" s="12" cm="1">
        <f t="array" ref="E63">GammaCP(A63,$B$2,$E$47,$D$2,$E$2,$F$2)</f>
        <v>1.1130292486590083E-3</v>
      </c>
      <c r="F63" s="12" cm="1">
        <f t="array" ref="F63">GammaCP(A63,$B$2,$F$47,$D$2,$E$2,$F$2)</f>
        <v>1.7459186523562475E-3</v>
      </c>
      <c r="G63" s="12" cm="1">
        <f t="array" ref="G63">GammaCP(A63,$B$2,$G$47,$D$2,$E$2,$F$2)</f>
        <v>2.3169614647433378E-3</v>
      </c>
      <c r="H63" s="12" cm="1">
        <f t="array" ref="H63">GammaCP(A63,$B$2,$H$47,$D$2,$E$2,$F$2)</f>
        <v>2.8013465758306819E-3</v>
      </c>
      <c r="I63" s="12" cm="1">
        <f t="array" ref="I63">GammaCP(A63,$B$2,$I$47,$D$2,$E$2,$F$2)</f>
        <v>3.2002933770762325E-3</v>
      </c>
      <c r="J63" s="12" cm="1">
        <f t="array" ref="J63">GammaCP(A63,$B$2,$J$47,$D$2,$E$2,$F$2)</f>
        <v>3.5239585209983202E-3</v>
      </c>
      <c r="K63" s="12" cm="1">
        <f t="array" ref="K63">GammaCP(A63,$B$2,$K$47,$D$2,$E$2,$F$2)</f>
        <v>3.7843224261389784E-3</v>
      </c>
      <c r="L63" s="12" cm="1">
        <f t="array" ref="L63">GammaCP(A63,$B$2,$L$47,$D$2,$E$2,$F$2)</f>
        <v>4.6456697775222461E-3</v>
      </c>
      <c r="M63" s="12" cm="1">
        <f t="array" ref="M63">GammaCP(A63,$B$2,$M$47,$D$2,$E$2,$F$2)</f>
        <v>4.5248469998567702E-3</v>
      </c>
      <c r="N63" s="12" cm="1">
        <f t="array" ref="N63">GammaCP(A63,$B$2,$N$47,$D$2,$E$2,$F$2)</f>
        <v>4.2559078918170063E-3</v>
      </c>
      <c r="O63" s="13" cm="1">
        <f t="array" ref="O63">GammaCP(A63,$B$2,$O$47,$D$2,$E$2,$F$2)</f>
        <v>3.9819655859202495E-3</v>
      </c>
      <c r="S63" s="1">
        <v>135</v>
      </c>
      <c r="T63" s="4" cm="1">
        <f t="array" ref="T63">GammaCP(S63,$B$2,$T$47,$D$2,$E$2,$F$3)</f>
        <v>1.738160868120766E-4</v>
      </c>
      <c r="U63" s="4" cm="1">
        <f t="array" ref="U63">GammaCP(S63,$B$2,$U$47,$D$2,$E$2,$F$3)</f>
        <v>1.4974023713320032E-3</v>
      </c>
      <c r="V63" s="4" cm="1">
        <f t="array" ref="V63">GammaCP(S63,$B$2,$V$47,$D$2,$E$2,$F$3)</f>
        <v>2.8101370337925181E-3</v>
      </c>
      <c r="W63" s="4" cm="1">
        <f t="array" ref="W63">GammaCP(S63,$B$2,$W$47,$D$2,$E$2,$F$3)</f>
        <v>3.686468334203065E-3</v>
      </c>
      <c r="X63" s="4" cm="1">
        <f t="array" ref="X63">GammaCP(S63,$B$2,$X$47,$D$2,$E$2,$F$3)</f>
        <v>4.2274159872265253E-3</v>
      </c>
      <c r="Y63" s="4" cm="1">
        <f t="array" ref="Y63">GammaCP(S63,$B$2,$Y$47,$D$2,$E$2,$F$3)</f>
        <v>4.5518443181372789E-3</v>
      </c>
      <c r="Z63" s="4" cm="1">
        <f t="array" ref="Z63">GammaCP(S63,$B$2,$Z$47,$D$2,$E$2,$F$3)</f>
        <v>4.7393843504899549E-3</v>
      </c>
      <c r="AA63" s="4" cm="1">
        <f t="array" ref="AA63">GammaCP(S63,$B$2,$AA$47,$D$2,$E$2,$F$3)</f>
        <v>4.8394882133299885E-3</v>
      </c>
      <c r="AB63" s="4" cm="1">
        <f t="array" ref="AB63">GammaCP(S63,$B$2,$AB$47,$D$2,$E$2,$F$3)</f>
        <v>4.882853467973125E-3</v>
      </c>
      <c r="AC63" s="4" cm="1">
        <f t="array" ref="AC63">GammaCP(S63,$B$2,$AC$47,$D$2,$E$2,$F$3)</f>
        <v>4.8888801197403868E-3</v>
      </c>
      <c r="AD63" s="4" cm="1">
        <f t="array" ref="AD63">GammaCP(S63,$B$2,$AD$47,$D$2,$E$2,$F$3)</f>
        <v>4.3656123603575455E-3</v>
      </c>
      <c r="AE63" s="4" cm="1">
        <f t="array" ref="AE63">GammaCP(S63,$B$2,$AE$47,$D$2,$E$2,$F$3)</f>
        <v>3.8099337821083396E-3</v>
      </c>
      <c r="AF63" s="4" cm="1">
        <f t="array" ref="AF63">GammaCP(S63,$B$2,$AF$47,$D$2,$E$2,$F$3)</f>
        <v>3.3826551294348179E-3</v>
      </c>
      <c r="AG63" s="5" cm="1">
        <f t="array" ref="AG63">GammaCP(S63,$B$2,$AG$47,$D$2,$E$2,$F$3)</f>
        <v>3.0504863785204561E-3</v>
      </c>
      <c r="AK63" s="1">
        <v>135</v>
      </c>
      <c r="AL63" s="4" cm="1">
        <f t="array" ref="AL63">GammaCP(AK63,$B$2,$AL$47,$D$2,$E$2,$F$4)</f>
        <v>1.6508431991277696E-21</v>
      </c>
      <c r="AM63" s="4" cm="1">
        <f t="array" ref="AM63">GammaCP(AK63,$B$2,$AM$47,$D$2,$E$2,$F$4)</f>
        <v>7.0007225305255289E-12</v>
      </c>
      <c r="AN63" s="4" cm="1">
        <f t="array" ref="AN63">GammaCP(AK63,$B$2,$AN$47,$D$2,$E$2,$F$4)</f>
        <v>1.0377407251949232E-8</v>
      </c>
      <c r="AO63" s="4" cm="1">
        <f t="array" ref="AO63">GammaCP(AK63,$B$2,$AO$47,$D$2,$E$2,$F$4)</f>
        <v>3.8271106091862544E-7</v>
      </c>
      <c r="AP63" s="4" cm="1">
        <f t="array" ref="AP63">GammaCP(AK63,$B$2,$AP$47,$D$2,$E$2,$F$4)</f>
        <v>3.249162919518064E-6</v>
      </c>
      <c r="AQ63" s="4" cm="1">
        <f t="array" ref="AQ63">GammaCP(AK63,$B$2,$AQ$47,$D$2,$E$2,$F$4)</f>
        <v>1.3291938562945965E-5</v>
      </c>
      <c r="AR63" s="4" cm="1">
        <f t="array" ref="AR63">GammaCP(AK63,$B$2,$AR$47,$D$2,$E$2,$F$4)</f>
        <v>3.5914215033327016E-5</v>
      </c>
      <c r="AS63" s="4" cm="1">
        <f t="array" ref="AS63">GammaCP(AK63,$B$2,$AS$47,$D$2,$E$2,$F$4)</f>
        <v>7.4991466396696723E-5</v>
      </c>
      <c r="AT63" s="4" cm="1">
        <f t="array" ref="AT63">GammaCP(AK63,$B$2,$AT$47,$D$2,$E$2,$F$4)</f>
        <v>1.3199891273585568E-4</v>
      </c>
      <c r="AU63" s="4" cm="1">
        <f t="array" ref="AU63">GammaCP(AK63,$B$2,$AU$47,$D$2,$E$2,$F$4)</f>
        <v>2.063011779914907E-4</v>
      </c>
      <c r="AV63" s="4" cm="1">
        <f t="array" ref="AV63">GammaCP(AK63,$B$2,$AV$47,$D$2,$E$2,$F$4)</f>
        <v>1.3707080362701776E-3</v>
      </c>
      <c r="AW63" s="4" cm="1">
        <f t="array" ref="AW63">GammaCP(AK63,$B$2,$AW$47,$D$2,$E$2,$F$4)</f>
        <v>2.3440212104340013E-3</v>
      </c>
      <c r="AX63" s="4" cm="1">
        <f t="array" ref="AX63">GammaCP(AK63,$B$2,$AX$47,$D$2,$E$2,$F$4)</f>
        <v>2.9213283025393976E-3</v>
      </c>
      <c r="AY63" s="5" cm="1">
        <f t="array" ref="AY63">GammaCP(AK63,$B$2,$AY$47,$D$2,$E$2,$F$4)</f>
        <v>3.2361150487909911E-3</v>
      </c>
    </row>
    <row r="64" spans="1:51" x14ac:dyDescent="0.3">
      <c r="A64" s="14">
        <v>140</v>
      </c>
      <c r="B64" s="15" cm="1">
        <f t="array" ref="B64">GammaCP(A64,$B$2,$B$47,$D$2,$E$2,$F$2)</f>
        <v>2.4984119686305787E-8</v>
      </c>
      <c r="C64" s="15" cm="1">
        <f t="array" ref="C64">GammaCP(A64,$B$2,$C$47,$D$2,$E$2,$F$2)</f>
        <v>2.0876714879530848E-5</v>
      </c>
      <c r="D64" s="15" cm="1">
        <f t="array" ref="D64">GammaCP(A64,$B$2,$D$47,$D$2,$E$2,$F$2)</f>
        <v>1.800784918926651E-4</v>
      </c>
      <c r="E64" s="15" cm="1">
        <f t="array" ref="E64">GammaCP(A64,$B$2,$E$47,$D$2,$E$2,$F$2)</f>
        <v>5.0660659975445036E-4</v>
      </c>
      <c r="F64" s="15" cm="1">
        <f t="array" ref="F64">GammaCP(A64,$B$2,$F$47,$D$2,$E$2,$F$2)</f>
        <v>9.1839058774420643E-4</v>
      </c>
      <c r="G64" s="15" cm="1">
        <f t="array" ref="G64">GammaCP(A64,$B$2,$G$47,$D$2,$E$2,$F$2)</f>
        <v>1.3421930911671856E-3</v>
      </c>
      <c r="H64" s="15" cm="1">
        <f t="array" ref="H64">GammaCP(A64,$B$2,$H$47,$D$2,$E$2,$F$2)</f>
        <v>1.7385470025647564E-3</v>
      </c>
      <c r="I64" s="15" cm="1">
        <f t="array" ref="I64">GammaCP(A64,$B$2,$I$47,$D$2,$E$2,$F$2)</f>
        <v>2.0914714572423773E-3</v>
      </c>
      <c r="J64" s="15" cm="1">
        <f t="array" ref="J64">GammaCP(A64,$B$2,$J$47,$D$2,$E$2,$F$2)</f>
        <v>2.3974428180687469E-3</v>
      </c>
      <c r="K64" s="15" cm="1">
        <f t="array" ref="K64">GammaCP(A64,$B$2,$K$47,$D$2,$E$2,$F$2)</f>
        <v>2.6587031941631986E-3</v>
      </c>
      <c r="L64" s="15" cm="1">
        <f t="array" ref="L64">GammaCP(A64,$B$2,$L$47,$D$2,$E$2,$F$2)</f>
        <v>3.7719785580502137E-3</v>
      </c>
      <c r="M64" s="15" cm="1">
        <f t="array" ref="M64">GammaCP(A64,$B$2,$M$47,$D$2,$E$2,$F$2)</f>
        <v>3.8554152638824229E-3</v>
      </c>
      <c r="N64" s="15" cm="1">
        <f t="array" ref="N64">GammaCP(A64,$B$2,$N$47,$D$2,$E$2,$F$2)</f>
        <v>3.7147763845488606E-3</v>
      </c>
      <c r="O64" s="16" cm="1">
        <f t="array" ref="O64">GammaCP(A64,$B$2,$O$47,$D$2,$E$2,$F$2)</f>
        <v>3.5263212434632854E-3</v>
      </c>
      <c r="S64" s="6">
        <v>140</v>
      </c>
      <c r="T64" s="7" cm="1">
        <f t="array" ref="T64">GammaCP(S64,$B$2,$T$47,$D$2,$E$2,$F$3)</f>
        <v>4.5297412812204589E-5</v>
      </c>
      <c r="U64" s="7" cm="1">
        <f t="array" ref="U64">GammaCP(S64,$B$2,$U$47,$D$2,$E$2,$F$3)</f>
        <v>7.4234719458286542E-4</v>
      </c>
      <c r="V64" s="7" cm="1">
        <f t="array" ref="V64">GammaCP(S64,$B$2,$V$47,$D$2,$E$2,$F$3)</f>
        <v>1.7261999326371308E-3</v>
      </c>
      <c r="W64" s="7" cm="1">
        <f t="array" ref="W64">GammaCP(S64,$B$2,$W$47,$D$2,$E$2,$F$3)</f>
        <v>2.5207026945741873E-3</v>
      </c>
      <c r="X64" s="7" cm="1">
        <f t="array" ref="X64">GammaCP(S64,$B$2,$X$47,$D$2,$E$2,$F$3)</f>
        <v>3.0825818422678913E-3</v>
      </c>
      <c r="Y64" s="7" cm="1">
        <f t="array" ref="Y64">GammaCP(S64,$B$2,$Y$47,$D$2,$E$2,$F$3)</f>
        <v>3.4645436604697206E-3</v>
      </c>
      <c r="Z64" s="7" cm="1">
        <f t="array" ref="Z64">GammaCP(S64,$B$2,$Z$47,$D$2,$E$2,$F$3)</f>
        <v>3.7194597267081681E-3</v>
      </c>
      <c r="AA64" s="7" cm="1">
        <f t="array" ref="AA64">GammaCP(S64,$B$2,$AA$47,$D$2,$E$2,$F$3)</f>
        <v>3.8862598492258598E-3</v>
      </c>
      <c r="AB64" s="7" cm="1">
        <f t="array" ref="AB64">GammaCP(S64,$B$2,$AB$47,$D$2,$E$2,$F$3)</f>
        <v>3.9917562221930339E-3</v>
      </c>
      <c r="AC64" s="7" cm="1">
        <f t="array" ref="AC64">GammaCP(S64,$B$2,$AC$47,$D$2,$E$2,$F$3)</f>
        <v>4.054208161540623E-3</v>
      </c>
      <c r="AD64" s="7" cm="1">
        <f t="array" ref="AD64">GammaCP(S64,$B$2,$AD$47,$D$2,$E$2,$F$3)</f>
        <v>3.860738073303574E-3</v>
      </c>
      <c r="AE64" s="7" cm="1">
        <f t="array" ref="AE64">GammaCP(S64,$B$2,$AE$47,$D$2,$E$2,$F$3)</f>
        <v>3.4423268142812495E-3</v>
      </c>
      <c r="AF64" s="7" cm="1">
        <f t="array" ref="AF64">GammaCP(S64,$B$2,$AF$47,$D$2,$E$2,$F$3)</f>
        <v>3.0892079723303248E-3</v>
      </c>
      <c r="AG64" s="8" cm="1">
        <f t="array" ref="AG64">GammaCP(S64,$B$2,$AG$47,$D$2,$E$2,$F$3)</f>
        <v>2.8038279821686937E-3</v>
      </c>
      <c r="AK64" s="6">
        <v>140</v>
      </c>
      <c r="AL64" s="7" cm="1">
        <f t="array" ref="AL64">GammaCP(AK64,$B$2,$AL$47,$D$2,$E$2,$F$4)</f>
        <v>1.4160803501951788E-26</v>
      </c>
      <c r="AM64" s="7" cm="1">
        <f t="array" ref="AM64">GammaCP(AK64,$B$2,$AM$47,$D$2,$E$2,$F$4)</f>
        <v>1.9592554647687471E-14</v>
      </c>
      <c r="AN64" s="7" cm="1">
        <f t="array" ref="AN64">GammaCP(AK64,$B$2,$AN$47,$D$2,$E$2,$F$4)</f>
        <v>1.9993666289338617E-10</v>
      </c>
      <c r="AO64" s="7" cm="1">
        <f t="array" ref="AO64">GammaCP(AK64,$B$2,$AO$47,$D$2,$E$2,$F$4)</f>
        <v>1.9346494359707465E-8</v>
      </c>
      <c r="AP64" s="7" cm="1">
        <f t="array" ref="AP64">GammaCP(AK64,$B$2,$AP$47,$D$2,$E$2,$F$4)</f>
        <v>2.9299443269233378E-7</v>
      </c>
      <c r="AQ64" s="7" cm="1">
        <f t="array" ref="AQ64">GammaCP(AK64,$B$2,$AQ$47,$D$2,$E$2,$F$4)</f>
        <v>1.762979573893959E-6</v>
      </c>
      <c r="AR64" s="7" cm="1">
        <f t="array" ref="AR64">GammaCP(AK64,$B$2,$AR$47,$D$2,$E$2,$F$4)</f>
        <v>6.275075552985542E-6</v>
      </c>
      <c r="AS64" s="7" cm="1">
        <f t="array" ref="AS64">GammaCP(AK64,$B$2,$AS$47,$D$2,$E$2,$F$4)</f>
        <v>1.6111450652008537E-5</v>
      </c>
      <c r="AT64" s="7" cm="1">
        <f t="array" ref="AT64">GammaCP(AK64,$B$2,$AT$47,$D$2,$E$2,$F$4)</f>
        <v>3.3305383198972744E-5</v>
      </c>
      <c r="AU64" s="7" cm="1">
        <f t="array" ref="AU64">GammaCP(AK64,$B$2,$AU$47,$D$2,$E$2,$F$4)</f>
        <v>5.9197424706742969E-5</v>
      </c>
      <c r="AV64" s="7" cm="1">
        <f t="array" ref="AV64">GammaCP(AK64,$B$2,$AV$47,$D$2,$E$2,$F$4)</f>
        <v>7.0162115948937021E-4</v>
      </c>
      <c r="AW64" s="7" cm="1">
        <f t="array" ref="AW64">GammaCP(AK64,$B$2,$AW$47,$D$2,$E$2,$F$4)</f>
        <v>1.4551400495073866E-3</v>
      </c>
      <c r="AX64" s="7" cm="1">
        <f t="array" ref="AX64">GammaCP(AK64,$B$2,$AX$47,$D$2,$E$2,$F$4)</f>
        <v>1.9971762450752021E-3</v>
      </c>
      <c r="AY64" s="8" cm="1">
        <f t="array" ref="AY64">GammaCP(AK64,$B$2,$AY$47,$D$2,$E$2,$F$4)</f>
        <v>2.3442052804045392E-3</v>
      </c>
    </row>
    <row r="69" spans="1:51" x14ac:dyDescent="0.3">
      <c r="A69" s="49" t="s">
        <v>8</v>
      </c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1"/>
      <c r="S69" s="49" t="s">
        <v>8</v>
      </c>
      <c r="T69" s="50"/>
      <c r="U69" s="50"/>
      <c r="V69" s="50"/>
      <c r="W69" s="50"/>
      <c r="X69" s="50"/>
      <c r="Y69" s="50"/>
      <c r="Z69" s="50"/>
      <c r="AA69" s="50"/>
      <c r="AB69" s="50"/>
      <c r="AC69" s="50"/>
      <c r="AD69" s="50"/>
      <c r="AE69" s="50"/>
      <c r="AF69" s="50"/>
      <c r="AG69" s="51"/>
      <c r="AK69" s="49" t="s">
        <v>8</v>
      </c>
      <c r="AL69" s="50"/>
      <c r="AM69" s="50"/>
      <c r="AN69" s="50"/>
      <c r="AO69" s="50"/>
      <c r="AP69" s="50"/>
      <c r="AQ69" s="50"/>
      <c r="AR69" s="50"/>
      <c r="AS69" s="50"/>
      <c r="AT69" s="50"/>
      <c r="AU69" s="50"/>
      <c r="AV69" s="50"/>
      <c r="AW69" s="50"/>
      <c r="AX69" s="50"/>
      <c r="AY69" s="51"/>
    </row>
    <row r="70" spans="1:51" x14ac:dyDescent="0.3">
      <c r="A70" s="1" t="s">
        <v>3</v>
      </c>
      <c r="B70" s="52" t="s">
        <v>4</v>
      </c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3"/>
      <c r="S70" s="1" t="s">
        <v>3</v>
      </c>
      <c r="T70" s="52" t="s">
        <v>4</v>
      </c>
      <c r="U70" s="52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3"/>
      <c r="AK70" s="1" t="s">
        <v>3</v>
      </c>
      <c r="AL70" s="52" t="s">
        <v>4</v>
      </c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52"/>
      <c r="AX70" s="52"/>
      <c r="AY70" s="53"/>
    </row>
    <row r="71" spans="1:51" x14ac:dyDescent="0.3">
      <c r="A71" s="1"/>
      <c r="B71" s="2">
        <v>0.1</v>
      </c>
      <c r="C71" s="2">
        <v>0.2</v>
      </c>
      <c r="D71" s="2">
        <v>0.3</v>
      </c>
      <c r="E71" s="2">
        <v>0.4</v>
      </c>
      <c r="F71" s="2">
        <v>0.5</v>
      </c>
      <c r="G71" s="2">
        <v>0.6</v>
      </c>
      <c r="H71" s="2">
        <v>0.7</v>
      </c>
      <c r="I71" s="2">
        <v>0.8</v>
      </c>
      <c r="J71" s="2">
        <v>0.9</v>
      </c>
      <c r="K71" s="2">
        <v>1</v>
      </c>
      <c r="L71" s="2">
        <v>2</v>
      </c>
      <c r="M71" s="2">
        <v>3</v>
      </c>
      <c r="N71" s="2">
        <v>4</v>
      </c>
      <c r="O71" s="3">
        <v>5</v>
      </c>
      <c r="S71" s="1"/>
      <c r="T71" s="2">
        <v>0.1</v>
      </c>
      <c r="U71" s="2">
        <v>0.2</v>
      </c>
      <c r="V71" s="2">
        <v>0.3</v>
      </c>
      <c r="W71" s="2">
        <v>0.4</v>
      </c>
      <c r="X71" s="2">
        <v>0.5</v>
      </c>
      <c r="Y71" s="2">
        <v>0.6</v>
      </c>
      <c r="Z71" s="2">
        <v>0.7</v>
      </c>
      <c r="AA71" s="2">
        <v>0.8</v>
      </c>
      <c r="AB71" s="2">
        <v>0.9</v>
      </c>
      <c r="AC71" s="2">
        <v>1</v>
      </c>
      <c r="AD71" s="2">
        <v>2</v>
      </c>
      <c r="AE71" s="2">
        <v>3</v>
      </c>
      <c r="AF71" s="2">
        <v>4</v>
      </c>
      <c r="AG71" s="3">
        <v>5</v>
      </c>
      <c r="AK71" s="1"/>
      <c r="AL71" s="2">
        <v>0.1</v>
      </c>
      <c r="AM71" s="2">
        <v>0.2</v>
      </c>
      <c r="AN71" s="2">
        <v>0.3</v>
      </c>
      <c r="AO71" s="2">
        <v>0.4</v>
      </c>
      <c r="AP71" s="2">
        <v>0.5</v>
      </c>
      <c r="AQ71" s="2">
        <v>0.6</v>
      </c>
      <c r="AR71" s="2">
        <v>0.7</v>
      </c>
      <c r="AS71" s="2">
        <v>0.8</v>
      </c>
      <c r="AT71" s="2">
        <v>0.9</v>
      </c>
      <c r="AU71" s="2">
        <v>1</v>
      </c>
      <c r="AV71" s="2">
        <v>2</v>
      </c>
      <c r="AW71" s="2">
        <v>3</v>
      </c>
      <c r="AX71" s="2">
        <v>4</v>
      </c>
      <c r="AY71" s="3">
        <v>5</v>
      </c>
    </row>
    <row r="72" spans="1:51" x14ac:dyDescent="0.3">
      <c r="A72" s="1">
        <v>60</v>
      </c>
      <c r="B72" s="4" cm="1">
        <f t="array" ref="B72">Vega(A72,$B$2,$B$71,$D$2,$E$2,$F$2)</f>
        <v>7.5719207361530399E-14</v>
      </c>
      <c r="C72" s="4" cm="1">
        <f t="array" ref="C72">Vega(A72,$B$2,$C$71,$D$2,$E$2,$F$2)</f>
        <v>1.2945209838663301E-6</v>
      </c>
      <c r="D72" s="4" cm="1">
        <f t="array" ref="D72">Vega(A72,$B$2,$D$71,$D$2,$E$2,$F$2)</f>
        <v>3.6360095554575553E-4</v>
      </c>
      <c r="E72" s="4" cm="1">
        <f t="array" ref="E72">Vega(A72,$B$2,$E$71,$D$2,$E$2,$F$2)</f>
        <v>6.354556411051324E-3</v>
      </c>
      <c r="F72" s="4" cm="1">
        <f t="array" ref="F72">Vega(A72,$B$2,$F$71,$D$2,$E$2,$F$2)</f>
        <v>3.6252613967393113E-2</v>
      </c>
      <c r="G72" s="4" cm="1">
        <f t="array" ref="G72">Vega(A72,$B$2,$G$71,$D$2,$E$2,$F$2)</f>
        <v>0.11766116464443557</v>
      </c>
      <c r="H72" s="4" cm="1">
        <f t="array" ref="H72">Vega(A72,$B$2,$H$71,$D$2,$E$2,$F$2)</f>
        <v>0.27599282724645069</v>
      </c>
      <c r="I72" s="4" cm="1">
        <f t="array" ref="I72">Vega(A72,$B$2,$I$71,$D$2,$E$2,$F$2)</f>
        <v>0.52767323580423287</v>
      </c>
      <c r="J72" s="4" cm="1">
        <f t="array" ref="J72">Vega(A72,$B$2,$J$71,$D$2,$E$2,$F$2)</f>
        <v>0.87942603690305643</v>
      </c>
      <c r="K72" s="4" cm="1">
        <f t="array" ref="K72">Vega(A72,$B$2,$K$71,$D$2,$E$2,$F$2)</f>
        <v>1.3304138019690321</v>
      </c>
      <c r="L72" s="4" cm="1">
        <f t="array" ref="L72">Vega(A72,$B$2,$L$71,$D$2,$E$2,$F$2)</f>
        <v>9.5039378692490786</v>
      </c>
      <c r="M72" s="4" cm="1">
        <f t="array" ref="M72">Vega(A72,$B$2,$M$71,$D$2,$E$2,$F$2)</f>
        <v>19.822539521715424</v>
      </c>
      <c r="N72" s="4" cm="1">
        <f t="array" ref="N72">Vega(A72,$B$2,$N$71,$D$2,$E$2,$F$2)</f>
        <v>29.702348640212861</v>
      </c>
      <c r="O72" s="5" cm="1">
        <f t="array" ref="O72">Vega(A72,$B$2,$O$71,$D$2,$E$2,$F$2)</f>
        <v>38.653493471867854</v>
      </c>
      <c r="S72" s="1">
        <v>60</v>
      </c>
      <c r="T72" s="4" cm="1">
        <f t="array" ref="T72">Vega(S72,$B$2,$T$71,$D$2,$E$2,$F$3)</f>
        <v>5.2241467496489727E-6</v>
      </c>
      <c r="U72" s="4" cm="1">
        <f t="array" ref="U72">Vega(S72,$B$2,$U$71,$D$2,$E$2,$F$3)</f>
        <v>1.0369210092575671E-2</v>
      </c>
      <c r="V72" s="4" cm="1">
        <f t="array" ref="V72">Vega(S72,$B$2,$V$71,$D$2,$E$2,$F$3)</f>
        <v>0.14202882759273425</v>
      </c>
      <c r="W72" s="4" cm="1">
        <f t="array" ref="W72">Vega(S72,$B$2,$W$71,$D$2,$E$2,$F$3)</f>
        <v>0.54799114620321265</v>
      </c>
      <c r="X72" s="4" cm="1">
        <f t="array" ref="X72">Vega(S72,$B$2,$X$71,$D$2,$E$2,$F$3)</f>
        <v>1.2626797297023513</v>
      </c>
      <c r="Y72" s="4" cm="1">
        <f t="array" ref="Y72">Vega(S72,$B$2,$Y$71,$D$2,$E$2,$F$3)</f>
        <v>2.2388087034633055</v>
      </c>
      <c r="Z72" s="4" cm="1">
        <f t="array" ref="Z72">Vega(S72,$B$2,$Z$71,$D$2,$E$2,$F$3)</f>
        <v>3.4092800414934215</v>
      </c>
      <c r="AA72" s="4" cm="1">
        <f t="array" ref="AA72">Vega(S72,$B$2,$AA$71,$D$2,$E$2,$F$3)</f>
        <v>4.7136291023201071</v>
      </c>
      <c r="AB72" s="4" cm="1">
        <f t="array" ref="AB72">Vega(S72,$B$2,$AB$71,$D$2,$E$2,$F$3)</f>
        <v>6.1044245880699188</v>
      </c>
      <c r="AC72" s="4" cm="1">
        <f t="array" ref="AC72">Vega(S72,$B$2,$AC$71,$D$2,$E$2,$F$3)</f>
        <v>7.5465414056779432</v>
      </c>
      <c r="AD72" s="4" cm="1">
        <f t="array" ref="AD72">Vega(S72,$B$2,$AD$71,$D$2,$E$2,$F$3)</f>
        <v>21.665010977573697</v>
      </c>
      <c r="AE72" s="4" cm="1">
        <f t="array" ref="AE72">Vega(S72,$B$2,$AE$71,$D$2,$E$2,$F$3)</f>
        <v>33.222896128746122</v>
      </c>
      <c r="AF72" s="4" cm="1">
        <f t="array" ref="AF72">Vega(S72,$B$2,$AF$71,$D$2,$E$2,$F$3)</f>
        <v>42.567098596972329</v>
      </c>
      <c r="AG72" s="5" cm="1">
        <f t="array" ref="AG72">Vega(S72,$B$2,$AG$71,$D$2,$E$2,$F$3)</f>
        <v>50.316444779050272</v>
      </c>
      <c r="AK72" s="1">
        <v>60</v>
      </c>
      <c r="AL72" s="4" cm="1">
        <f t="array" ref="AL72">Vega(AK72,$B$2,$AL$71,$D$2,$E$2,$F$4)</f>
        <v>3.5345400505313539E-56</v>
      </c>
      <c r="AM72" s="4" cm="1">
        <f t="array" ref="AM72">Vega(AK72,$B$2,$AM$71,$D$2,$E$2,$F$4)</f>
        <v>1.0711882489098269E-27</v>
      </c>
      <c r="AN72" s="4" cm="1">
        <f t="array" ref="AN72">Vega(AK72,$B$2,$AN$71,$D$2,$E$2,$F$4)</f>
        <v>3.6413157535064409E-18</v>
      </c>
      <c r="AO72" s="4" cm="1">
        <f t="array" ref="AO72">Vega(AK72,$B$2,$AO$71,$D$2,$E$2,$F$4)</f>
        <v>2.213894253862579E-13</v>
      </c>
      <c r="AP72" s="4" cm="1">
        <f t="array" ref="AP72">Vega(AK72,$B$2,$AP$71,$D$2,$E$2,$F$4)</f>
        <v>1.6837357993007972E-10</v>
      </c>
      <c r="AQ72" s="4" cm="1">
        <f t="array" ref="AQ72">Vega(AK72,$B$2,$AQ$71,$D$2,$E$2,$F$4)</f>
        <v>1.4260773627185632E-8</v>
      </c>
      <c r="AR72" s="4" cm="1">
        <f t="array" ref="AR72">Vega(AK72,$B$2,$AR$71,$D$2,$E$2,$F$4)</f>
        <v>3.4375360039163328E-7</v>
      </c>
      <c r="AS72" s="4" cm="1">
        <f t="array" ref="AS72">Vega(AK72,$B$2,$AS$71,$D$2,$E$2,$F$4)</f>
        <v>3.7721952577593389E-6</v>
      </c>
      <c r="AT72" s="4" cm="1">
        <f t="array" ref="AT72">Vega(AK72,$B$2,$AT$71,$D$2,$E$2,$F$4)</f>
        <v>2.4471925152833628E-5</v>
      </c>
      <c r="AU72" s="4" cm="1">
        <f t="array" ref="AU72">Vega(AK72,$B$2,$AU$71,$D$2,$E$2,$F$4)</f>
        <v>1.0981137573304779E-4</v>
      </c>
      <c r="AV72" s="4" cm="1">
        <f t="array" ref="AV72">Vega(AK72,$B$2,$AV$71,$D$2,$E$2,$F$4)</f>
        <v>0.10457482945948283</v>
      </c>
      <c r="AW72" s="4" cm="1">
        <f t="array" ref="AW72">Vega(AK72,$B$2,$AW$71,$D$2,$E$2,$F$4)</f>
        <v>1.1142189253647161</v>
      </c>
      <c r="AX72" s="4" cm="1">
        <f t="array" ref="AX72">Vega(AK72,$B$2,$AX$71,$D$2,$E$2,$F$4)</f>
        <v>3.7735130894815958</v>
      </c>
      <c r="AY72" s="5" cm="1">
        <f t="array" ref="AY72">Vega(AK72,$B$2,$AY$71,$D$2,$E$2,$F$4)</f>
        <v>8.0099557916829376</v>
      </c>
    </row>
    <row r="73" spans="1:51" x14ac:dyDescent="0.3">
      <c r="A73" s="1">
        <v>65</v>
      </c>
      <c r="B73" s="4" cm="1">
        <f t="array" ref="B73">Vega(A73,$B$2,$B$71,$D$2,$E$2,$F$2)</f>
        <v>9.5374791219906021E-10</v>
      </c>
      <c r="C73" s="4" cm="1">
        <f t="array" ref="C73">Vega(A73,$B$2,$C$71,$D$2,$E$2,$F$2)</f>
        <v>1.4674662728048757E-4</v>
      </c>
      <c r="D73" s="4" cm="1">
        <f t="array" ref="D73">Vega(A73,$B$2,$D$71,$D$2,$E$2,$F$2)</f>
        <v>8.57356044392623E-3</v>
      </c>
      <c r="E73" s="4" cm="1">
        <f t="array" ref="E73">Vega(A73,$B$2,$E$71,$D$2,$E$2,$F$2)</f>
        <v>6.8337646766849905E-2</v>
      </c>
      <c r="F73" s="4" cm="1">
        <f t="array" ref="F73">Vega(A73,$B$2,$F$71,$D$2,$E$2,$F$2)</f>
        <v>0.24340934965576377</v>
      </c>
      <c r="G73" s="4" cm="1">
        <f t="array" ref="G73">Vega(A73,$B$2,$G$71,$D$2,$E$2,$F$2)</f>
        <v>0.57709392847973651</v>
      </c>
      <c r="H73" s="4" cm="1">
        <f t="array" ref="H73">Vega(A73,$B$2,$H$71,$D$2,$E$2,$F$2)</f>
        <v>1.0816670734477618</v>
      </c>
      <c r="I73" s="4" cm="1">
        <f t="array" ref="I73">Vega(A73,$B$2,$I$71,$D$2,$E$2,$F$2)</f>
        <v>1.747824087361423</v>
      </c>
      <c r="J73" s="4" cm="1">
        <f t="array" ref="J73">Vega(A73,$B$2,$J$71,$D$2,$E$2,$F$2)</f>
        <v>2.5556717355709897</v>
      </c>
      <c r="K73" s="4" cm="1">
        <f t="array" ref="K73">Vega(A73,$B$2,$K$71,$D$2,$E$2,$F$2)</f>
        <v>3.4820176623168373</v>
      </c>
      <c r="L73" s="4" cm="1">
        <f t="array" ref="L73">Vega(A73,$B$2,$L$71,$D$2,$E$2,$F$2)</f>
        <v>15.529982480581037</v>
      </c>
      <c r="M73" s="4" cm="1">
        <f t="array" ref="M73">Vega(A73,$B$2,$M$71,$D$2,$E$2,$F$2)</f>
        <v>27.684353502761887</v>
      </c>
      <c r="N73" s="4" cm="1">
        <f t="array" ref="N73">Vega(A73,$B$2,$N$71,$D$2,$E$2,$F$2)</f>
        <v>38.350386340459224</v>
      </c>
      <c r="O73" s="5" cm="1">
        <f t="array" ref="O73">Vega(A73,$B$2,$O$71,$D$2,$E$2,$F$2)</f>
        <v>47.611297617669919</v>
      </c>
      <c r="S73" s="1">
        <v>65</v>
      </c>
      <c r="T73" s="4" cm="1">
        <f t="array" ref="T73">Vega(S73,$B$2,$T$71,$D$2,$E$2,$F$3)</f>
        <v>3.5480919020595768E-4</v>
      </c>
      <c r="U73" s="4" cm="1">
        <f t="array" ref="U73">Vega(S73,$B$2,$U$71,$D$2,$E$2,$F$3)</f>
        <v>8.6795002193490151E-2</v>
      </c>
      <c r="V73" s="4" cm="1">
        <f t="array" ref="V73">Vega(S73,$B$2,$V$71,$D$2,$E$2,$F$3)</f>
        <v>0.59162801509579999</v>
      </c>
      <c r="W73" s="4" cm="1">
        <f t="array" ref="W73">Vega(S73,$B$2,$W$71,$D$2,$E$2,$F$3)</f>
        <v>1.6103021116910758</v>
      </c>
      <c r="X73" s="4" cm="1">
        <f t="array" ref="X73">Vega(S73,$B$2,$X$71,$D$2,$E$2,$F$3)</f>
        <v>3.0095667810257449</v>
      </c>
      <c r="Y73" s="4" cm="1">
        <f t="array" ref="Y73">Vega(S73,$B$2,$Y$71,$D$2,$E$2,$F$3)</f>
        <v>4.6410088796281217</v>
      </c>
      <c r="Z73" s="4" cm="1">
        <f t="array" ref="Z73">Vega(S73,$B$2,$Z$71,$D$2,$E$2,$F$3)</f>
        <v>6.3967797976228562</v>
      </c>
      <c r="AA73" s="4" cm="1">
        <f t="array" ref="AA73">Vega(S73,$B$2,$AA$71,$D$2,$E$2,$F$3)</f>
        <v>8.2069467460122727</v>
      </c>
      <c r="AB73" s="4" cm="1">
        <f t="array" ref="AB73">Vega(S73,$B$2,$AB$71,$D$2,$E$2,$F$3)</f>
        <v>10.028004968425037</v>
      </c>
      <c r="AC73" s="4" cm="1">
        <f t="array" ref="AC73">Vega(S73,$B$2,$AC$71,$D$2,$E$2,$F$3)</f>
        <v>11.833484483505805</v>
      </c>
      <c r="AD73" s="4" cm="1">
        <f t="array" ref="AD73">Vega(S73,$B$2,$AD$71,$D$2,$E$2,$F$3)</f>
        <v>27.555008864451608</v>
      </c>
      <c r="AE73" s="4" cm="1">
        <f t="array" ref="AE73">Vega(S73,$B$2,$AE$71,$D$2,$E$2,$F$3)</f>
        <v>39.406825288577544</v>
      </c>
      <c r="AF73" s="4" cm="1">
        <f t="array" ref="AF73">Vega(S73,$B$2,$AF$71,$D$2,$E$2,$F$3)</f>
        <v>48.758930229715283</v>
      </c>
      <c r="AG73" s="5" cm="1">
        <f t="array" ref="AG73">Vega(S73,$B$2,$AG$71,$D$2,$E$2,$F$3)</f>
        <v>56.441397997533322</v>
      </c>
      <c r="AK73" s="1">
        <v>65</v>
      </c>
      <c r="AL73" s="4" cm="1">
        <f t="array" ref="AL73">Vega(AK73,$B$2,$AL$71,$D$2,$E$2,$F$4)</f>
        <v>7.8904162138229805E-40</v>
      </c>
      <c r="AM73" s="4" cm="1">
        <f t="array" ref="AM73">Vega(AK73,$B$2,$AM$71,$D$2,$E$2,$F$4)</f>
        <v>1.5687681949729762E-19</v>
      </c>
      <c r="AN73" s="4" cm="1">
        <f t="array" ref="AN73">Vega(AK73,$B$2,$AN$71,$D$2,$E$2,$F$4)</f>
        <v>9.9829747601652223E-13</v>
      </c>
      <c r="AO73" s="4" cm="1">
        <f t="array" ref="AO73">Vega(AK73,$B$2,$AO$71,$D$2,$E$2,$F$4)</f>
        <v>2.6261095230764713E-9</v>
      </c>
      <c r="AP73" s="4" cm="1">
        <f t="array" ref="AP73">Vega(AK73,$B$2,$AP$71,$D$2,$E$2,$F$4)</f>
        <v>3.0347470957467907E-7</v>
      </c>
      <c r="AQ73" s="4" cm="1">
        <f t="array" ref="AQ73">Vega(AK73,$B$2,$AQ$71,$D$2,$E$2,$F$4)</f>
        <v>7.3190274501949836E-6</v>
      </c>
      <c r="AR73" s="4" cm="1">
        <f t="array" ref="AR73">Vega(AK73,$B$2,$AR$71,$D$2,$E$2,$F$4)</f>
        <v>7.1926239310786806E-5</v>
      </c>
      <c r="AS73" s="4" cm="1">
        <f t="array" ref="AS73">Vega(AK73,$B$2,$AS$71,$D$2,$E$2,$F$4)</f>
        <v>4.0269999011754233E-4</v>
      </c>
      <c r="AT73" s="4" cm="1">
        <f t="array" ref="AT73">Vega(AK73,$B$2,$AT$71,$D$2,$E$2,$F$4)</f>
        <v>1.5479180979646758E-3</v>
      </c>
      <c r="AU73" s="4" cm="1">
        <f t="array" ref="AU73">Vega(AK73,$B$2,$AU$71,$D$2,$E$2,$F$4)</f>
        <v>4.5696305078151925E-3</v>
      </c>
      <c r="AV73" s="4" cm="1">
        <f t="array" ref="AV73">Vega(AK73,$B$2,$AV$71,$D$2,$E$2,$F$4)</f>
        <v>0.66123147004512139</v>
      </c>
      <c r="AW73" s="4" cm="1">
        <f t="array" ref="AW73">Vega(AK73,$B$2,$AW$71,$D$2,$E$2,$F$4)</f>
        <v>3.7594797189649576</v>
      </c>
      <c r="AX73" s="4" cm="1">
        <f t="array" ref="AX73">Vega(AK73,$B$2,$AX$71,$D$2,$E$2,$F$4)</f>
        <v>9.3007615269544957</v>
      </c>
      <c r="AY73" s="5" cm="1">
        <f t="array" ref="AY73">Vega(AK73,$B$2,$AY$71,$D$2,$E$2,$F$4)</f>
        <v>16.352043251983776</v>
      </c>
    </row>
    <row r="74" spans="1:51" x14ac:dyDescent="0.3">
      <c r="A74" s="1">
        <v>70</v>
      </c>
      <c r="B74" s="4" cm="1">
        <f t="array" ref="B74">Vega(A74,$B$2,$B$71,$D$2,$E$2,$F$2)</f>
        <v>1.4305070674681113E-6</v>
      </c>
      <c r="C74" s="4" cm="1">
        <f t="array" ref="C74">Vega(A74,$B$2,$C$71,$D$2,$E$2,$F$2)</f>
        <v>5.7361357105493501E-3</v>
      </c>
      <c r="D74" s="4" cm="1">
        <f t="array" ref="D74">Vega(A74,$B$2,$D$71,$D$2,$E$2,$F$2)</f>
        <v>9.9359820227649887E-2</v>
      </c>
      <c r="E74" s="4" cm="1">
        <f t="array" ref="E74">Vega(A74,$B$2,$E$71,$D$2,$E$2,$F$2)</f>
        <v>0.43122978474392287</v>
      </c>
      <c r="F74" s="4" cm="1">
        <f t="array" ref="F74">Vega(A74,$B$2,$F$71,$D$2,$E$2,$F$2)</f>
        <v>1.0665604474636925</v>
      </c>
      <c r="G74" s="4" cm="1">
        <f t="array" ref="G74">Vega(A74,$B$2,$G$71,$D$2,$E$2,$F$2)</f>
        <v>1.9828706392671911</v>
      </c>
      <c r="H74" s="4" cm="1">
        <f t="array" ref="H74">Vega(A74,$B$2,$H$71,$D$2,$E$2,$F$2)</f>
        <v>3.1240118425491601</v>
      </c>
      <c r="I74" s="4" cm="1">
        <f t="array" ref="I74">Vega(A74,$B$2,$I$71,$D$2,$E$2,$F$2)</f>
        <v>4.4314430319658937</v>
      </c>
      <c r="J74" s="4" cm="1">
        <f t="array" ref="J74">Vega(A74,$B$2,$J$71,$D$2,$E$2,$F$2)</f>
        <v>5.855343505406033</v>
      </c>
      <c r="K74" s="4" cm="1">
        <f t="array" ref="K74">Vega(A74,$B$2,$K$71,$D$2,$E$2,$F$2)</f>
        <v>7.3566173019582468</v>
      </c>
      <c r="L74" s="4" cm="1">
        <f t="array" ref="L74">Vega(A74,$B$2,$L$71,$D$2,$E$2,$F$2)</f>
        <v>22.783353493544929</v>
      </c>
      <c r="M74" s="4" cm="1">
        <f t="array" ref="M74">Vega(A74,$B$2,$M$71,$D$2,$E$2,$F$2)</f>
        <v>35.965069029119618</v>
      </c>
      <c r="N74" s="4" cm="1">
        <f t="array" ref="N74">Vega(A74,$B$2,$N$71,$D$2,$E$2,$F$2)</f>
        <v>46.883083785060734</v>
      </c>
      <c r="O74" s="5" cm="1">
        <f t="array" ref="O74">Vega(A74,$B$2,$O$71,$D$2,$E$2,$F$2)</f>
        <v>56.119836056730875</v>
      </c>
      <c r="S74" s="1">
        <v>70</v>
      </c>
      <c r="T74" s="4" cm="1">
        <f t="array" ref="T74">Vega(S74,$B$2,$T$71,$D$2,$E$2,$F$3)</f>
        <v>9.3436309317573522E-3</v>
      </c>
      <c r="U74" s="4" cm="1">
        <f t="array" ref="U74">Vega(S74,$B$2,$U$71,$D$2,$E$2,$F$3)</f>
        <v>0.45186973977930972</v>
      </c>
      <c r="V74" s="4" cm="1">
        <f t="array" ref="V74">Vega(S74,$B$2,$V$71,$D$2,$E$2,$F$3)</f>
        <v>1.7943197870953576</v>
      </c>
      <c r="W74" s="4" cm="1">
        <f t="array" ref="W74">Vega(S74,$B$2,$W$71,$D$2,$E$2,$F$3)</f>
        <v>3.7275610547584388</v>
      </c>
      <c r="X74" s="4" cm="1">
        <f t="array" ref="X74">Vega(S74,$B$2,$X$71,$D$2,$E$2,$F$3)</f>
        <v>5.9240833497693499</v>
      </c>
      <c r="Y74" s="4" cm="1">
        <f t="array" ref="Y74">Vega(S74,$B$2,$Y$71,$D$2,$E$2,$F$3)</f>
        <v>8.1996646326998253</v>
      </c>
      <c r="Z74" s="4" cm="1">
        <f t="array" ref="Z74">Vega(S74,$B$2,$Z$71,$D$2,$E$2,$F$3)</f>
        <v>10.462155572124116</v>
      </c>
      <c r="AA74" s="4" cm="1">
        <f t="array" ref="AA74">Vega(S74,$B$2,$AA$71,$D$2,$E$2,$F$3)</f>
        <v>12.667719836424343</v>
      </c>
      <c r="AB74" s="4" cm="1">
        <f t="array" ref="AB74">Vega(S74,$B$2,$AB$71,$D$2,$E$2,$F$3)</f>
        <v>14.797070949272113</v>
      </c>
      <c r="AC74" s="4" cm="1">
        <f t="array" ref="AC74">Vega(S74,$B$2,$AC$71,$D$2,$E$2,$F$3)</f>
        <v>16.843384637940812</v>
      </c>
      <c r="AD74" s="4" cm="1">
        <f t="array" ref="AD74">Vega(S74,$B$2,$AD$71,$D$2,$E$2,$F$3)</f>
        <v>33.351628785916162</v>
      </c>
      <c r="AE74" s="4" cm="1">
        <f t="array" ref="AE74">Vega(S74,$B$2,$AE$71,$D$2,$E$2,$F$3)</f>
        <v>45.187800131882504</v>
      </c>
      <c r="AF74" s="4" cm="1">
        <f t="array" ref="AF74">Vega(S74,$B$2,$AF$71,$D$2,$E$2,$F$3)</f>
        <v>54.421505040302272</v>
      </c>
      <c r="AG74" s="5" cm="1">
        <f t="array" ref="AG74">Vega(S74,$B$2,$AG$71,$D$2,$E$2,$F$3)</f>
        <v>61.983217876086933</v>
      </c>
      <c r="AK74" s="1">
        <v>70</v>
      </c>
      <c r="AL74" s="4" cm="1">
        <f t="array" ref="AL74">Vega(AK74,$B$2,$AL$71,$D$2,$E$2,$F$4)</f>
        <v>3.5731275340966639E-27</v>
      </c>
      <c r="AM74" s="4" cm="1">
        <f t="array" ref="AM74">Vega(AK74,$B$2,$AM$71,$D$2,$E$2,$F$4)</f>
        <v>3.2770789744139771E-13</v>
      </c>
      <c r="AN74" s="4" cm="1">
        <f t="array" ref="AN74">Vega(AK74,$B$2,$AN$71,$D$2,$E$2,$F$4)</f>
        <v>1.611318080490916E-8</v>
      </c>
      <c r="AO74" s="4" cm="1">
        <f t="array" ref="AO74">Vega(AK74,$B$2,$AO$71,$D$2,$E$2,$F$4)</f>
        <v>3.7258960102381547E-6</v>
      </c>
      <c r="AP74" s="4" cm="1">
        <f t="array" ref="AP74">Vega(AK74,$B$2,$AP$71,$D$2,$E$2,$F$4)</f>
        <v>1.0010098526373569E-4</v>
      </c>
      <c r="AQ74" s="4" cm="1">
        <f t="array" ref="AQ74">Vega(AK74,$B$2,$AQ$71,$D$2,$E$2,$F$4)</f>
        <v>9.1278366359241259E-4</v>
      </c>
      <c r="AR74" s="4" cm="1">
        <f t="array" ref="AR74">Vega(AK74,$B$2,$AR$71,$D$2,$E$2,$F$4)</f>
        <v>4.4780256387178217E-3</v>
      </c>
      <c r="AS74" s="4" cm="1">
        <f t="array" ref="AS74">Vega(AK74,$B$2,$AS$71,$D$2,$E$2,$F$4)</f>
        <v>1.4889989640669983E-2</v>
      </c>
      <c r="AT74" s="4" cm="1">
        <f t="array" ref="AT74">Vega(AK74,$B$2,$AT$71,$D$2,$E$2,$F$4)</f>
        <v>3.8164553510493977E-2</v>
      </c>
      <c r="AU74" s="4" cm="1">
        <f t="array" ref="AU74">Vega(AK74,$B$2,$AU$71,$D$2,$E$2,$F$4)</f>
        <v>8.1469084911896597E-2</v>
      </c>
      <c r="AV74" s="4" cm="1">
        <f t="array" ref="AV74">Vega(AK74,$B$2,$AV$71,$D$2,$E$2,$F$4)</f>
        <v>2.7407108585812279</v>
      </c>
      <c r="AW74" s="4" cm="1">
        <f t="array" ref="AW74">Vega(AK74,$B$2,$AW$71,$D$2,$E$2,$F$4)</f>
        <v>9.5815720461128873</v>
      </c>
      <c r="AX74" s="4" cm="1">
        <f t="array" ref="AX74">Vega(AK74,$B$2,$AX$71,$D$2,$E$2,$F$4)</f>
        <v>18.587765767930996</v>
      </c>
      <c r="AY74" s="5" cm="1">
        <f t="array" ref="AY74">Vega(AK74,$B$2,$AY$71,$D$2,$E$2,$F$4)</f>
        <v>28.243629412307229</v>
      </c>
    </row>
    <row r="75" spans="1:51" x14ac:dyDescent="0.3">
      <c r="A75" s="1">
        <v>75</v>
      </c>
      <c r="B75" s="4" cm="1">
        <f t="array" ref="B75">Vega(A75,$B$2,$B$71,$D$2,$E$2,$F$2)</f>
        <v>3.770139897571843E-4</v>
      </c>
      <c r="C75" s="4" cm="1">
        <f t="array" ref="C75">Vega(A75,$B$2,$C$71,$D$2,$E$2,$F$2)</f>
        <v>9.3928751471449773E-2</v>
      </c>
      <c r="D75" s="4" cm="1">
        <f t="array" ref="D75">Vega(A75,$B$2,$D$71,$D$2,$E$2,$F$2)</f>
        <v>0.64440735249376058</v>
      </c>
      <c r="E75" s="4" cm="1">
        <f t="array" ref="E75">Vega(A75,$B$2,$E$71,$D$2,$E$2,$F$2)</f>
        <v>1.76012583898282</v>
      </c>
      <c r="F75" s="4" cm="1">
        <f t="array" ref="F75">Vega(A75,$B$2,$F$71,$D$2,$E$2,$F$2)</f>
        <v>3.2972479768503962</v>
      </c>
      <c r="G75" s="4" cm="1">
        <f t="array" ref="G75">Vega(A75,$B$2,$G$71,$D$2,$E$2,$F$2)</f>
        <v>5.0934802908825025</v>
      </c>
      <c r="H75" s="4" cm="1">
        <f t="array" ref="H75">Vega(A75,$B$2,$H$71,$D$2,$E$2,$F$2)</f>
        <v>7.0302629740001565</v>
      </c>
      <c r="I75" s="4" cm="1">
        <f t="array" ref="I75">Vega(A75,$B$2,$I$71,$D$2,$E$2,$F$2)</f>
        <v>9.0304222542602286</v>
      </c>
      <c r="J75" s="4" cm="1">
        <f t="array" ref="J75">Vega(A75,$B$2,$J$71,$D$2,$E$2,$F$2)</f>
        <v>11.045773801093519</v>
      </c>
      <c r="K75" s="4" cm="1">
        <f t="array" ref="K75">Vega(A75,$B$2,$K$71,$D$2,$E$2,$F$2)</f>
        <v>13.046879019121693</v>
      </c>
      <c r="L75" s="4" cm="1">
        <f t="array" ref="L75">Vega(A75,$B$2,$L$71,$D$2,$E$2,$F$2)</f>
        <v>30.603936130050933</v>
      </c>
      <c r="M75" s="4" cm="1">
        <f t="array" ref="M75">Vega(A75,$B$2,$M$71,$D$2,$E$2,$F$2)</f>
        <v>44.036986538728897</v>
      </c>
      <c r="N75" s="4" cm="1">
        <f t="array" ref="N75">Vega(A75,$B$2,$N$71,$D$2,$E$2,$F$2)</f>
        <v>54.807676647351542</v>
      </c>
      <c r="O75" s="5" cm="1">
        <f t="array" ref="O75">Vega(A75,$B$2,$O$71,$D$2,$E$2,$F$2)</f>
        <v>63.807941266216027</v>
      </c>
      <c r="S75" s="1">
        <v>75</v>
      </c>
      <c r="T75" s="4" cm="1">
        <f t="array" ref="T75">Vega(S75,$B$2,$T$71,$D$2,$E$2,$F$3)</f>
        <v>0.11344357018572764</v>
      </c>
      <c r="U75" s="4" cm="1">
        <f t="array" ref="U75">Vega(S75,$B$2,$U$71,$D$2,$E$2,$F$3)</f>
        <v>1.5957745936388483</v>
      </c>
      <c r="V75" s="4" cm="1">
        <f t="array" ref="V75">Vega(S75,$B$2,$V$71,$D$2,$E$2,$F$3)</f>
        <v>4.1984549048709416</v>
      </c>
      <c r="W75" s="4" cm="1">
        <f t="array" ref="W75">Vega(S75,$B$2,$W$71,$D$2,$E$2,$F$3)</f>
        <v>7.0995380577419693</v>
      </c>
      <c r="X75" s="4" cm="1">
        <f t="array" ref="X75">Vega(S75,$B$2,$X$71,$D$2,$E$2,$F$3)</f>
        <v>9.9723128342838532</v>
      </c>
      <c r="Y75" s="4" cm="1">
        <f t="array" ref="Y75">Vega(S75,$B$2,$Y$71,$D$2,$E$2,$F$3)</f>
        <v>12.712093999325983</v>
      </c>
      <c r="Z75" s="4" cm="1">
        <f t="array" ref="Z75">Vega(S75,$B$2,$Z$71,$D$2,$E$2,$F$3)</f>
        <v>15.293391347314351</v>
      </c>
      <c r="AA75" s="4" cm="1">
        <f t="array" ref="AA75">Vega(S75,$B$2,$AA$71,$D$2,$E$2,$F$3)</f>
        <v>17.718513961379674</v>
      </c>
      <c r="AB75" s="4" cm="1">
        <f t="array" ref="AB75">Vega(S75,$B$2,$AB$71,$D$2,$E$2,$F$3)</f>
        <v>19.998950927794951</v>
      </c>
      <c r="AC75" s="4" cm="1">
        <f t="array" ref="AC75">Vega(S75,$B$2,$AC$71,$D$2,$E$2,$F$3)</f>
        <v>22.148428421066527</v>
      </c>
      <c r="AD75" s="4" cm="1">
        <f t="array" ref="AD75">Vega(S75,$B$2,$AD$71,$D$2,$E$2,$F$3)</f>
        <v>38.761449136581973</v>
      </c>
      <c r="AE75" s="4" cm="1">
        <f t="array" ref="AE75">Vega(S75,$B$2,$AE$71,$D$2,$E$2,$F$3)</f>
        <v>50.3996234832276</v>
      </c>
      <c r="AF75" s="4" cm="1">
        <f t="array" ref="AF75">Vega(S75,$B$2,$AF$71,$D$2,$E$2,$F$3)</f>
        <v>59.461821507388336</v>
      </c>
      <c r="AG75" s="5" cm="1">
        <f t="array" ref="AG75">Vega(S75,$B$2,$AG$71,$D$2,$E$2,$F$3)</f>
        <v>66.892699193410792</v>
      </c>
      <c r="AK75" s="1">
        <v>75</v>
      </c>
      <c r="AL75" s="4" cm="1">
        <f t="array" ref="AL75">Vega(AK75,$B$2,$AL$71,$D$2,$E$2,$F$4)</f>
        <v>1.554438392994746E-17</v>
      </c>
      <c r="AM75" s="4" cm="1">
        <f t="array" ref="AM75">Vega(AK75,$B$2,$AM$71,$D$2,$E$2,$F$4)</f>
        <v>2.1245091218449445E-8</v>
      </c>
      <c r="AN75" s="4" cm="1">
        <f t="array" ref="AN75">Vega(AK75,$B$2,$AN$71,$D$2,$E$2,$F$4)</f>
        <v>2.5706041526295763E-5</v>
      </c>
      <c r="AO75" s="4" cm="1">
        <f t="array" ref="AO75">Vega(AK75,$B$2,$AO$71,$D$2,$E$2,$F$4)</f>
        <v>9.3245046528342434E-4</v>
      </c>
      <c r="AP75" s="4" cm="1">
        <f t="array" ref="AP75">Vega(AK75,$B$2,$AP$71,$D$2,$E$2,$F$4)</f>
        <v>8.2443811591708764E-3</v>
      </c>
      <c r="AQ75" s="4" cm="1">
        <f t="array" ref="AQ75">Vega(AK75,$B$2,$AQ$71,$D$2,$E$2,$F$4)</f>
        <v>3.5834719979831717E-2</v>
      </c>
      <c r="AR75" s="4" cm="1">
        <f t="array" ref="AR75">Vega(AK75,$B$2,$AR$71,$D$2,$E$2,$F$4)</f>
        <v>0.10355649356059844</v>
      </c>
      <c r="AS75" s="4" cm="1">
        <f t="array" ref="AS75">Vega(AK75,$B$2,$AS$71,$D$2,$E$2,$F$4)</f>
        <v>0.23152671506102002</v>
      </c>
      <c r="AT75" s="4" cm="1">
        <f t="array" ref="AT75">Vega(AK75,$B$2,$AT$71,$D$2,$E$2,$F$4)</f>
        <v>0.43580320477808066</v>
      </c>
      <c r="AU75" s="4" cm="1">
        <f t="array" ref="AU75">Vega(AK75,$B$2,$AU$71,$D$2,$E$2,$F$4)</f>
        <v>0.7267112565693663</v>
      </c>
      <c r="AV75" s="4" cm="1">
        <f t="array" ref="AV75">Vega(AK75,$B$2,$AV$71,$D$2,$E$2,$F$4)</f>
        <v>8.0455722498671705</v>
      </c>
      <c r="AW75" s="4" cm="1">
        <f t="array" ref="AW75">Vega(AK75,$B$2,$AW$71,$D$2,$E$2,$F$4)</f>
        <v>19.419529853530502</v>
      </c>
      <c r="AX75" s="4" cm="1">
        <f t="array" ref="AX75">Vega(AK75,$B$2,$AX$71,$D$2,$E$2,$F$4)</f>
        <v>31.302804195460354</v>
      </c>
      <c r="AY75" s="5" cm="1">
        <f t="array" ref="AY75">Vega(AK75,$B$2,$AY$71,$D$2,$E$2,$F$4)</f>
        <v>42.560725743199953</v>
      </c>
    </row>
    <row r="76" spans="1:51" x14ac:dyDescent="0.3">
      <c r="A76" s="1">
        <v>80</v>
      </c>
      <c r="B76" s="4" cm="1">
        <f t="array" ref="B76">Vega(A76,$B$2,$B$71,$D$2,$E$2,$F$2)</f>
        <v>2.3609588828415677E-2</v>
      </c>
      <c r="C76" s="4" cm="1">
        <f t="array" ref="C76">Vega(A76,$B$2,$C$71,$D$2,$E$2,$F$2)</f>
        <v>0.74932050826937013</v>
      </c>
      <c r="D76" s="4" cm="1">
        <f t="array" ref="D76">Vega(A76,$B$2,$D$71,$D$2,$E$2,$F$2)</f>
        <v>2.5866773497556816</v>
      </c>
      <c r="E76" s="4" cm="1">
        <f t="array" ref="E76">Vega(A76,$B$2,$E$71,$D$2,$E$2,$F$2)</f>
        <v>5.0116628118720126</v>
      </c>
      <c r="F76" s="4" cm="1">
        <f t="array" ref="F76">Vega(A76,$B$2,$F$71,$D$2,$E$2,$F$2)</f>
        <v>7.6401792301498688</v>
      </c>
      <c r="G76" s="4" cm="1">
        <f t="array" ref="G76">Vega(A76,$B$2,$G$71,$D$2,$E$2,$F$2)</f>
        <v>10.287482444006043</v>
      </c>
      <c r="H76" s="4" cm="1">
        <f t="array" ref="H76">Vega(A76,$B$2,$H$71,$D$2,$E$2,$F$2)</f>
        <v>12.872223646374945</v>
      </c>
      <c r="I76" s="4" cm="1">
        <f t="array" ref="I76">Vega(A76,$B$2,$I$71,$D$2,$E$2,$F$2)</f>
        <v>15.361396923011618</v>
      </c>
      <c r="J76" s="4" cm="1">
        <f t="array" ref="J76">Vega(A76,$B$2,$J$71,$D$2,$E$2,$F$2)</f>
        <v>17.744408367129644</v>
      </c>
      <c r="K76" s="4" cm="1">
        <f t="array" ref="K76">Vega(A76,$B$2,$K$71,$D$2,$E$2,$F$2)</f>
        <v>20.021019742744606</v>
      </c>
      <c r="L76" s="4" cm="1">
        <f t="array" ref="L76">Vega(A76,$B$2,$L$71,$D$2,$E$2,$F$2)</f>
        <v>38.218237653015336</v>
      </c>
      <c r="M76" s="4" cm="1">
        <f t="array" ref="M76">Vega(A76,$B$2,$M$71,$D$2,$E$2,$F$2)</f>
        <v>51.343117209127108</v>
      </c>
      <c r="N76" s="4" cm="1">
        <f t="array" ref="N76">Vega(A76,$B$2,$N$71,$D$2,$E$2,$F$2)</f>
        <v>61.743560179207321</v>
      </c>
      <c r="O76" s="5" cm="1">
        <f t="array" ref="O76">Vega(A76,$B$2,$O$71,$D$2,$E$2,$F$2)</f>
        <v>70.416816821210716</v>
      </c>
      <c r="S76" s="1">
        <v>80</v>
      </c>
      <c r="T76" s="4" cm="1">
        <f t="array" ref="T76">Vega(S76,$B$2,$T$71,$D$2,$E$2,$F$3)</f>
        <v>0.72629446543345488</v>
      </c>
      <c r="U76" s="4" cm="1">
        <f t="array" ref="U76">Vega(S76,$B$2,$U$71,$D$2,$E$2,$F$3)</f>
        <v>4.0887259297741139</v>
      </c>
      <c r="V76" s="4" cm="1">
        <f t="array" ref="V76">Vega(S76,$B$2,$V$71,$D$2,$E$2,$F$3)</f>
        <v>7.9274555446936921</v>
      </c>
      <c r="W76" s="4" cm="1">
        <f t="array" ref="W76">Vega(S76,$B$2,$W$71,$D$2,$E$2,$F$3)</f>
        <v>11.507695143275125</v>
      </c>
      <c r="X76" s="4" cm="1">
        <f t="array" ref="X76">Vega(S76,$B$2,$X$71,$D$2,$E$2,$F$3)</f>
        <v>14.749677041710106</v>
      </c>
      <c r="Y76" s="4" cm="1">
        <f t="array" ref="Y76">Vega(S76,$B$2,$Y$71,$D$2,$E$2,$F$3)</f>
        <v>17.688429965289604</v>
      </c>
      <c r="Z76" s="4" cm="1">
        <f t="array" ref="Z76">Vega(S76,$B$2,$Z$71,$D$2,$E$2,$F$3)</f>
        <v>20.372161802542724</v>
      </c>
      <c r="AA76" s="4" cm="1">
        <f t="array" ref="AA76">Vega(S76,$B$2,$AA$71,$D$2,$E$2,$F$3)</f>
        <v>22.843174271570835</v>
      </c>
      <c r="AB76" s="4" cm="1">
        <f t="array" ref="AB76">Vega(S76,$B$2,$AB$71,$D$2,$E$2,$F$3)</f>
        <v>25.135567501845724</v>
      </c>
      <c r="AC76" s="4" cm="1">
        <f t="array" ref="AC76">Vega(S76,$B$2,$AC$71,$D$2,$E$2,$F$3)</f>
        <v>27.276349949898758</v>
      </c>
      <c r="AD76" s="4" cm="1">
        <f t="array" ref="AD76">Vega(S76,$B$2,$AD$71,$D$2,$E$2,$F$3)</f>
        <v>43.558378451392819</v>
      </c>
      <c r="AE76" s="4" cm="1">
        <f t="array" ref="AE76">Vega(S76,$B$2,$AE$71,$D$2,$E$2,$F$3)</f>
        <v>54.934070118221499</v>
      </c>
      <c r="AF76" s="4" cm="1">
        <f t="array" ref="AF76">Vega(S76,$B$2,$AF$71,$D$2,$E$2,$F$3)</f>
        <v>63.829888800540957</v>
      </c>
      <c r="AG76" s="5" cm="1">
        <f t="array" ref="AG76">Vega(S76,$B$2,$AG$71,$D$2,$E$2,$F$3)</f>
        <v>71.152052988955774</v>
      </c>
      <c r="AK76" s="1">
        <v>80</v>
      </c>
      <c r="AL76" s="4" cm="1">
        <f t="array" ref="AL76">Vega(AK76,$B$2,$AL$71,$D$2,$E$2,$F$4)</f>
        <v>2.1699726533395633E-10</v>
      </c>
      <c r="AM76" s="4" cm="1">
        <f t="array" ref="AM76">Vega(AK76,$B$2,$AM$71,$D$2,$E$2,$F$4)</f>
        <v>7.8107330033859321E-5</v>
      </c>
      <c r="AN76" s="4" cm="1">
        <f t="array" ref="AN76">Vega(AK76,$B$2,$AN$71,$D$2,$E$2,$F$4)</f>
        <v>6.0578597213752049E-3</v>
      </c>
      <c r="AO76" s="4" cm="1">
        <f t="array" ref="AO76">Vega(AK76,$B$2,$AO$71,$D$2,$E$2,$F$4)</f>
        <v>5.5633346565513969E-2</v>
      </c>
      <c r="AP76" s="4" cm="1">
        <f t="array" ref="AP76">Vega(AK76,$B$2,$AP$71,$D$2,$E$2,$F$4)</f>
        <v>0.21573604959593176</v>
      </c>
      <c r="AQ76" s="4" cm="1">
        <f t="array" ref="AQ76">Vega(AK76,$B$2,$AQ$71,$D$2,$E$2,$F$4)</f>
        <v>0.54130101077600301</v>
      </c>
      <c r="AR76" s="4" cm="1">
        <f t="array" ref="AR76">Vega(AK76,$B$2,$AR$71,$D$2,$E$2,$F$4)</f>
        <v>1.0564824233400871</v>
      </c>
      <c r="AS76" s="4" cm="1">
        <f t="array" ref="AS76">Vega(AK76,$B$2,$AS$71,$D$2,$E$2,$F$4)</f>
        <v>1.7597405298560351</v>
      </c>
      <c r="AT76" s="4" cm="1">
        <f t="array" ref="AT76">Vega(AK76,$B$2,$AT$71,$D$2,$E$2,$F$4)</f>
        <v>2.6345645732472498</v>
      </c>
      <c r="AU76" s="4" cm="1">
        <f t="array" ref="AU76">Vega(AK76,$B$2,$AU$71,$D$2,$E$2,$F$4)</f>
        <v>3.6579438640896007</v>
      </c>
      <c r="AV76" s="4" cm="1">
        <f t="array" ref="AV76">Vega(AK76,$B$2,$AV$71,$D$2,$E$2,$F$4)</f>
        <v>17.761814611091623</v>
      </c>
      <c r="AW76" s="4" cm="1">
        <f t="array" ref="AW76">Vega(AK76,$B$2,$AW$71,$D$2,$E$2,$F$4)</f>
        <v>32.57273204061763</v>
      </c>
      <c r="AX76" s="4" cm="1">
        <f t="array" ref="AX76">Vega(AK76,$B$2,$AX$71,$D$2,$E$2,$F$4)</f>
        <v>45.765821306048551</v>
      </c>
      <c r="AY76" s="5" cm="1">
        <f t="array" ref="AY76">Vega(AK76,$B$2,$AY$71,$D$2,$E$2,$F$4)</f>
        <v>57.302367456033558</v>
      </c>
    </row>
    <row r="77" spans="1:51" x14ac:dyDescent="0.3">
      <c r="A77" s="1">
        <v>85</v>
      </c>
      <c r="B77" s="4" cm="1">
        <f t="array" ref="B77">Vega(A77,$B$2,$B$71,$D$2,$E$2,$F$2)</f>
        <v>0.44558558892443634</v>
      </c>
      <c r="C77" s="4" cm="1">
        <f t="array" ref="C77">Vega(A77,$B$2,$C$71,$D$2,$E$2,$F$2)</f>
        <v>3.2800471961839519</v>
      </c>
      <c r="D77" s="4" cm="1">
        <f t="array" ref="D77">Vega(A77,$B$2,$D$71,$D$2,$E$2,$F$2)</f>
        <v>6.9568288790958261</v>
      </c>
      <c r="E77" s="4" cm="1">
        <f t="array" ref="E77">Vega(A77,$B$2,$E$71,$D$2,$E$2,$F$2)</f>
        <v>10.565235887329337</v>
      </c>
      <c r="F77" s="4" cm="1">
        <f t="array" ref="F77">Vega(A77,$B$2,$F$71,$D$2,$E$2,$F$2)</f>
        <v>13.91675164727925</v>
      </c>
      <c r="G77" s="4" cm="1">
        <f t="array" ref="G77">Vega(A77,$B$2,$G$71,$D$2,$E$2,$F$2)</f>
        <v>16.99944547238977</v>
      </c>
      <c r="H77" s="4" cm="1">
        <f t="array" ref="H77">Vega(A77,$B$2,$H$71,$D$2,$E$2,$F$2)</f>
        <v>19.84077978526323</v>
      </c>
      <c r="I77" s="4" cm="1">
        <f t="array" ref="I77">Vega(A77,$B$2,$I$71,$D$2,$E$2,$F$2)</f>
        <v>22.473489195639598</v>
      </c>
      <c r="J77" s="4" cm="1">
        <f t="array" ref="J77">Vega(A77,$B$2,$J$71,$D$2,$E$2,$F$2)</f>
        <v>24.927154208382696</v>
      </c>
      <c r="K77" s="4" cm="1">
        <f t="array" ref="K77">Vega(A77,$B$2,$K$71,$D$2,$E$2,$F$2)</f>
        <v>27.226666793458271</v>
      </c>
      <c r="L77" s="4" cm="1">
        <f t="array" ref="L77">Vega(A77,$B$2,$L$71,$D$2,$E$2,$F$2)</f>
        <v>44.907193585775431</v>
      </c>
      <c r="M77" s="4" cm="1">
        <f t="array" ref="M77">Vega(A77,$B$2,$M$71,$D$2,$E$2,$F$2)</f>
        <v>57.460996039653594</v>
      </c>
      <c r="N77" s="4" cm="1">
        <f t="array" ref="N77">Vega(A77,$B$2,$N$71,$D$2,$E$2,$F$2)</f>
        <v>67.4381137049225</v>
      </c>
      <c r="O77" s="5" cm="1">
        <f t="array" ref="O77">Vega(A77,$B$2,$O$71,$D$2,$E$2,$F$2)</f>
        <v>75.795571731518351</v>
      </c>
      <c r="S77" s="1">
        <v>85</v>
      </c>
      <c r="T77" s="4" cm="1">
        <f t="array" ref="T77">Vega(S77,$B$2,$T$71,$D$2,$E$2,$F$3)</f>
        <v>2.7256339776935321</v>
      </c>
      <c r="U77" s="4" cm="1">
        <f t="array" ref="U77">Vega(S77,$B$2,$U$71,$D$2,$E$2,$F$3)</f>
        <v>8.0146565468207562</v>
      </c>
      <c r="V77" s="4" cm="1">
        <f t="array" ref="V77">Vega(S77,$B$2,$V$71,$D$2,$E$2,$F$3)</f>
        <v>12.514440458799733</v>
      </c>
      <c r="W77" s="4" cm="1">
        <f t="array" ref="W77">Vega(S77,$B$2,$W$71,$D$2,$E$2,$F$3)</f>
        <v>16.302579321220414</v>
      </c>
      <c r="X77" s="4" cm="1">
        <f t="array" ref="X77">Vega(S77,$B$2,$X$71,$D$2,$E$2,$F$3)</f>
        <v>19.581443166314163</v>
      </c>
      <c r="Y77" s="4" cm="1">
        <f t="array" ref="Y77">Vega(S77,$B$2,$Y$71,$D$2,$E$2,$F$3)</f>
        <v>22.487833277913321</v>
      </c>
      <c r="Z77" s="4" cm="1">
        <f t="array" ref="Z77">Vega(S77,$B$2,$Z$71,$D$2,$E$2,$F$3)</f>
        <v>25.111006208294913</v>
      </c>
      <c r="AA77" s="4" cm="1">
        <f t="array" ref="AA77">Vega(S77,$B$2,$AA$71,$D$2,$E$2,$F$3)</f>
        <v>27.511226709398237</v>
      </c>
      <c r="AB77" s="4" cm="1">
        <f t="array" ref="AB77">Vega(S77,$B$2,$AB$71,$D$2,$E$2,$F$3)</f>
        <v>29.730845258588655</v>
      </c>
      <c r="AC77" s="4" cm="1">
        <f t="array" ref="AC77">Vega(S77,$B$2,$AC$71,$D$2,$E$2,$F$3)</f>
        <v>31.80071335789091</v>
      </c>
      <c r="AD77" s="4" cm="1">
        <f t="array" ref="AD77">Vega(S77,$B$2,$AD$71,$D$2,$E$2,$F$3)</f>
        <v>47.590089770706882</v>
      </c>
      <c r="AE77" s="4" cm="1">
        <f t="array" ref="AE77">Vega(S77,$B$2,$AE$71,$D$2,$E$2,$F$3)</f>
        <v>58.73333587773282</v>
      </c>
      <c r="AF77" s="4" cm="1">
        <f t="array" ref="AF77">Vega(S77,$B$2,$AF$71,$D$2,$E$2,$F$3)</f>
        <v>67.509674458565584</v>
      </c>
      <c r="AG77" s="5" cm="1">
        <f t="array" ref="AG77">Vega(S77,$B$2,$AG$71,$D$2,$E$2,$F$3)</f>
        <v>74.766798153008267</v>
      </c>
      <c r="AK77" s="1">
        <v>85</v>
      </c>
      <c r="AL77" s="4" cm="1">
        <f t="array" ref="AL77">Vega(AK77,$B$2,$AL$71,$D$2,$E$2,$F$4)</f>
        <v>2.5138056835713343E-5</v>
      </c>
      <c r="AM77" s="4" cm="1">
        <f t="array" ref="AM77">Vega(AK77,$B$2,$AM$71,$D$2,$E$2,$F$4)</f>
        <v>2.6184740803568276E-2</v>
      </c>
      <c r="AN77" s="4" cm="1">
        <f t="array" ref="AN77">Vega(AK77,$B$2,$AN$71,$D$2,$E$2,$F$4)</f>
        <v>0.28940234587731301</v>
      </c>
      <c r="AO77" s="4" cm="1">
        <f t="array" ref="AO77">Vega(AK77,$B$2,$AO$71,$D$2,$E$2,$F$4)</f>
        <v>1.0033008819090716</v>
      </c>
      <c r="AP77" s="4" cm="1">
        <f t="array" ref="AP77">Vega(AK77,$B$2,$AP$71,$D$2,$E$2,$F$4)</f>
        <v>2.1685359940348929</v>
      </c>
      <c r="AQ77" s="4" cm="1">
        <f t="array" ref="AQ77">Vega(AK77,$B$2,$AQ$71,$D$2,$E$2,$F$4)</f>
        <v>3.6850893362287711</v>
      </c>
      <c r="AR77" s="4" cm="1">
        <f t="array" ref="AR77">Vega(AK77,$B$2,$AR$71,$D$2,$E$2,$F$4)</f>
        <v>5.4448949916165592</v>
      </c>
      <c r="AS77" s="4" cm="1">
        <f t="array" ref="AS77">Vega(AK77,$B$2,$AS$71,$D$2,$E$2,$F$4)</f>
        <v>7.3606201526075647</v>
      </c>
      <c r="AT77" s="4" cm="1">
        <f t="array" ref="AT77">Vega(AK77,$B$2,$AT$71,$D$2,$E$2,$F$4)</f>
        <v>9.3682861219506979</v>
      </c>
      <c r="AU77" s="4" cm="1">
        <f t="array" ref="AU77">Vega(AK77,$B$2,$AU$71,$D$2,$E$2,$F$4)</f>
        <v>11.422910084499065</v>
      </c>
      <c r="AV77" s="4" cm="1">
        <f t="array" ref="AV77">Vega(AK77,$B$2,$AV$71,$D$2,$E$2,$F$4)</f>
        <v>30.915406339357617</v>
      </c>
      <c r="AW77" s="4" cm="1">
        <f t="array" ref="AW77">Vega(AK77,$B$2,$AW$71,$D$2,$E$2,$F$4)</f>
        <v>46.657820462206054</v>
      </c>
      <c r="AX77" s="4" cm="1">
        <f t="array" ref="AX77">Vega(AK77,$B$2,$AX$71,$D$2,$E$2,$F$4)</f>
        <v>59.470671051964629</v>
      </c>
      <c r="AY77" s="5" cm="1">
        <f t="array" ref="AY77">Vega(AK77,$B$2,$AY$71,$D$2,$E$2,$F$4)</f>
        <v>70.234247577560907</v>
      </c>
    </row>
    <row r="78" spans="1:51" x14ac:dyDescent="0.3">
      <c r="A78" s="1">
        <v>90</v>
      </c>
      <c r="B78" s="4" cm="1">
        <f t="array" ref="B78">Vega(A78,$B$2,$B$71,$D$2,$E$2,$F$2)</f>
        <v>3.0644533309865185</v>
      </c>
      <c r="C78" s="4" cm="1">
        <f t="array" ref="C78">Vega(A78,$B$2,$C$71,$D$2,$E$2,$F$2)</f>
        <v>8.6635119422354219</v>
      </c>
      <c r="D78" s="4" cm="1">
        <f t="array" ref="D78">Vega(A78,$B$2,$D$71,$D$2,$E$2,$F$2)</f>
        <v>13.35639363567296</v>
      </c>
      <c r="E78" s="4" cm="1">
        <f t="array" ref="E78">Vega(A78,$B$2,$E$71,$D$2,$E$2,$F$2)</f>
        <v>17.293746502576173</v>
      </c>
      <c r="F78" s="4" cm="1">
        <f t="array" ref="F78">Vega(A78,$B$2,$F$71,$D$2,$E$2,$F$2)</f>
        <v>20.700792345453848</v>
      </c>
      <c r="G78" s="4" cm="1">
        <f t="array" ref="G78">Vega(A78,$B$2,$G$71,$D$2,$E$2,$F$2)</f>
        <v>23.723384471393924</v>
      </c>
      <c r="H78" s="4" cm="1">
        <f t="array" ref="H78">Vega(A78,$B$2,$H$71,$D$2,$E$2,$F$2)</f>
        <v>26.455122246358705</v>
      </c>
      <c r="I78" s="4" cm="1">
        <f t="array" ref="I78">Vega(A78,$B$2,$I$71,$D$2,$E$2,$F$2)</f>
        <v>28.958655791598932</v>
      </c>
      <c r="J78" s="4" cm="1">
        <f t="array" ref="J78">Vega(A78,$B$2,$J$71,$D$2,$E$2,$F$2)</f>
        <v>31.27778048750498</v>
      </c>
      <c r="K78" s="4" cm="1">
        <f t="array" ref="K78">Vega(A78,$B$2,$K$71,$D$2,$E$2,$F$2)</f>
        <v>33.444289202725919</v>
      </c>
      <c r="L78" s="4" cm="1">
        <f t="array" ref="L78">Vega(A78,$B$2,$L$71,$D$2,$E$2,$F$2)</f>
        <v>50.128257699490845</v>
      </c>
      <c r="M78" s="4" cm="1">
        <f t="array" ref="M78">Vega(A78,$B$2,$M$71,$D$2,$E$2,$F$2)</f>
        <v>62.127838620556737</v>
      </c>
      <c r="N78" s="4" cm="1">
        <f t="array" ref="N78">Vega(A78,$B$2,$N$71,$D$2,$E$2,$F$2)</f>
        <v>71.761533320686937</v>
      </c>
      <c r="O78" s="5" cm="1">
        <f t="array" ref="O78">Vega(A78,$B$2,$O$71,$D$2,$E$2,$F$2)</f>
        <v>79.886620400360513</v>
      </c>
      <c r="S78" s="1">
        <v>90</v>
      </c>
      <c r="T78" s="4" cm="1">
        <f t="array" ref="T78">Vega(S78,$B$2,$T$71,$D$2,$E$2,$F$3)</f>
        <v>6.5245486618251372</v>
      </c>
      <c r="U78" s="4" cm="1">
        <f t="array" ref="U78">Vega(S78,$B$2,$U$71,$D$2,$E$2,$F$3)</f>
        <v>12.538719707021434</v>
      </c>
      <c r="V78" s="4" cm="1">
        <f t="array" ref="V78">Vega(S78,$B$2,$V$71,$D$2,$E$2,$F$3)</f>
        <v>16.990578273325511</v>
      </c>
      <c r="W78" s="4" cm="1">
        <f t="array" ref="W78">Vega(S78,$B$2,$W$71,$D$2,$E$2,$F$3)</f>
        <v>20.61898434580019</v>
      </c>
      <c r="X78" s="4" cm="1">
        <f t="array" ref="X78">Vega(S78,$B$2,$X$71,$D$2,$E$2,$F$3)</f>
        <v>23.734723525071391</v>
      </c>
      <c r="Y78" s="4" cm="1">
        <f t="array" ref="Y78">Vega(S78,$B$2,$Y$71,$D$2,$E$2,$F$3)</f>
        <v>26.495540458839582</v>
      </c>
      <c r="Z78" s="4" cm="1">
        <f t="array" ref="Z78">Vega(S78,$B$2,$Z$71,$D$2,$E$2,$F$3)</f>
        <v>28.993012918382313</v>
      </c>
      <c r="AA78" s="4" cm="1">
        <f t="array" ref="AA78">Vega(S78,$B$2,$AA$71,$D$2,$E$2,$F$3)</f>
        <v>31.285437829864762</v>
      </c>
      <c r="AB78" s="4" cm="1">
        <f t="array" ref="AB78">Vega(S78,$B$2,$AB$71,$D$2,$E$2,$F$3)</f>
        <v>33.412469483092273</v>
      </c>
      <c r="AC78" s="4" cm="1">
        <f t="array" ref="AC78">Vega(S78,$B$2,$AC$71,$D$2,$E$2,$F$3)</f>
        <v>35.402457537592475</v>
      </c>
      <c r="AD78" s="4" cm="1">
        <f t="array" ref="AD78">Vega(S78,$B$2,$AD$71,$D$2,$E$2,$F$3)</f>
        <v>50.774026590962563</v>
      </c>
      <c r="AE78" s="4" cm="1">
        <f t="array" ref="AE78">Vega(S78,$B$2,$AE$71,$D$2,$E$2,$F$3)</f>
        <v>61.780667302057189</v>
      </c>
      <c r="AF78" s="4" cm="1">
        <f t="array" ref="AF78">Vega(S78,$B$2,$AF$71,$D$2,$E$2,$F$3)</f>
        <v>70.51075464486027</v>
      </c>
      <c r="AG78" s="5" cm="1">
        <f t="array" ref="AG78">Vega(S78,$B$2,$AG$71,$D$2,$E$2,$F$3)</f>
        <v>77.759056969031704</v>
      </c>
      <c r="AK78" s="1">
        <v>90</v>
      </c>
      <c r="AL78" s="4" cm="1">
        <f t="array" ref="AL78">Vega(AK78,$B$2,$AL$71,$D$2,$E$2,$F$4)</f>
        <v>5.161593864477456E-2</v>
      </c>
      <c r="AM78" s="4" cm="1">
        <f t="array" ref="AM78">Vega(AK78,$B$2,$AM$71,$D$2,$E$2,$F$4)</f>
        <v>1.1696837223341143</v>
      </c>
      <c r="AN78" s="4" cm="1">
        <f t="array" ref="AN78">Vega(AK78,$B$2,$AN$71,$D$2,$E$2,$F$4)</f>
        <v>3.6089280836016511</v>
      </c>
      <c r="AO78" s="4" cm="1">
        <f t="array" ref="AO78">Vega(AK78,$B$2,$AO$71,$D$2,$E$2,$F$4)</f>
        <v>6.6105163163659943</v>
      </c>
      <c r="AP78" s="4" cm="1">
        <f t="array" ref="AP78">Vega(AK78,$B$2,$AP$71,$D$2,$E$2,$F$4)</f>
        <v>9.7437835238203121</v>
      </c>
      <c r="AQ78" s="4" cm="1">
        <f t="array" ref="AQ78">Vega(AK78,$B$2,$AQ$71,$D$2,$E$2,$F$4)</f>
        <v>12.828628098948194</v>
      </c>
      <c r="AR78" s="4" cm="1">
        <f t="array" ref="AR78">Vega(AK78,$B$2,$AR$71,$D$2,$E$2,$F$4)</f>
        <v>15.796405593882865</v>
      </c>
      <c r="AS78" s="4" cm="1">
        <f t="array" ref="AS78">Vega(AK78,$B$2,$AS$71,$D$2,$E$2,$F$4)</f>
        <v>18.625614252560368</v>
      </c>
      <c r="AT78" s="4" cm="1">
        <f t="array" ref="AT78">Vega(AK78,$B$2,$AT$71,$D$2,$E$2,$F$4)</f>
        <v>21.314624132838873</v>
      </c>
      <c r="AU78" s="4" cm="1">
        <f t="array" ref="AU78">Vega(AK78,$B$2,$AU$71,$D$2,$E$2,$F$4)</f>
        <v>23.869941692283714</v>
      </c>
      <c r="AV78" s="4" cm="1">
        <f t="array" ref="AV78">Vega(AK78,$B$2,$AV$71,$D$2,$E$2,$F$4)</f>
        <v>44.056131835136</v>
      </c>
      <c r="AW78" s="4" cm="1">
        <f t="array" ref="AW78">Vega(AK78,$B$2,$AW$71,$D$2,$E$2,$F$4)</f>
        <v>58.525004130384154</v>
      </c>
      <c r="AX78" s="4" cm="1">
        <f t="array" ref="AX78">Vega(AK78,$B$2,$AX$71,$D$2,$E$2,$F$4)</f>
        <v>69.986237314498325</v>
      </c>
      <c r="AY78" s="5" cm="1">
        <f t="array" ref="AY78">Vega(AK78,$B$2,$AY$71,$D$2,$E$2,$F$4)</f>
        <v>79.548944334653157</v>
      </c>
    </row>
    <row r="79" spans="1:51" x14ac:dyDescent="0.3">
      <c r="A79" s="1">
        <v>95</v>
      </c>
      <c r="B79" s="4" cm="1">
        <f t="array" ref="B79">Vega(A79,$B$2,$B$71,$D$2,$E$2,$F$2)</f>
        <v>8.9541358039279721</v>
      </c>
      <c r="C79" s="4" cm="1">
        <f t="array" ref="C79">Vega(A79,$B$2,$C$71,$D$2,$E$2,$F$2)</f>
        <v>14.909546983266303</v>
      </c>
      <c r="D79" s="4" cm="1">
        <f t="array" ref="D79">Vega(A79,$B$2,$D$71,$D$2,$E$2,$F$2)</f>
        <v>19.267540519079148</v>
      </c>
      <c r="E79" s="4" cm="1">
        <f t="array" ref="E79">Vega(A79,$B$2,$E$71,$D$2,$E$2,$F$2)</f>
        <v>22.840702670307461</v>
      </c>
      <c r="F79" s="4" cm="1">
        <f t="array" ref="F79">Vega(A79,$B$2,$F$71,$D$2,$E$2,$F$2)</f>
        <v>25.930883920219031</v>
      </c>
      <c r="G79" s="4" cm="1">
        <f t="array" ref="G79">Vega(A79,$B$2,$G$71,$D$2,$E$2,$F$2)</f>
        <v>28.686682039024305</v>
      </c>
      <c r="H79" s="4" cm="1">
        <f t="array" ref="H79">Vega(A79,$B$2,$H$71,$D$2,$E$2,$F$2)</f>
        <v>31.193622839956397</v>
      </c>
      <c r="I79" s="4" cm="1">
        <f t="array" ref="I79">Vega(A79,$B$2,$I$71,$D$2,$E$2,$F$2)</f>
        <v>33.506087760385839</v>
      </c>
      <c r="J79" s="4" cm="1">
        <f t="array" ref="J79">Vega(A79,$B$2,$J$71,$D$2,$E$2,$F$2)</f>
        <v>35.661132714949467</v>
      </c>
      <c r="K79" s="4" cm="1">
        <f t="array" ref="K79">Vega(A79,$B$2,$K$71,$D$2,$E$2,$F$2)</f>
        <v>37.685326590063859</v>
      </c>
      <c r="L79" s="4" cm="1">
        <f t="array" ref="L79">Vega(A79,$B$2,$L$71,$D$2,$E$2,$F$2)</f>
        <v>53.572622142458144</v>
      </c>
      <c r="M79" s="4" cm="1">
        <f t="array" ref="M79">Vega(A79,$B$2,$M$71,$D$2,$E$2,$F$2)</f>
        <v>65.235380338435675</v>
      </c>
      <c r="N79" s="4" cm="1">
        <f t="array" ref="N79">Vega(A79,$B$2,$N$71,$D$2,$E$2,$F$2)</f>
        <v>74.689059955632018</v>
      </c>
      <c r="O79" s="5" cm="1">
        <f t="array" ref="O79">Vega(A79,$B$2,$O$71,$D$2,$E$2,$F$2)</f>
        <v>82.706631007195014</v>
      </c>
      <c r="S79" s="1">
        <v>95</v>
      </c>
      <c r="T79" s="4" cm="1">
        <f t="array" ref="T79">Vega(S79,$B$2,$T$71,$D$2,$E$2,$F$3)</f>
        <v>10.666888149822517</v>
      </c>
      <c r="U79" s="4" cm="1">
        <f t="array" ref="U79">Vega(S79,$B$2,$U$71,$D$2,$E$2,$F$3)</f>
        <v>16.201774980597236</v>
      </c>
      <c r="V79" s="4" cm="1">
        <f t="array" ref="V79">Vega(S79,$B$2,$V$71,$D$2,$E$2,$F$3)</f>
        <v>20.298234899889014</v>
      </c>
      <c r="W79" s="4" cm="1">
        <f t="array" ref="W79">Vega(S79,$B$2,$W$71,$D$2,$E$2,$F$3)</f>
        <v>23.685782585692991</v>
      </c>
      <c r="X79" s="4" cm="1">
        <f t="array" ref="X79">Vega(S79,$B$2,$X$71,$D$2,$E$2,$F$3)</f>
        <v>26.630962333356742</v>
      </c>
      <c r="Y79" s="4" cm="1">
        <f t="array" ref="Y79">Vega(S79,$B$2,$Y$71,$D$2,$E$2,$F$3)</f>
        <v>29.266016170947758</v>
      </c>
      <c r="Z79" s="4" cm="1">
        <f t="array" ref="Z79">Vega(S79,$B$2,$Z$71,$D$2,$E$2,$F$3)</f>
        <v>31.667848744818325</v>
      </c>
      <c r="AA79" s="4" cm="1">
        <f t="array" ref="AA79">Vega(S79,$B$2,$AA$71,$D$2,$E$2,$F$3)</f>
        <v>33.885838808772824</v>
      </c>
      <c r="AB79" s="4" cm="1">
        <f t="array" ref="AB79">Vega(S79,$B$2,$AB$71,$D$2,$E$2,$F$3)</f>
        <v>35.953924700853619</v>
      </c>
      <c r="AC79" s="4" cm="1">
        <f t="array" ref="AC79">Vega(S79,$B$2,$AC$71,$D$2,$E$2,$F$3)</f>
        <v>37.896623822327193</v>
      </c>
      <c r="AD79" s="4" cm="1">
        <f t="array" ref="AD79">Vega(S79,$B$2,$AD$71,$D$2,$E$2,$F$3)</f>
        <v>53.087335695806651</v>
      </c>
      <c r="AE79" s="4" cm="1">
        <f t="array" ref="AE79">Vega(S79,$B$2,$AE$71,$D$2,$E$2,$F$3)</f>
        <v>64.090843856534732</v>
      </c>
      <c r="AF79" s="4" cm="1">
        <f t="array" ref="AF79">Vega(S79,$B$2,$AF$71,$D$2,$E$2,$F$3)</f>
        <v>72.861111689327814</v>
      </c>
      <c r="AG79" s="5" cm="1">
        <f t="array" ref="AG79">Vega(S79,$B$2,$AG$71,$D$2,$E$2,$F$3)</f>
        <v>80.162201705931693</v>
      </c>
      <c r="AK79" s="1">
        <v>95</v>
      </c>
      <c r="AL79" s="4" cm="1">
        <f t="array" ref="AL79">Vega(AK79,$B$2,$AL$71,$D$2,$E$2,$F$4)</f>
        <v>3.4693238841801244</v>
      </c>
      <c r="AM79" s="4" cm="1">
        <f t="array" ref="AM79">Vega(AK79,$B$2,$AM$71,$D$2,$E$2,$F$4)</f>
        <v>9.4608178373498504</v>
      </c>
      <c r="AN79" s="4" cm="1">
        <f t="array" ref="AN79">Vega(AK79,$B$2,$AN$71,$D$2,$E$2,$F$4)</f>
        <v>14.411356711779723</v>
      </c>
      <c r="AO79" s="4" cm="1">
        <f t="array" ref="AO79">Vega(AK79,$B$2,$AO$71,$D$2,$E$2,$F$4)</f>
        <v>18.547920454659685</v>
      </c>
      <c r="AP79" s="4" cm="1">
        <f t="array" ref="AP79">Vega(AK79,$B$2,$AP$71,$D$2,$E$2,$F$4)</f>
        <v>22.122153003014297</v>
      </c>
      <c r="AQ79" s="4" cm="1">
        <f t="array" ref="AQ79">Vega(AK79,$B$2,$AQ$71,$D$2,$E$2,$F$4)</f>
        <v>25.291422770740372</v>
      </c>
      <c r="AR79" s="4" cm="1">
        <f t="array" ref="AR79">Vega(AK79,$B$2,$AR$71,$D$2,$E$2,$F$4)</f>
        <v>28.155342127741203</v>
      </c>
      <c r="AS79" s="4" cm="1">
        <f t="array" ref="AS79">Vega(AK79,$B$2,$AS$71,$D$2,$E$2,$F$4)</f>
        <v>30.78011597429861</v>
      </c>
      <c r="AT79" s="4" cm="1">
        <f t="array" ref="AT79">Vega(AK79,$B$2,$AT$71,$D$2,$E$2,$F$4)</f>
        <v>33.21183411449131</v>
      </c>
      <c r="AU79" s="4" cm="1">
        <f t="array" ref="AU79">Vega(AK79,$B$2,$AU$71,$D$2,$E$2,$F$4)</f>
        <v>35.483868952949422</v>
      </c>
      <c r="AV79" s="4" cm="1">
        <f t="array" ref="AV79">Vega(AK79,$B$2,$AV$71,$D$2,$E$2,$F$4)</f>
        <v>52.993901401176288</v>
      </c>
      <c r="AW79" s="4" cm="1">
        <f t="array" ref="AW79">Vega(AK79,$B$2,$AW$71,$D$2,$E$2,$F$4)</f>
        <v>65.600571654605972</v>
      </c>
      <c r="AX79" s="4" cm="1">
        <f t="array" ref="AX79">Vega(AK79,$B$2,$AX$71,$D$2,$E$2,$F$4)</f>
        <v>75.727241342456978</v>
      </c>
      <c r="AY79" s="5" cm="1">
        <f t="array" ref="AY79">Vega(AK79,$B$2,$AY$71,$D$2,$E$2,$F$4)</f>
        <v>84.270952755154966</v>
      </c>
    </row>
    <row r="80" spans="1:51" x14ac:dyDescent="0.3">
      <c r="A80" s="1">
        <v>100</v>
      </c>
      <c r="B80" s="4" cm="1">
        <f t="array" ref="B80">Vega(A80,$B$2,$B$71,$D$2,$E$2,$F$2)</f>
        <v>12.60147797002052</v>
      </c>
      <c r="C80" s="4" cm="1">
        <f t="array" ref="C80">Vega(A80,$B$2,$C$71,$D$2,$E$2,$F$2)</f>
        <v>17.80114349570453</v>
      </c>
      <c r="D80" s="4" cm="1">
        <f t="array" ref="D80">Vega(A80,$B$2,$D$71,$D$2,$E$2,$F$2)</f>
        <v>21.777345900985232</v>
      </c>
      <c r="E80" s="4" cm="1">
        <f t="array" ref="E80">Vega(A80,$B$2,$E$71,$D$2,$E$2,$F$2)</f>
        <v>25.118039341108513</v>
      </c>
      <c r="F80" s="4" cm="1">
        <f t="array" ref="F80">Vega(A80,$B$2,$F$71,$D$2,$E$2,$F$2)</f>
        <v>28.051246304186257</v>
      </c>
      <c r="G80" s="4" cm="1">
        <f t="array" ref="G80">Vega(A80,$B$2,$G$71,$D$2,$E$2,$F$2)</f>
        <v>30.69405049619952</v>
      </c>
      <c r="H80" s="4" cm="1">
        <f t="array" ref="H80">Vega(A80,$B$2,$H$71,$D$2,$E$2,$F$2)</f>
        <v>33.116087146110289</v>
      </c>
      <c r="I80" s="4" cm="1">
        <f t="array" ref="I80">Vega(A80,$B$2,$I$71,$D$2,$E$2,$F$2)</f>
        <v>35.362780796997576</v>
      </c>
      <c r="J80" s="4" cm="1">
        <f t="array" ref="J80">Vega(A80,$B$2,$J$71,$D$2,$E$2,$F$2)</f>
        <v>37.465720501521851</v>
      </c>
      <c r="K80" s="4" cm="1">
        <f t="array" ref="K80">Vega(A80,$B$2,$K$71,$D$2,$E$2,$F$2)</f>
        <v>39.447933090788894</v>
      </c>
      <c r="L80" s="4" cm="1">
        <f t="array" ref="L80">Vega(A80,$B$2,$L$71,$D$2,$E$2,$F$2)</f>
        <v>55.163706332541196</v>
      </c>
      <c r="M80" s="4" cm="1">
        <f t="array" ref="M80">Vega(A80,$B$2,$M$71,$D$2,$E$2,$F$2)</f>
        <v>66.805659306916709</v>
      </c>
      <c r="N80" s="4" cm="1">
        <f t="array" ref="N80">Vega(A80,$B$2,$N$71,$D$2,$E$2,$F$2)</f>
        <v>76.277563092104828</v>
      </c>
      <c r="O80" s="5" cm="1">
        <f t="array" ref="O80">Vega(A80,$B$2,$O$71,$D$2,$E$2,$F$2)</f>
        <v>84.326874401380636</v>
      </c>
      <c r="S80" s="1">
        <v>100</v>
      </c>
      <c r="T80" s="4" cm="1">
        <f t="array" ref="T80">Vega(S80,$B$2,$T$71,$D$2,$E$2,$F$3)</f>
        <v>12.594479093238515</v>
      </c>
      <c r="U80" s="4" cm="1">
        <f t="array" ref="U80">Vega(S80,$B$2,$U$71,$D$2,$E$2,$F$3)</f>
        <v>17.78137543166752</v>
      </c>
      <c r="V80" s="4" cm="1">
        <f t="array" ref="V80">Vega(S80,$B$2,$V$71,$D$2,$E$2,$F$3)</f>
        <v>21.741080554000831</v>
      </c>
      <c r="W80" s="4" cm="1">
        <f t="array" ref="W80">Vega(S80,$B$2,$W$71,$D$2,$E$2,$F$3)</f>
        <v>25.062283449841154</v>
      </c>
      <c r="X80" s="4" cm="1">
        <f t="array" ref="X80">Vega(S80,$B$2,$X$71,$D$2,$E$2,$F$3)</f>
        <v>27.973434297828003</v>
      </c>
      <c r="Y80" s="4" cm="1">
        <f t="array" ref="Y80">Vega(S80,$B$2,$Y$71,$D$2,$E$2,$F$3)</f>
        <v>30.591907327736617</v>
      </c>
      <c r="Z80" s="4" cm="1">
        <f t="array" ref="Z80">Vega(S80,$B$2,$Z$71,$D$2,$E$2,$F$3)</f>
        <v>32.987552453324305</v>
      </c>
      <c r="AA80" s="4" cm="1">
        <f t="array" ref="AA80">Vega(S80,$B$2,$AA$71,$D$2,$E$2,$F$3)</f>
        <v>35.205961627525987</v>
      </c>
      <c r="AB80" s="4" cm="1">
        <f t="array" ref="AB80">Vega(S80,$B$2,$AB$71,$D$2,$E$2,$F$3)</f>
        <v>37.278859440959366</v>
      </c>
      <c r="AC80" s="4" cm="1">
        <f t="array" ref="AC80">Vega(S80,$B$2,$AC$71,$D$2,$E$2,$F$3)</f>
        <v>39.229385545573265</v>
      </c>
      <c r="AD80" s="4" cm="1">
        <f t="array" ref="AD80">Vega(S80,$B$2,$AD$71,$D$2,$E$2,$F$3)</f>
        <v>54.554168852462226</v>
      </c>
      <c r="AE80" s="4" cm="1">
        <f t="array" ref="AE80">Vega(S80,$B$2,$AE$71,$D$2,$E$2,$F$3)</f>
        <v>65.701458882085063</v>
      </c>
      <c r="AF80" s="4" cm="1">
        <f t="array" ref="AF80">Vega(S80,$B$2,$AF$71,$D$2,$E$2,$F$3)</f>
        <v>74.601201361465712</v>
      </c>
      <c r="AG80" s="5" cm="1">
        <f t="array" ref="AG80">Vega(S80,$B$2,$AG$71,$D$2,$E$2,$F$3)</f>
        <v>82.016695584010805</v>
      </c>
      <c r="AK80" s="1">
        <v>100</v>
      </c>
      <c r="AL80" s="4" cm="1">
        <f t="array" ref="AL80">Vega(AK80,$B$2,$AL$71,$D$2,$E$2,$F$4)</f>
        <v>12.60147797002052</v>
      </c>
      <c r="AM80" s="4" cm="1">
        <f t="array" ref="AM80">Vega(AK80,$B$2,$AM$71,$D$2,$E$2,$F$4)</f>
        <v>17.80114349570453</v>
      </c>
      <c r="AN80" s="4" cm="1">
        <f t="array" ref="AN80">Vega(AK80,$B$2,$AN$71,$D$2,$E$2,$F$4)</f>
        <v>21.777345900985232</v>
      </c>
      <c r="AO80" s="4" cm="1">
        <f t="array" ref="AO80">Vega(AK80,$B$2,$AO$71,$D$2,$E$2,$F$4)</f>
        <v>25.118039341108513</v>
      </c>
      <c r="AP80" s="4" cm="1">
        <f t="array" ref="AP80">Vega(AK80,$B$2,$AP$71,$D$2,$E$2,$F$4)</f>
        <v>28.051246304186257</v>
      </c>
      <c r="AQ80" s="4" cm="1">
        <f t="array" ref="AQ80">Vega(AK80,$B$2,$AQ$71,$D$2,$E$2,$F$4)</f>
        <v>30.69405049619952</v>
      </c>
      <c r="AR80" s="4" cm="1">
        <f t="array" ref="AR80">Vega(AK80,$B$2,$AR$71,$D$2,$E$2,$F$4)</f>
        <v>33.116087146110289</v>
      </c>
      <c r="AS80" s="4" cm="1">
        <f t="array" ref="AS80">Vega(AK80,$B$2,$AS$71,$D$2,$E$2,$F$4)</f>
        <v>35.362780796997576</v>
      </c>
      <c r="AT80" s="4" cm="1">
        <f t="array" ref="AT80">Vega(AK80,$B$2,$AT$71,$D$2,$E$2,$F$4)</f>
        <v>37.465720501521851</v>
      </c>
      <c r="AU80" s="4" cm="1">
        <f t="array" ref="AU80">Vega(AK80,$B$2,$AU$71,$D$2,$E$2,$F$4)</f>
        <v>39.447933090788894</v>
      </c>
      <c r="AV80" s="4" cm="1">
        <f t="array" ref="AV80">Vega(AK80,$B$2,$AV$71,$D$2,$E$2,$F$4)</f>
        <v>55.163706332541196</v>
      </c>
      <c r="AW80" s="4" cm="1">
        <f t="array" ref="AW80">Vega(AK80,$B$2,$AW$71,$D$2,$E$2,$F$4)</f>
        <v>66.805659306916709</v>
      </c>
      <c r="AX80" s="4" cm="1">
        <f t="array" ref="AX80">Vega(AK80,$B$2,$AX$71,$D$2,$E$2,$F$4)</f>
        <v>76.277563092104828</v>
      </c>
      <c r="AY80" s="5" cm="1">
        <f t="array" ref="AY80">Vega(AK80,$B$2,$AY$71,$D$2,$E$2,$F$4)</f>
        <v>84.326874401380636</v>
      </c>
    </row>
    <row r="81" spans="1:51" x14ac:dyDescent="0.3">
      <c r="A81" s="1">
        <v>105</v>
      </c>
      <c r="B81" s="4" cm="1">
        <f t="array" ref="B81">Vega(A81,$B$2,$B$71,$D$2,$E$2,$F$2)</f>
        <v>9.4730567005775868</v>
      </c>
      <c r="C81" s="4" cm="1">
        <f t="array" ref="C81">Vega(A81,$B$2,$C$71,$D$2,$E$2,$F$2)</f>
        <v>15.528549456541477</v>
      </c>
      <c r="D81" s="4" cm="1">
        <f t="array" ref="D81">Vega(A81,$B$2,$D$71,$D$2,$E$2,$F$2)</f>
        <v>19.963011175668893</v>
      </c>
      <c r="E81" s="4" cm="1">
        <f t="array" ref="E81">Vega(A81,$B$2,$E$71,$D$2,$E$2,$F$2)</f>
        <v>23.603472101352111</v>
      </c>
      <c r="F81" s="4" cm="1">
        <f t="array" ref="F81">Vega(A81,$B$2,$F$71,$D$2,$E$2,$F$2)</f>
        <v>26.754925856393442</v>
      </c>
      <c r="G81" s="4" cm="1">
        <f t="array" ref="G81">Vega(A81,$B$2,$G$71,$D$2,$E$2,$F$2)</f>
        <v>29.567419013929417</v>
      </c>
      <c r="H81" s="4" cm="1">
        <f t="array" ref="H81">Vega(A81,$B$2,$H$71,$D$2,$E$2,$F$2)</f>
        <v>32.127364650068387</v>
      </c>
      <c r="I81" s="4" cm="1">
        <f t="array" ref="I81">Vega(A81,$B$2,$I$71,$D$2,$E$2,$F$2)</f>
        <v>34.489758203526321</v>
      </c>
      <c r="J81" s="4" cm="1">
        <f t="array" ref="J81">Vega(A81,$B$2,$J$71,$D$2,$E$2,$F$2)</f>
        <v>36.692108772311308</v>
      </c>
      <c r="K81" s="4" cm="1">
        <f t="array" ref="K81">Vega(A81,$B$2,$K$71,$D$2,$E$2,$F$2)</f>
        <v>38.761333572648297</v>
      </c>
      <c r="L81" s="4" cm="1">
        <f t="array" ref="L81">Vega(A81,$B$2,$L$71,$D$2,$E$2,$F$2)</f>
        <v>55.016040235427909</v>
      </c>
      <c r="M81" s="4" cm="1">
        <f t="array" ref="M81">Vega(A81,$B$2,$M$71,$D$2,$E$2,$F$2)</f>
        <v>66.958074580380099</v>
      </c>
      <c r="N81" s="4" cm="1">
        <f t="array" ref="N81">Vega(A81,$B$2,$N$71,$D$2,$E$2,$F$2)</f>
        <v>76.641397953105823</v>
      </c>
      <c r="O81" s="5" cm="1">
        <f t="array" ref="O81">Vega(A81,$B$2,$O$71,$D$2,$E$2,$F$2)</f>
        <v>84.855257304543272</v>
      </c>
      <c r="S81" s="1">
        <v>105</v>
      </c>
      <c r="T81" s="4" cm="1">
        <f t="array" ref="T81">Vega(S81,$B$2,$T$71,$D$2,$E$2,$F$3)</f>
        <v>11.245674973430274</v>
      </c>
      <c r="U81" s="4" cm="1">
        <f t="array" ref="U81">Vega(S81,$B$2,$U$71,$D$2,$E$2,$F$3)</f>
        <v>16.962433257069016</v>
      </c>
      <c r="V81" s="4" cm="1">
        <f t="array" ref="V81">Vega(S81,$B$2,$V$71,$D$2,$E$2,$F$3)</f>
        <v>21.201979956829657</v>
      </c>
      <c r="W81" s="4" cm="1">
        <f t="array" ref="W81">Vega(S81,$B$2,$W$71,$D$2,$E$2,$F$3)</f>
        <v>24.711674739236781</v>
      </c>
      <c r="X81" s="4" cm="1">
        <f t="array" ref="X81">Vega(S81,$B$2,$X$71,$D$2,$E$2,$F$3)</f>
        <v>27.765089504983582</v>
      </c>
      <c r="Y81" s="4" cm="1">
        <f t="array" ref="Y81">Vega(S81,$B$2,$Y$71,$D$2,$E$2,$F$3)</f>
        <v>30.498209522504144</v>
      </c>
      <c r="Z81" s="4" cm="1">
        <f t="array" ref="Z81">Vega(S81,$B$2,$Z$71,$D$2,$E$2,$F$3)</f>
        <v>32.9902329120264</v>
      </c>
      <c r="AA81" s="4" cm="1">
        <f t="array" ref="AA81">Vega(S81,$B$2,$AA$71,$D$2,$E$2,$F$3)</f>
        <v>35.292069317520948</v>
      </c>
      <c r="AB81" s="4" cm="1">
        <f t="array" ref="AB81">Vega(S81,$B$2,$AB$71,$D$2,$E$2,$F$3)</f>
        <v>37.438741076876994</v>
      </c>
      <c r="AC81" s="4" cm="1">
        <f t="array" ref="AC81">Vega(S81,$B$2,$AC$71,$D$2,$E$2,$F$3)</f>
        <v>39.455567305177858</v>
      </c>
      <c r="AD81" s="4" cm="1">
        <f t="array" ref="AD81">Vega(S81,$B$2,$AD$71,$D$2,$E$2,$F$3)</f>
        <v>55.232725998867295</v>
      </c>
      <c r="AE81" s="4" cm="1">
        <f t="array" ref="AE81">Vega(S81,$B$2,$AE$71,$D$2,$E$2,$F$3)</f>
        <v>66.665447263519582</v>
      </c>
      <c r="AF81" s="4" cm="1">
        <f t="array" ref="AF81">Vega(S81,$B$2,$AF$71,$D$2,$E$2,$F$3)</f>
        <v>75.77923734443003</v>
      </c>
      <c r="AG81" s="5" cm="1">
        <f t="array" ref="AG81">Vega(S81,$B$2,$AG$71,$D$2,$E$2,$F$3)</f>
        <v>83.36693817808883</v>
      </c>
      <c r="AK81" s="1">
        <v>105</v>
      </c>
      <c r="AL81" s="4" cm="1">
        <f t="array" ref="AL81">Vega(AK81,$B$2,$AL$71,$D$2,$E$2,$F$4)</f>
        <v>3.7403491562746787</v>
      </c>
      <c r="AM81" s="4" cm="1">
        <f t="array" ref="AM81">Vega(AK81,$B$2,$AM$71,$D$2,$E$2,$F$4)</f>
        <v>9.5806705523719593</v>
      </c>
      <c r="AN81" s="4" cm="1">
        <f t="array" ref="AN81">Vega(AK81,$B$2,$AN$71,$D$2,$E$2,$F$4)</f>
        <v>14.292407924672718</v>
      </c>
      <c r="AO81" s="4" cm="1">
        <f t="array" ref="AO81">Vega(AK81,$B$2,$AO$71,$D$2,$E$2,$F$4)</f>
        <v>18.20381504187749</v>
      </c>
      <c r="AP81" s="4" cm="1">
        <f t="array" ref="AP81">Vega(AK81,$B$2,$AP$71,$D$2,$E$2,$F$4)</f>
        <v>21.576180864022366</v>
      </c>
      <c r="AQ81" s="4" cm="1">
        <f t="array" ref="AQ81">Vega(AK81,$B$2,$AQ$71,$D$2,$E$2,$F$4)</f>
        <v>24.564453432089618</v>
      </c>
      <c r="AR81" s="4" cm="1">
        <f t="array" ref="AR81">Vega(AK81,$B$2,$AR$71,$D$2,$E$2,$F$4)</f>
        <v>27.264617640732549</v>
      </c>
      <c r="AS81" s="4" cm="1">
        <f t="array" ref="AS81">Vega(AK81,$B$2,$AS$71,$D$2,$E$2,$F$4)</f>
        <v>29.739757516778266</v>
      </c>
      <c r="AT81" s="4" cm="1">
        <f t="array" ref="AT81">Vega(AK81,$B$2,$AT$71,$D$2,$E$2,$F$4)</f>
        <v>32.03350599422987</v>
      </c>
      <c r="AU81" s="4" cm="1">
        <f t="array" ref="AU81">Vega(AK81,$B$2,$AU$71,$D$2,$E$2,$F$4)</f>
        <v>34.177330202865697</v>
      </c>
      <c r="AV81" s="4" cm="1">
        <f t="array" ref="AV81">Vega(AK81,$B$2,$AV$71,$D$2,$E$2,$F$4)</f>
        <v>50.723948597035537</v>
      </c>
      <c r="AW81" s="4" cm="1">
        <f t="array" ref="AW81">Vega(AK81,$B$2,$AW$71,$D$2,$E$2,$F$4)</f>
        <v>62.659671715556563</v>
      </c>
      <c r="AX81" s="4" cm="1">
        <f t="array" ref="AX81">Vega(AK81,$B$2,$AX$71,$D$2,$E$2,$F$4)</f>
        <v>72.256894624086897</v>
      </c>
      <c r="AY81" s="5" cm="1">
        <f t="array" ref="AY81">Vega(AK81,$B$2,$AY$71,$D$2,$E$2,$F$4)</f>
        <v>80.358729178703982</v>
      </c>
    </row>
    <row r="82" spans="1:51" x14ac:dyDescent="0.3">
      <c r="A82" s="1">
        <v>110</v>
      </c>
      <c r="B82" s="4" cm="1">
        <f t="array" ref="B82">Vega(A82,$B$2,$B$71,$D$2,$E$2,$F$2)</f>
        <v>4.1459744625109485</v>
      </c>
      <c r="C82" s="4" cm="1">
        <f t="array" ref="C82">Vega(A82,$B$2,$C$71,$D$2,$E$2,$F$2)</f>
        <v>10.332955422391688</v>
      </c>
      <c r="D82" s="4" cm="1">
        <f t="array" ref="D82">Vega(A82,$B$2,$D$71,$D$2,$E$2,$F$2)</f>
        <v>15.274679608962337</v>
      </c>
      <c r="E82" s="4" cm="1">
        <f t="array" ref="E82">Vega(A82,$B$2,$E$71,$D$2,$E$2,$F$2)</f>
        <v>19.366366629160034</v>
      </c>
      <c r="F82" s="4" cm="1">
        <f t="array" ref="F82">Vega(A82,$B$2,$F$71,$D$2,$E$2,$F$2)</f>
        <v>22.89136689728651</v>
      </c>
      <c r="G82" s="4" cm="1">
        <f t="array" ref="G82">Vega(A82,$B$2,$G$71,$D$2,$E$2,$F$2)</f>
        <v>26.014283512817954</v>
      </c>
      <c r="H82" s="4" cm="1">
        <f t="array" ref="H82">Vega(A82,$B$2,$H$71,$D$2,$E$2,$F$2)</f>
        <v>28.836210247206257</v>
      </c>
      <c r="I82" s="4" cm="1">
        <f t="array" ref="I82">Vega(A82,$B$2,$I$71,$D$2,$E$2,$F$2)</f>
        <v>31.423293448931329</v>
      </c>
      <c r="J82" s="4" cm="1">
        <f t="array" ref="J82">Vega(A82,$B$2,$J$71,$D$2,$E$2,$F$2)</f>
        <v>33.821167077407694</v>
      </c>
      <c r="K82" s="4" cm="1">
        <f t="array" ref="K82">Vega(A82,$B$2,$K$71,$D$2,$E$2,$F$2)</f>
        <v>36.062690186445991</v>
      </c>
      <c r="L82" s="4" cm="1">
        <f t="array" ref="L82">Vega(A82,$B$2,$L$71,$D$2,$E$2,$F$2)</f>
        <v>53.375807389774835</v>
      </c>
      <c r="M82" s="4" cm="1">
        <f t="array" ref="M82">Vega(A82,$B$2,$M$71,$D$2,$E$2,$F$2)</f>
        <v>65.875408995911101</v>
      </c>
      <c r="N82" s="4" cm="1">
        <f t="array" ref="N82">Vega(A82,$B$2,$N$71,$D$2,$E$2,$F$2)</f>
        <v>75.930525448770609</v>
      </c>
      <c r="O82" s="5" cm="1">
        <f t="array" ref="O82">Vega(A82,$B$2,$O$71,$D$2,$E$2,$F$2)</f>
        <v>84.421159741338542</v>
      </c>
      <c r="S82" s="1">
        <v>110</v>
      </c>
      <c r="T82" s="4" cm="1">
        <f t="array" ref="T82">Vega(S82,$B$2,$T$71,$D$2,$E$2,$F$3)</f>
        <v>7.8904665626496842</v>
      </c>
      <c r="U82" s="4" cm="1">
        <f t="array" ref="U82">Vega(S82,$B$2,$U$71,$D$2,$E$2,$F$3)</f>
        <v>14.337557290741064</v>
      </c>
      <c r="V82" s="4" cm="1">
        <f t="array" ref="V82">Vega(S82,$B$2,$V$71,$D$2,$E$2,$F$3)</f>
        <v>19.068654650481346</v>
      </c>
      <c r="W82" s="4" cm="1">
        <f t="array" ref="W82">Vega(S82,$B$2,$W$71,$D$2,$E$2,$F$3)</f>
        <v>22.925780102263243</v>
      </c>
      <c r="X82" s="4" cm="1">
        <f t="array" ref="X82">Vega(S82,$B$2,$X$71,$D$2,$E$2,$F$3)</f>
        <v>26.242669261937365</v>
      </c>
      <c r="Y82" s="4" cm="1">
        <f t="array" ref="Y82">Vega(S82,$B$2,$Y$71,$D$2,$E$2,$F$3)</f>
        <v>29.186001251802374</v>
      </c>
      <c r="Z82" s="4" cm="1">
        <f t="array" ref="Z82">Vega(S82,$B$2,$Z$71,$D$2,$E$2,$F$3)</f>
        <v>31.851990708534011</v>
      </c>
      <c r="AA82" s="4" cm="1">
        <f t="array" ref="AA82">Vega(S82,$B$2,$AA$71,$D$2,$E$2,$F$3)</f>
        <v>34.301770068622474</v>
      </c>
      <c r="AB82" s="4" cm="1">
        <f t="array" ref="AB82">Vega(S82,$B$2,$AB$71,$D$2,$E$2,$F$3)</f>
        <v>36.576911327852024</v>
      </c>
      <c r="AC82" s="4" cm="1">
        <f t="array" ref="AC82">Vega(S82,$B$2,$AC$71,$D$2,$E$2,$F$3)</f>
        <v>38.707149777283803</v>
      </c>
      <c r="AD82" s="4" cm="1">
        <f t="array" ref="AD82">Vega(S82,$B$2,$AD$71,$D$2,$E$2,$F$3)</f>
        <v>55.203468373902709</v>
      </c>
      <c r="AE82" s="4" cm="1">
        <f t="array" ref="AE82">Vega(S82,$B$2,$AE$71,$D$2,$E$2,$F$3)</f>
        <v>67.044992368410149</v>
      </c>
      <c r="AF82" s="4" cm="1">
        <f t="array" ref="AF82">Vega(S82,$B$2,$AF$71,$D$2,$E$2,$F$3)</f>
        <v>76.447556683033994</v>
      </c>
      <c r="AG82" s="5" cm="1">
        <f t="array" ref="AG82">Vega(S82,$B$2,$AG$71,$D$2,$E$2,$F$3)</f>
        <v>84.258928010075778</v>
      </c>
      <c r="AK82" s="1">
        <v>110</v>
      </c>
      <c r="AL82" s="4" cm="1">
        <f t="array" ref="AL82">Vega(AK82,$B$2,$AL$71,$D$2,$E$2,$F$4)</f>
        <v>0.12798321316875713</v>
      </c>
      <c r="AM82" s="4" cm="1">
        <f t="array" ref="AM82">Vega(AK82,$B$2,$AM$71,$D$2,$E$2,$F$4)</f>
        <v>1.7517232418946858</v>
      </c>
      <c r="AN82" s="4" cm="1">
        <f t="array" ref="AN82">Vega(AK82,$B$2,$AN$71,$D$2,$E$2,$F$4)</f>
        <v>4.5686150128548206</v>
      </c>
      <c r="AO82" s="4" cm="1">
        <f t="array" ref="AO82">Vega(AK82,$B$2,$AO$71,$D$2,$E$2,$F$4)</f>
        <v>7.6938968689493707</v>
      </c>
      <c r="AP82" s="4" cm="1">
        <f t="array" ref="AP82">Vega(AK82,$B$2,$AP$71,$D$2,$E$2,$F$4)</f>
        <v>10.783044375026947</v>
      </c>
      <c r="AQ82" s="4" cm="1">
        <f t="array" ref="AQ82">Vega(AK82,$B$2,$AQ$71,$D$2,$E$2,$F$4)</f>
        <v>13.727638643411783</v>
      </c>
      <c r="AR82" s="4" cm="1">
        <f t="array" ref="AR82">Vega(AK82,$B$2,$AR$71,$D$2,$E$2,$F$4)</f>
        <v>16.502382731650936</v>
      </c>
      <c r="AS82" s="4" cm="1">
        <f t="array" ref="AS82">Vega(AK82,$B$2,$AS$71,$D$2,$E$2,$F$4)</f>
        <v>19.110786021475306</v>
      </c>
      <c r="AT82" s="4" cm="1">
        <f t="array" ref="AT82">Vega(AK82,$B$2,$AT$71,$D$2,$E$2,$F$4)</f>
        <v>21.56567544412437</v>
      </c>
      <c r="AU82" s="4" cm="1">
        <f t="array" ref="AU82">Vega(AK82,$B$2,$AU$71,$D$2,$E$2,$F$4)</f>
        <v>23.882000168449917</v>
      </c>
      <c r="AV82" s="4" cm="1">
        <f t="array" ref="AV82">Vega(AK82,$B$2,$AV$71,$D$2,$E$2,$F$4)</f>
        <v>41.911044907526822</v>
      </c>
      <c r="AW82" s="4" cm="1">
        <f t="array" ref="AW82">Vega(AK82,$B$2,$AW$71,$D$2,$E$2,$F$4)</f>
        <v>54.747527123167771</v>
      </c>
      <c r="AX82" s="4" cm="1">
        <f t="array" ref="AX82">Vega(AK82,$B$2,$AX$71,$D$2,$E$2,$F$4)</f>
        <v>64.921143972907117</v>
      </c>
      <c r="AY82" s="5" cm="1">
        <f t="array" ref="AY82">Vega(AK82,$B$2,$AY$71,$D$2,$E$2,$F$4)</f>
        <v>73.420648836426452</v>
      </c>
    </row>
    <row r="83" spans="1:51" x14ac:dyDescent="0.3">
      <c r="A83" s="1">
        <v>115</v>
      </c>
      <c r="B83" s="4" cm="1">
        <f t="array" ref="B83">Vega(A83,$B$2,$B$71,$D$2,$E$2,$F$2)</f>
        <v>1.1355073152064601</v>
      </c>
      <c r="C83" s="4" cm="1">
        <f t="array" ref="C83">Vega(A83,$B$2,$C$71,$D$2,$E$2,$F$2)</f>
        <v>5.4377515022381848</v>
      </c>
      <c r="D83" s="4" cm="1">
        <f t="array" ref="D83">Vega(A83,$B$2,$D$71,$D$2,$E$2,$F$2)</f>
        <v>9.9933417595957987</v>
      </c>
      <c r="E83" s="4" cm="1">
        <f t="array" ref="E83">Vega(A83,$B$2,$E$71,$D$2,$E$2,$F$2)</f>
        <v>14.127284601816148</v>
      </c>
      <c r="F83" s="4" cm="1">
        <f t="array" ref="F83">Vega(A83,$B$2,$F$71,$D$2,$E$2,$F$2)</f>
        <v>17.82565184338004</v>
      </c>
      <c r="G83" s="4" cm="1">
        <f t="array" ref="G83">Vega(A83,$B$2,$G$71,$D$2,$E$2,$F$2)</f>
        <v>21.158960540408664</v>
      </c>
      <c r="H83" s="4" cm="1">
        <f t="array" ref="H83">Vega(A83,$B$2,$H$71,$D$2,$E$2,$F$2)</f>
        <v>24.195071188978151</v>
      </c>
      <c r="I83" s="4" cm="1">
        <f t="array" ref="I83">Vega(A83,$B$2,$I$71,$D$2,$E$2,$F$2)</f>
        <v>26.987963743602148</v>
      </c>
      <c r="J83" s="4" cm="1">
        <f t="array" ref="J83">Vega(A83,$B$2,$J$71,$D$2,$E$2,$F$2)</f>
        <v>29.5791479187344</v>
      </c>
      <c r="K83" s="4" cm="1">
        <f t="array" ref="K83">Vega(A83,$B$2,$K$71,$D$2,$E$2,$F$2)</f>
        <v>32.000599329500922</v>
      </c>
      <c r="L83" s="4" cm="1">
        <f t="array" ref="L83">Vega(A83,$B$2,$L$71,$D$2,$E$2,$F$2)</f>
        <v>50.560061959578547</v>
      </c>
      <c r="M83" s="4" cm="1">
        <f t="array" ref="M83">Vega(A83,$B$2,$M$71,$D$2,$E$2,$F$2)</f>
        <v>63.773587385453709</v>
      </c>
      <c r="N83" s="4" cm="1">
        <f t="array" ref="N83">Vega(A83,$B$2,$N$71,$D$2,$E$2,$F$2)</f>
        <v>74.312371276717002</v>
      </c>
      <c r="O83" s="5" cm="1">
        <f t="array" ref="O83">Vega(A83,$B$2,$O$71,$D$2,$E$2,$F$2)</f>
        <v>83.163420463033972</v>
      </c>
      <c r="S83" s="1">
        <v>115</v>
      </c>
      <c r="T83" s="4" cm="1">
        <f t="array" ref="T83">Vega(S83,$B$2,$T$71,$D$2,$E$2,$F$3)</f>
        <v>4.4925546239266927</v>
      </c>
      <c r="U83" s="4" cm="1">
        <f t="array" ref="U83">Vega(S83,$B$2,$U$71,$D$2,$E$2,$F$3)</f>
        <v>10.912500779394538</v>
      </c>
      <c r="V83" s="4" cm="1">
        <f t="array" ref="V83">Vega(S83,$B$2,$V$71,$D$2,$E$2,$F$3)</f>
        <v>15.98779807314763</v>
      </c>
      <c r="W83" s="4" cm="1">
        <f t="array" ref="W83">Vega(S83,$B$2,$W$71,$D$2,$E$2,$F$3)</f>
        <v>20.174485287319666</v>
      </c>
      <c r="X83" s="4" cm="1">
        <f t="array" ref="X83">Vega(S83,$B$2,$X$71,$D$2,$E$2,$F$3)</f>
        <v>23.773448946649211</v>
      </c>
      <c r="Y83" s="4" cm="1">
        <f t="array" ref="Y83">Vega(S83,$B$2,$Y$71,$D$2,$E$2,$F$3)</f>
        <v>26.956448745123339</v>
      </c>
      <c r="Z83" s="4" cm="1">
        <f t="array" ref="Z83">Vega(S83,$B$2,$Z$71,$D$2,$E$2,$F$3)</f>
        <v>29.828227300311028</v>
      </c>
      <c r="AA83" s="4" cm="1">
        <f t="array" ref="AA83">Vega(S83,$B$2,$AA$71,$D$2,$E$2,$F$3)</f>
        <v>32.457082698947879</v>
      </c>
      <c r="AB83" s="4" cm="1">
        <f t="array" ref="AB83">Vega(S83,$B$2,$AB$71,$D$2,$E$2,$F$3)</f>
        <v>34.890050929444229</v>
      </c>
      <c r="AC83" s="4" cm="1">
        <f t="array" ref="AC83">Vega(S83,$B$2,$AC$71,$D$2,$E$2,$F$3)</f>
        <v>37.160972039984983</v>
      </c>
      <c r="AD83" s="4" cm="1">
        <f t="array" ref="AD83">Vega(S83,$B$2,$AD$71,$D$2,$E$2,$F$3)</f>
        <v>54.559211011452071</v>
      </c>
      <c r="AE83" s="4" cm="1">
        <f t="array" ref="AE83">Vega(S83,$B$2,$AE$71,$D$2,$E$2,$F$3)</f>
        <v>66.906761646336719</v>
      </c>
      <c r="AF83" s="4" cm="1">
        <f t="array" ref="AF83">Vega(S83,$B$2,$AF$71,$D$2,$E$2,$F$3)</f>
        <v>76.659899934282535</v>
      </c>
      <c r="AG83" s="5" cm="1">
        <f t="array" ref="AG83">Vega(S83,$B$2,$AG$71,$D$2,$E$2,$F$3)</f>
        <v>84.73857418774125</v>
      </c>
      <c r="AK83" s="1">
        <v>115</v>
      </c>
      <c r="AL83" s="4" cm="1">
        <f t="array" ref="AL83">Vega(AK83,$B$2,$AL$71,$D$2,$E$2,$F$4)</f>
        <v>6.7367205338682843E-4</v>
      </c>
      <c r="AM83" s="4" cm="1">
        <f t="array" ref="AM83">Vega(AK83,$B$2,$AM$71,$D$2,$E$2,$F$4)</f>
        <v>0.12568601723670414</v>
      </c>
      <c r="AN83" s="4" cm="1">
        <f t="array" ref="AN83">Vega(AK83,$B$2,$AN$71,$D$2,$E$2,$F$4)</f>
        <v>0.78303531906443402</v>
      </c>
      <c r="AO83" s="4" cm="1">
        <f t="array" ref="AO83">Vega(AK83,$B$2,$AO$71,$D$2,$E$2,$F$4)</f>
        <v>2.0381249613524028</v>
      </c>
      <c r="AP83" s="4" cm="1">
        <f t="array" ref="AP83">Vega(AK83,$B$2,$AP$71,$D$2,$E$2,$F$4)</f>
        <v>3.7091844871351078</v>
      </c>
      <c r="AQ83" s="4" cm="1">
        <f t="array" ref="AQ83">Vega(AK83,$B$2,$AQ$71,$D$2,$E$2,$F$4)</f>
        <v>5.6204093069575221</v>
      </c>
      <c r="AR83" s="4" cm="1">
        <f t="array" ref="AR83">Vega(AK83,$B$2,$AR$71,$D$2,$E$2,$F$4)</f>
        <v>7.6514510849957471</v>
      </c>
      <c r="AS83" s="4" cm="1">
        <f t="array" ref="AS83">Vega(AK83,$B$2,$AS$71,$D$2,$E$2,$F$4)</f>
        <v>9.7273487048199261</v>
      </c>
      <c r="AT83" s="4" cm="1">
        <f t="array" ref="AT83">Vega(AK83,$B$2,$AT$71,$D$2,$E$2,$F$4)</f>
        <v>11.803032678147579</v>
      </c>
      <c r="AU83" s="4" cm="1">
        <f t="array" ref="AU83">Vega(AK83,$B$2,$AU$71,$D$2,$E$2,$F$4)</f>
        <v>13.852014243074295</v>
      </c>
      <c r="AV83" s="4" cm="1">
        <f t="array" ref="AV83">Vega(AK83,$B$2,$AV$71,$D$2,$E$2,$F$4)</f>
        <v>31.566273567519072</v>
      </c>
      <c r="AW83" s="4" cm="1">
        <f t="array" ref="AW83">Vega(AK83,$B$2,$AW$71,$D$2,$E$2,$F$4)</f>
        <v>44.985946919602924</v>
      </c>
      <c r="AX83" s="4" cm="1">
        <f t="array" ref="AX83">Vega(AK83,$B$2,$AX$71,$D$2,$E$2,$F$4)</f>
        <v>55.719510030463624</v>
      </c>
      <c r="AY83" s="5" cm="1">
        <f t="array" ref="AY83">Vega(AK83,$B$2,$AY$71,$D$2,$E$2,$F$4)</f>
        <v>64.682173138278316</v>
      </c>
    </row>
    <row r="84" spans="1:51" x14ac:dyDescent="0.3">
      <c r="A84" s="1">
        <v>120</v>
      </c>
      <c r="B84" s="4" cm="1">
        <f t="array" ref="B84">Vega(A84,$B$2,$B$71,$D$2,$E$2,$F$2)</f>
        <v>0.20685250757256843</v>
      </c>
      <c r="C84" s="4" cm="1">
        <f t="array" ref="C84">Vega(A84,$B$2,$C$71,$D$2,$E$2,$F$2)</f>
        <v>2.3332711412433973</v>
      </c>
      <c r="D84" s="4" cm="1">
        <f t="array" ref="D84">Vega(A84,$B$2,$D$71,$D$2,$E$2,$F$2)</f>
        <v>5.7053408088958326</v>
      </c>
      <c r="E84" s="4" cm="1">
        <f t="array" ref="E84">Vega(A84,$B$2,$E$71,$D$2,$E$2,$F$2)</f>
        <v>9.3034075502440565</v>
      </c>
      <c r="F84" s="4" cm="1">
        <f t="array" ref="F84">Vega(A84,$B$2,$F$71,$D$2,$E$2,$F$2)</f>
        <v>12.788990708238194</v>
      </c>
      <c r="G84" s="4" cm="1">
        <f t="array" ref="G84">Vega(A84,$B$2,$G$71,$D$2,$E$2,$F$2)</f>
        <v>16.07274965988492</v>
      </c>
      <c r="H84" s="4" cm="1">
        <f t="array" ref="H84">Vega(A84,$B$2,$H$71,$D$2,$E$2,$F$2)</f>
        <v>19.144349454685667</v>
      </c>
      <c r="I84" s="4" cm="1">
        <f t="array" ref="I84">Vega(A84,$B$2,$I$71,$D$2,$E$2,$F$2)</f>
        <v>22.017713675499852</v>
      </c>
      <c r="J84" s="4" cm="1">
        <f t="array" ref="J84">Vega(A84,$B$2,$J$71,$D$2,$E$2,$F$2)</f>
        <v>24.712869597243461</v>
      </c>
      <c r="K84" s="4" cm="1">
        <f t="array" ref="K84">Vega(A84,$B$2,$K$71,$D$2,$E$2,$F$2)</f>
        <v>27.249840451049842</v>
      </c>
      <c r="L84" s="4" cm="1">
        <f t="array" ref="L84">Vega(A84,$B$2,$L$71,$D$2,$E$2,$F$2)</f>
        <v>46.905195347320536</v>
      </c>
      <c r="M84" s="4" cm="1">
        <f t="array" ref="M84">Vega(A84,$B$2,$M$71,$D$2,$E$2,$F$2)</f>
        <v>60.877484538879074</v>
      </c>
      <c r="N84" s="4" cm="1">
        <f t="array" ref="N84">Vega(A84,$B$2,$N$71,$D$2,$E$2,$F$2)</f>
        <v>71.957857026067117</v>
      </c>
      <c r="O84" s="5" cm="1">
        <f t="array" ref="O84">Vega(A84,$B$2,$O$71,$D$2,$E$2,$F$2)</f>
        <v>81.221348325030689</v>
      </c>
      <c r="S84" s="1">
        <v>120</v>
      </c>
      <c r="T84" s="4" cm="1">
        <f t="array" ref="T84">Vega(S84,$B$2,$T$71,$D$2,$E$2,$F$3)</f>
        <v>2.1327896525065615</v>
      </c>
      <c r="U84" s="4" cm="1">
        <f t="array" ref="U84">Vega(S84,$B$2,$U$71,$D$2,$E$2,$F$3)</f>
        <v>7.5813336945485403</v>
      </c>
      <c r="V84" s="4" cm="1">
        <f t="array" ref="V84">Vega(S84,$B$2,$V$71,$D$2,$E$2,$F$3)</f>
        <v>12.610496950196401</v>
      </c>
      <c r="W84" s="4" cm="1">
        <f t="array" ref="W84">Vega(S84,$B$2,$W$71,$D$2,$E$2,$F$3)</f>
        <v>16.955364143103456</v>
      </c>
      <c r="X84" s="4" cm="1">
        <f t="array" ref="X84">Vega(S84,$B$2,$X$71,$D$2,$E$2,$F$3)</f>
        <v>20.755515123786619</v>
      </c>
      <c r="Y84" s="4" cm="1">
        <f t="array" ref="Y84">Vega(S84,$B$2,$Y$71,$D$2,$E$2,$F$3)</f>
        <v>24.139509792774032</v>
      </c>
      <c r="Z84" s="4" cm="1">
        <f t="array" ref="Z84">Vega(S84,$B$2,$Z$71,$D$2,$E$2,$F$3)</f>
        <v>27.199931861420886</v>
      </c>
      <c r="AA84" s="4" cm="1">
        <f t="array" ref="AA84">Vega(S84,$B$2,$AA$71,$D$2,$E$2,$F$3)</f>
        <v>30.002386856514917</v>
      </c>
      <c r="AB84" s="4" cm="1">
        <f t="array" ref="AB84">Vega(S84,$B$2,$AB$71,$D$2,$E$2,$F$3)</f>
        <v>32.594284085625297</v>
      </c>
      <c r="AC84" s="4" cm="1">
        <f t="array" ref="AC84">Vega(S84,$B$2,$AC$71,$D$2,$E$2,$F$3)</f>
        <v>35.010774918133883</v>
      </c>
      <c r="AD84" s="4" cm="1">
        <f t="array" ref="AD84">Vega(S84,$B$2,$AD$71,$D$2,$E$2,$F$3)</f>
        <v>53.39731328135862</v>
      </c>
      <c r="AE84" s="4" cm="1">
        <f t="array" ref="AE84">Vega(S84,$B$2,$AE$71,$D$2,$E$2,$F$3)</f>
        <v>66.318326233497231</v>
      </c>
      <c r="AF84" s="4" cm="1">
        <f t="array" ref="AF84">Vega(S84,$B$2,$AF$71,$D$2,$E$2,$F$3)</f>
        <v>76.469439302491622</v>
      </c>
      <c r="AG84" s="5" cm="1">
        <f t="array" ref="AG84">Vega(S84,$B$2,$AG$71,$D$2,$E$2,$F$3)</f>
        <v>84.85051385262075</v>
      </c>
      <c r="AK84" s="1">
        <v>120</v>
      </c>
      <c r="AL84" s="4" cm="1">
        <f t="array" ref="AL84">Vega(AK84,$B$2,$AL$71,$D$2,$E$2,$F$4)</f>
        <v>6.9599615016725279E-7</v>
      </c>
      <c r="AM84" s="4" cm="1">
        <f t="array" ref="AM84">Vega(AK84,$B$2,$AM$71,$D$2,$E$2,$F$4)</f>
        <v>3.9971023224294197E-3</v>
      </c>
      <c r="AN84" s="4" cm="1">
        <f t="array" ref="AN84">Vega(AK84,$B$2,$AN$71,$D$2,$E$2,$F$4)</f>
        <v>7.8044023598122875E-2</v>
      </c>
      <c r="AO84" s="4" cm="1">
        <f t="array" ref="AO84">Vega(AK84,$B$2,$AO$71,$D$2,$E$2,$F$4)</f>
        <v>0.3596160837798813</v>
      </c>
      <c r="AP84" s="4" cm="1">
        <f t="array" ref="AP84">Vega(AK84,$B$2,$AP$71,$D$2,$E$2,$F$4)</f>
        <v>0.92196988092317333</v>
      </c>
      <c r="AQ84" s="4" cm="1">
        <f t="array" ref="AQ84">Vega(AK84,$B$2,$AQ$71,$D$2,$E$2,$F$4)</f>
        <v>1.7556027112756616</v>
      </c>
      <c r="AR84" s="4" cm="1">
        <f t="array" ref="AR84">Vega(AK84,$B$2,$AR$71,$D$2,$E$2,$F$4)</f>
        <v>2.8136724172845171</v>
      </c>
      <c r="AS84" s="4" cm="1">
        <f t="array" ref="AS84">Vega(AK84,$B$2,$AS$71,$D$2,$E$2,$F$4)</f>
        <v>4.0427583513910719</v>
      </c>
      <c r="AT84" s="4" cm="1">
        <f t="array" ref="AT84">Vega(AK84,$B$2,$AT$71,$D$2,$E$2,$F$4)</f>
        <v>5.3953369730765104</v>
      </c>
      <c r="AU84" s="4" cm="1">
        <f t="array" ref="AU84">Vega(AK84,$B$2,$AU$71,$D$2,$E$2,$F$4)</f>
        <v>6.8329969593104805</v>
      </c>
      <c r="AV84" s="4" cm="1">
        <f t="array" ref="AV84">Vega(AK84,$B$2,$AV$71,$D$2,$E$2,$F$4)</f>
        <v>21.93570584135686</v>
      </c>
      <c r="AW84" s="4" cm="1">
        <f t="array" ref="AW84">Vega(AK84,$B$2,$AW$71,$D$2,$E$2,$F$4)</f>
        <v>35.044120413266619</v>
      </c>
      <c r="AX84" s="4" cm="1">
        <f t="array" ref="AX84">Vega(AK84,$B$2,$AX$71,$D$2,$E$2,$F$4)</f>
        <v>45.956885215668855</v>
      </c>
      <c r="AY84" s="5" cm="1">
        <f t="array" ref="AY84">Vega(AK84,$B$2,$AY$71,$D$2,$E$2,$F$4)</f>
        <v>55.209129543356312</v>
      </c>
    </row>
    <row r="85" spans="1:51" x14ac:dyDescent="0.3">
      <c r="A85" s="1">
        <v>125</v>
      </c>
      <c r="B85" s="4" cm="1">
        <f t="array" ref="B85">Vega(A85,$B$2,$B$71,$D$2,$E$2,$F$2)</f>
        <v>2.6396322770578434E-2</v>
      </c>
      <c r="C85" s="4" cm="1">
        <f t="array" ref="C85">Vega(A85,$B$2,$C$71,$D$2,$E$2,$F$2)</f>
        <v>0.83776579671249984</v>
      </c>
      <c r="D85" s="4" cm="1">
        <f t="array" ref="D85">Vega(A85,$B$2,$D$71,$D$2,$E$2,$F$2)</f>
        <v>2.89199319495635</v>
      </c>
      <c r="E85" s="4" cm="1">
        <f t="array" ref="E85">Vega(A85,$B$2,$E$71,$D$2,$E$2,$F$2)</f>
        <v>5.6032093638267746</v>
      </c>
      <c r="F85" s="4" cm="1">
        <f t="array" ref="F85">Vega(A85,$B$2,$F$71,$D$2,$E$2,$F$2)</f>
        <v>8.5419800594485498</v>
      </c>
      <c r="G85" s="4" cm="1">
        <f t="array" ref="G85">Vega(A85,$B$2,$G$71,$D$2,$E$2,$F$2)</f>
        <v>11.501755031066587</v>
      </c>
      <c r="H85" s="4" cm="1">
        <f t="array" ref="H85">Vega(A85,$B$2,$H$71,$D$2,$E$2,$F$2)</f>
        <v>14.391583547437294</v>
      </c>
      <c r="I85" s="4" cm="1">
        <f t="array" ref="I85">Vega(A85,$B$2,$I$71,$D$2,$E$2,$F$2)</f>
        <v>17.174563874605031</v>
      </c>
      <c r="J85" s="4" cm="1">
        <f t="array" ref="J85">Vega(A85,$B$2,$J$71,$D$2,$E$2,$F$2)</f>
        <v>19.838851664708947</v>
      </c>
      <c r="K85" s="4" cm="1">
        <f t="array" ref="K85">Vega(A85,$B$2,$K$71,$D$2,$E$2,$F$2)</f>
        <v>22.384180561821136</v>
      </c>
      <c r="L85" s="4" cm="1">
        <f t="array" ref="L85">Vega(A85,$B$2,$L$71,$D$2,$E$2,$F$2)</f>
        <v>42.729288686192149</v>
      </c>
      <c r="M85" s="4" cm="1">
        <f t="array" ref="M85">Vega(A85,$B$2,$M$71,$D$2,$E$2,$F$2)</f>
        <v>57.403350128173741</v>
      </c>
      <c r="N85" s="4" cm="1">
        <f t="array" ref="N85">Vega(A85,$B$2,$N$71,$D$2,$E$2,$F$2)</f>
        <v>69.031398866778318</v>
      </c>
      <c r="O85" s="5" cm="1">
        <f t="array" ref="O85">Vega(A85,$B$2,$O$71,$D$2,$E$2,$F$2)</f>
        <v>78.728394585688918</v>
      </c>
      <c r="S85" s="1">
        <v>125</v>
      </c>
      <c r="T85" s="4" cm="1">
        <f t="array" ref="T85">Vega(S85,$B$2,$T$71,$D$2,$E$2,$F$3)</f>
        <v>0.86394717581212621</v>
      </c>
      <c r="U85" s="4" cm="1">
        <f t="array" ref="U85">Vega(S85,$B$2,$U$71,$D$2,$E$2,$F$3)</f>
        <v>4.8636515735941721</v>
      </c>
      <c r="V85" s="4" cm="1">
        <f t="array" ref="V85">Vega(S85,$B$2,$V$71,$D$2,$E$2,$F$3)</f>
        <v>9.4299256777715623</v>
      </c>
      <c r="W85" s="4" cm="1">
        <f t="array" ref="W85">Vega(S85,$B$2,$W$71,$D$2,$E$2,$F$3)</f>
        <v>13.688718821788127</v>
      </c>
      <c r="X85" s="4" cm="1">
        <f t="array" ref="X85">Vega(S85,$B$2,$X$71,$D$2,$E$2,$F$3)</f>
        <v>17.545145159162672</v>
      </c>
      <c r="Y85" s="4" cm="1">
        <f t="array" ref="Y85">Vega(S85,$B$2,$Y$71,$D$2,$E$2,$F$3)</f>
        <v>21.040872318835998</v>
      </c>
      <c r="Z85" s="4" cm="1">
        <f t="array" ref="Z85">Vega(S85,$B$2,$Z$71,$D$2,$E$2,$F$3)</f>
        <v>24.233244905687769</v>
      </c>
      <c r="AA85" s="4" cm="1">
        <f t="array" ref="AA85">Vega(S85,$B$2,$AA$71,$D$2,$E$2,$F$3)</f>
        <v>27.172581972973994</v>
      </c>
      <c r="AB85" s="4" cm="1">
        <f t="array" ref="AB85">Vega(S85,$B$2,$AB$71,$D$2,$E$2,$F$3)</f>
        <v>29.899446559453878</v>
      </c>
      <c r="AC85" s="4" cm="1">
        <f t="array" ref="AC85">Vega(S85,$B$2,$AC$71,$D$2,$E$2,$F$3)</f>
        <v>32.44596596452714</v>
      </c>
      <c r="AD85" s="4" cm="1">
        <f t="array" ref="AD85">Vega(S85,$B$2,$AD$71,$D$2,$E$2,$F$3)</f>
        <v>51.813885189910813</v>
      </c>
      <c r="AE85" s="4" cm="1">
        <f t="array" ref="AE85">Vega(S85,$B$2,$AE$71,$D$2,$E$2,$F$3)</f>
        <v>65.345582257987473</v>
      </c>
      <c r="AF85" s="4" cm="1">
        <f t="array" ref="AF85">Vega(S85,$B$2,$AF$71,$D$2,$E$2,$F$3)</f>
        <v>75.927402432728769</v>
      </c>
      <c r="AG85" s="5" cm="1">
        <f t="array" ref="AG85">Vega(S85,$B$2,$AG$71,$D$2,$E$2,$F$3)</f>
        <v>84.637317449963987</v>
      </c>
      <c r="AK85" s="1">
        <v>125</v>
      </c>
      <c r="AL85" s="4" cm="1">
        <f t="array" ref="AL85">Vega(AK85,$B$2,$AL$71,$D$2,$E$2,$F$4)</f>
        <v>1.735978122671637E-10</v>
      </c>
      <c r="AM85" s="4" cm="1">
        <f t="array" ref="AM85">Vega(AK85,$B$2,$AM$71,$D$2,$E$2,$F$4)</f>
        <v>6.2485864027086961E-5</v>
      </c>
      <c r="AN85" s="4" cm="1">
        <f t="array" ref="AN85">Vega(AK85,$B$2,$AN$71,$D$2,$E$2,$F$4)</f>
        <v>4.8462877771001354E-3</v>
      </c>
      <c r="AO85" s="4" cm="1">
        <f t="array" ref="AO85">Vega(AK85,$B$2,$AO$71,$D$2,$E$2,$F$4)</f>
        <v>4.4506677252410989E-2</v>
      </c>
      <c r="AP85" s="4" cm="1">
        <f t="array" ref="AP85">Vega(AK85,$B$2,$AP$71,$D$2,$E$2,$F$4)</f>
        <v>0.17258883967674513</v>
      </c>
      <c r="AQ85" s="4" cm="1">
        <f t="array" ref="AQ85">Vega(AK85,$B$2,$AQ$71,$D$2,$E$2,$F$4)</f>
        <v>0.43304080862080163</v>
      </c>
      <c r="AR85" s="4" cm="1">
        <f t="array" ref="AR85">Vega(AK85,$B$2,$AR$71,$D$2,$E$2,$F$4)</f>
        <v>0.84518593867206881</v>
      </c>
      <c r="AS85" s="4" cm="1">
        <f t="array" ref="AS85">Vega(AK85,$B$2,$AS$71,$D$2,$E$2,$F$4)</f>
        <v>1.407792423884823</v>
      </c>
      <c r="AT85" s="4" cm="1">
        <f t="array" ref="AT85">Vega(AK85,$B$2,$AT$71,$D$2,$E$2,$F$4)</f>
        <v>2.1076516585977934</v>
      </c>
      <c r="AU85" s="4" cm="1">
        <f t="array" ref="AU85">Vega(AK85,$B$2,$AU$71,$D$2,$E$2,$F$4)</f>
        <v>2.9263550912716783</v>
      </c>
      <c r="AV85" s="4" cm="1">
        <f t="array" ref="AV85">Vega(AK85,$B$2,$AV$71,$D$2,$E$2,$F$4)</f>
        <v>14.209451688873289</v>
      </c>
      <c r="AW85" s="4" cm="1">
        <f t="array" ref="AW85">Vega(AK85,$B$2,$AW$71,$D$2,$E$2,$F$4)</f>
        <v>26.058185632494105</v>
      </c>
      <c r="AX85" s="4" cm="1">
        <f t="array" ref="AX85">Vega(AK85,$B$2,$AX$71,$D$2,$E$2,$F$4)</f>
        <v>36.612657044838834</v>
      </c>
      <c r="AY85" s="5" cm="1">
        <f t="array" ref="AY85">Vega(AK85,$B$2,$AY$71,$D$2,$E$2,$F$4)</f>
        <v>45.841893964826838</v>
      </c>
    </row>
    <row r="86" spans="1:51" x14ac:dyDescent="0.3">
      <c r="A86" s="1">
        <v>130</v>
      </c>
      <c r="B86" s="4" cm="1">
        <f t="array" ref="B86">Vega(A86,$B$2,$B$71,$D$2,$E$2,$F$2)</f>
        <v>2.4664615253611665E-3</v>
      </c>
      <c r="C86" s="4" cm="1">
        <f t="array" ref="C86">Vega(A86,$B$2,$C$71,$D$2,$E$2,$F$2)</f>
        <v>0.25734589818730602</v>
      </c>
      <c r="D86" s="4" cm="1">
        <f t="array" ref="D86">Vega(A86,$B$2,$D$71,$D$2,$E$2,$F$2)</f>
        <v>1.3209299733984308</v>
      </c>
      <c r="E86" s="4" cm="1">
        <f t="array" ref="E86">Vega(A86,$B$2,$E$71,$D$2,$E$2,$F$2)</f>
        <v>3.1207812645797248</v>
      </c>
      <c r="F86" s="4" cm="1">
        <f t="array" ref="F86">Vega(A86,$B$2,$F$71,$D$2,$E$2,$F$2)</f>
        <v>5.3588475727461455</v>
      </c>
      <c r="G86" s="4" cm="1">
        <f t="array" ref="G86">Vega(A86,$B$2,$G$71,$D$2,$E$2,$F$2)</f>
        <v>7.8115019427058492</v>
      </c>
      <c r="H86" s="4" cm="1">
        <f t="array" ref="H86">Vega(A86,$B$2,$H$71,$D$2,$E$2,$F$2)</f>
        <v>10.344072895213412</v>
      </c>
      <c r="I86" s="4" cm="1">
        <f t="array" ref="I86">Vega(A86,$B$2,$I$71,$D$2,$E$2,$F$2)</f>
        <v>12.880363658795954</v>
      </c>
      <c r="J86" s="4" cm="1">
        <f t="array" ref="J86">Vega(A86,$B$2,$J$71,$D$2,$E$2,$F$2)</f>
        <v>15.378580943041786</v>
      </c>
      <c r="K86" s="4" cm="1">
        <f t="array" ref="K86">Vega(A86,$B$2,$K$71,$D$2,$E$2,$F$2)</f>
        <v>17.816680549913187</v>
      </c>
      <c r="L86" s="4" cm="1">
        <f t="array" ref="L86">Vega(A86,$B$2,$L$71,$D$2,$E$2,$F$2)</f>
        <v>38.308718744736652</v>
      </c>
      <c r="M86" s="4" cm="1">
        <f t="array" ref="M86">Vega(A86,$B$2,$M$71,$D$2,$E$2,$F$2)</f>
        <v>53.547351271025079</v>
      </c>
      <c r="N86" s="4" cm="1">
        <f t="array" ref="N86">Vega(A86,$B$2,$N$71,$D$2,$E$2,$F$2)</f>
        <v>65.684337427013233</v>
      </c>
      <c r="O86" s="5" cm="1">
        <f t="array" ref="O86">Vega(A86,$B$2,$O$71,$D$2,$E$2,$F$2)</f>
        <v>75.808024938338079</v>
      </c>
      <c r="S86" s="1">
        <v>130</v>
      </c>
      <c r="T86" s="4" cm="1">
        <f t="array" ref="T86">Vega(S86,$B$2,$T$71,$D$2,$E$2,$F$3)</f>
        <v>0.30456280025937243</v>
      </c>
      <c r="U86" s="4" cm="1">
        <f t="array" ref="U86">Vega(S86,$B$2,$U$71,$D$2,$E$2,$F$3)</f>
        <v>2.9098414567491484</v>
      </c>
      <c r="V86" s="4" cm="1">
        <f t="array" ref="V86">Vega(S86,$B$2,$V$71,$D$2,$E$2,$F$3)</f>
        <v>6.7295735384344546</v>
      </c>
      <c r="W86" s="4" cm="1">
        <f t="array" ref="W86">Vega(S86,$B$2,$W$71,$D$2,$E$2,$F$3)</f>
        <v>10.669112068562891</v>
      </c>
      <c r="X86" s="4" cm="1">
        <f t="array" ref="X86">Vega(S86,$B$2,$X$71,$D$2,$E$2,$F$3)</f>
        <v>14.417639438153623</v>
      </c>
      <c r="Y86" s="4" cm="1">
        <f t="array" ref="Y86">Vega(S86,$B$2,$Y$71,$D$2,$E$2,$F$3)</f>
        <v>17.910817795815685</v>
      </c>
      <c r="Z86" s="4" cm="1">
        <f t="array" ref="Z86">Vega(S86,$B$2,$Z$71,$D$2,$E$2,$F$3)</f>
        <v>21.154470571896187</v>
      </c>
      <c r="AA86" s="4" cm="1">
        <f t="array" ref="AA86">Vega(S86,$B$2,$AA$71,$D$2,$E$2,$F$3)</f>
        <v>24.172728981926181</v>
      </c>
      <c r="AB86" s="4" cm="1">
        <f t="array" ref="AB86">Vega(S86,$B$2,$AB$71,$D$2,$E$2,$F$3)</f>
        <v>26.992241961759355</v>
      </c>
      <c r="AC86" s="4" cm="1">
        <f t="array" ref="AC86">Vega(S86,$B$2,$AC$71,$D$2,$E$2,$F$3)</f>
        <v>29.637484768584301</v>
      </c>
      <c r="AD86" s="4" cm="1">
        <f t="array" ref="AD86">Vega(S86,$B$2,$AD$71,$D$2,$E$2,$F$3)</f>
        <v>49.899766616306842</v>
      </c>
      <c r="AE86" s="4" cm="1">
        <f t="array" ref="AE86">Vega(S86,$B$2,$AE$71,$D$2,$E$2,$F$3)</f>
        <v>64.050987256156361</v>
      </c>
      <c r="AF86" s="4" cm="1">
        <f t="array" ref="AF86">Vega(S86,$B$2,$AF$71,$D$2,$E$2,$F$3)</f>
        <v>75.082160077601486</v>
      </c>
      <c r="AG86" s="5" cm="1">
        <f t="array" ref="AG86">Vega(S86,$B$2,$AG$71,$D$2,$E$2,$F$3)</f>
        <v>84.138986871529852</v>
      </c>
      <c r="AK86" s="1">
        <v>130</v>
      </c>
      <c r="AL86" s="4" cm="1">
        <f t="array" ref="AL86">Vega(AK86,$B$2,$AL$71,$D$2,$E$2,$F$4)</f>
        <v>1.2477221902307329E-14</v>
      </c>
      <c r="AM86" s="4" cm="1">
        <f t="array" ref="AM86">Vega(AK86,$B$2,$AM$71,$D$2,$E$2,$F$4)</f>
        <v>5.2457823818334003E-7</v>
      </c>
      <c r="AN86" s="4" cm="1">
        <f t="array" ref="AN86">Vega(AK86,$B$2,$AN$71,$D$2,$E$2,$F$4)</f>
        <v>1.9887917206308568E-4</v>
      </c>
      <c r="AO86" s="4" cm="1">
        <f t="array" ref="AO86">Vega(AK86,$B$2,$AO$71,$D$2,$E$2,$F$4)</f>
        <v>4.0381373145575517E-3</v>
      </c>
      <c r="AP86" s="4" cm="1">
        <f t="array" ref="AP86">Vega(AK86,$B$2,$AP$71,$D$2,$E$2,$F$4)</f>
        <v>2.5206590353609039E-2</v>
      </c>
      <c r="AQ86" s="4" cm="1">
        <f t="array" ref="AQ86">Vega(AK86,$B$2,$AQ$71,$D$2,$E$2,$F$4)</f>
        <v>8.6868143918896579E-2</v>
      </c>
      <c r="AR86" s="4" cm="1">
        <f t="array" ref="AR86">Vega(AK86,$B$2,$AR$71,$D$2,$E$2,$F$4)</f>
        <v>0.21268370180966031</v>
      </c>
      <c r="AS86" s="4" cm="1">
        <f t="array" ref="AS86">Vega(AK86,$B$2,$AS$71,$D$2,$E$2,$F$4)</f>
        <v>0.41991195969349704</v>
      </c>
      <c r="AT86" s="4" cm="1">
        <f t="array" ref="AT86">Vega(AK86,$B$2,$AT$71,$D$2,$E$2,$F$4)</f>
        <v>0.71754270940931397</v>
      </c>
      <c r="AU86" s="4" cm="1">
        <f t="array" ref="AU86">Vega(AK86,$B$2,$AU$71,$D$2,$E$2,$F$4)</f>
        <v>1.1074379087941755</v>
      </c>
      <c r="AV86" s="4" cm="1">
        <f t="array" ref="AV86">Vega(AK86,$B$2,$AV$71,$D$2,$E$2,$F$4)</f>
        <v>8.655958511773111</v>
      </c>
      <c r="AW86" s="4" cm="1">
        <f t="array" ref="AW86">Vega(AK86,$B$2,$AW$71,$D$2,$E$2,$F$4)</f>
        <v>18.603608061799033</v>
      </c>
      <c r="AX86" s="4" cm="1">
        <f t="array" ref="AX86">Vega(AK86,$B$2,$AX$71,$D$2,$E$2,$F$4)</f>
        <v>28.297093897443343</v>
      </c>
      <c r="AY86" s="5" cm="1">
        <f t="array" ref="AY86">Vega(AK86,$B$2,$AY$71,$D$2,$E$2,$F$4)</f>
        <v>37.157602890379685</v>
      </c>
    </row>
    <row r="87" spans="1:51" x14ac:dyDescent="0.3">
      <c r="A87" s="1">
        <v>135</v>
      </c>
      <c r="B87" s="4" cm="1">
        <f t="array" ref="B87">Vega(A87,$B$2,$B$71,$D$2,$E$2,$F$2)</f>
        <v>1.7530109023145043E-4</v>
      </c>
      <c r="C87" s="4" cm="1">
        <f t="array" ref="C87">Vega(A87,$B$2,$C$71,$D$2,$E$2,$F$2)</f>
        <v>6.8932049054116276E-2</v>
      </c>
      <c r="D87" s="4" cm="1">
        <f t="array" ref="D87">Vega(A87,$B$2,$D$71,$D$2,$E$2,$F$2)</f>
        <v>0.55061531676659159</v>
      </c>
      <c r="E87" s="4" cm="1">
        <f t="array" ref="E87">Vega(A87,$B$2,$E$71,$D$2,$E$2,$F$2)</f>
        <v>1.6227966445448345</v>
      </c>
      <c r="F87" s="4" cm="1">
        <f t="array" ref="F87">Vega(A87,$B$2,$F$71,$D$2,$E$2,$F$2)</f>
        <v>3.1819367439192616</v>
      </c>
      <c r="G87" s="4" cm="1">
        <f t="array" ref="G87">Vega(A87,$B$2,$G$71,$D$2,$E$2,$F$2)</f>
        <v>5.0671947233936798</v>
      </c>
      <c r="H87" s="4" cm="1">
        <f t="array" ref="H87">Vega(A87,$B$2,$H$71,$D$2,$E$2,$F$2)</f>
        <v>7.1476357882319848</v>
      </c>
      <c r="I87" s="4" cm="1">
        <f t="array" ref="I87">Vega(A87,$B$2,$I$71,$D$2,$E$2,$F$2)</f>
        <v>9.3320554875542943</v>
      </c>
      <c r="J87" s="4" cm="1">
        <f t="array" ref="J87">Vega(A87,$B$2,$J$71,$D$2,$E$2,$F$2)</f>
        <v>11.560345928134989</v>
      </c>
      <c r="K87" s="4" cm="1">
        <f t="array" ref="K87">Vega(A87,$B$2,$K$71,$D$2,$E$2,$F$2)</f>
        <v>13.793855243276576</v>
      </c>
      <c r="L87" s="4" cm="1">
        <f t="array" ref="L87">Vega(A87,$B$2,$L$71,$D$2,$E$2,$F$2)</f>
        <v>33.866932678137182</v>
      </c>
      <c r="M87" s="4" cm="1">
        <f t="array" ref="M87">Vega(A87,$B$2,$M$71,$D$2,$E$2,$F$2)</f>
        <v>49.479201943433772</v>
      </c>
      <c r="N87" s="4" cm="1">
        <f t="array" ref="N87">Vega(A87,$B$2,$N$71,$D$2,$E$2,$F$2)</f>
        <v>62.051137062691957</v>
      </c>
      <c r="O87" s="5" cm="1">
        <f t="array" ref="O87">Vega(A87,$B$2,$O$71,$D$2,$E$2,$F$2)</f>
        <v>72.571322803396555</v>
      </c>
      <c r="S87" s="1">
        <v>135</v>
      </c>
      <c r="T87" s="4" cm="1">
        <f t="array" ref="T87">Vega(S87,$B$2,$T$71,$D$2,$E$2,$F$3)</f>
        <v>9.5033945464502889E-2</v>
      </c>
      <c r="U87" s="4" cm="1">
        <f t="array" ref="U87">Vega(S87,$B$2,$U$71,$D$2,$E$2,$F$3)</f>
        <v>1.6374094930515455</v>
      </c>
      <c r="V87" s="4" cm="1">
        <f t="array" ref="V87">Vega(S87,$B$2,$V$71,$D$2,$E$2,$F$3)</f>
        <v>4.6093272696781771</v>
      </c>
      <c r="W87" s="4" cm="1">
        <f t="array" ref="W87">Vega(S87,$B$2,$W$71,$D$2,$E$2,$F$3)</f>
        <v>8.0623062469021036</v>
      </c>
      <c r="X87" s="4" cm="1">
        <f t="array" ref="X87">Vega(S87,$B$2,$X$71,$D$2,$E$2,$F$3)</f>
        <v>11.556698455080513</v>
      </c>
      <c r="Y87" s="4" cm="1">
        <f t="array" ref="Y87">Vega(S87,$B$2,$Y$71,$D$2,$E$2,$F$3)</f>
        <v>14.932325285649343</v>
      </c>
      <c r="Z87" s="4" cm="1">
        <f t="array" ref="Z87">Vega(S87,$B$2,$Z$71,$D$2,$E$2,$F$3)</f>
        <v>18.138808755412679</v>
      </c>
      <c r="AA87" s="4" cm="1">
        <f t="array" ref="AA87">Vega(S87,$B$2,$AA$71,$D$2,$E$2,$F$3)</f>
        <v>21.167921445105367</v>
      </c>
      <c r="AB87" s="4" cm="1">
        <f t="array" ref="AB87">Vega(S87,$B$2,$AB$71,$D$2,$E$2,$F$3)</f>
        <v>24.027301202528754</v>
      </c>
      <c r="AC87" s="4" cm="1">
        <f t="array" ref="AC87">Vega(S87,$B$2,$AC$71,$D$2,$E$2,$F$3)</f>
        <v>26.729952054680563</v>
      </c>
      <c r="AD87" s="4" cm="1">
        <f t="array" ref="AD87">Vega(S87,$B$2,$AD$71,$D$2,$E$2,$F$3)</f>
        <v>47.737971160509765</v>
      </c>
      <c r="AE87" s="4" cm="1">
        <f t="array" ref="AE87">Vega(S87,$B$2,$AE$71,$D$2,$E$2,$F$3)</f>
        <v>62.492438861032042</v>
      </c>
      <c r="AF87" s="4" cm="1">
        <f t="array" ref="AF87">Vega(S87,$B$2,$AF$71,$D$2,$E$2,$F$3)</f>
        <v>73.978667680739463</v>
      </c>
      <c r="AG87" s="5" cm="1">
        <f t="array" ref="AG87">Vega(S87,$B$2,$AG$71,$D$2,$E$2,$F$3)</f>
        <v>83.39267137280298</v>
      </c>
      <c r="AK87" s="1">
        <v>135</v>
      </c>
      <c r="AL87" s="4" cm="1">
        <f t="array" ref="AL87">Vega(AK87,$B$2,$AL$71,$D$2,$E$2,$F$4)</f>
        <v>3.0086617304103603E-19</v>
      </c>
      <c r="AM87" s="4" cm="1">
        <f t="array" ref="AM87">Vega(AK87,$B$2,$AM$71,$D$2,$E$2,$F$4)</f>
        <v>2.5517633623765552E-9</v>
      </c>
      <c r="AN87" s="4" cm="1">
        <f t="array" ref="AN87">Vega(AK87,$B$2,$AN$71,$D$2,$E$2,$F$4)</f>
        <v>5.6738474150032411E-6</v>
      </c>
      <c r="AO87" s="4" cm="1">
        <f t="array" ref="AO87">Vega(AK87,$B$2,$AO$71,$D$2,$E$2,$F$4)</f>
        <v>2.78996363409678E-4</v>
      </c>
      <c r="AP87" s="4" cm="1">
        <f t="array" ref="AP87">Vega(AK87,$B$2,$AP$71,$D$2,$E$2,$F$4)</f>
        <v>2.9607997104108361E-3</v>
      </c>
      <c r="AQ87" s="4" cm="1">
        <f t="array" ref="AQ87">Vega(AK87,$B$2,$AQ$71,$D$2,$E$2,$F$4)</f>
        <v>1.4534734818581415E-2</v>
      </c>
      <c r="AR87" s="4" cm="1">
        <f t="array" ref="AR87">Vega(AK87,$B$2,$AR$71,$D$2,$E$2,$F$4)</f>
        <v>4.5817559828766945E-2</v>
      </c>
      <c r="AS87" s="4" cm="1">
        <f t="array" ref="AS87">Vega(AK87,$B$2,$AS$71,$D$2,$E$2,$F$4)</f>
        <v>0.10933755800638381</v>
      </c>
      <c r="AT87" s="4" cm="1">
        <f t="array" ref="AT87">Vega(AK87,$B$2,$AT$71,$D$2,$E$2,$F$4)</f>
        <v>0.21651121661498729</v>
      </c>
      <c r="AU87" s="4" cm="1">
        <f t="array" ref="AU87">Vega(AK87,$B$2,$AU$71,$D$2,$E$2,$F$4)</f>
        <v>0.3759838968894918</v>
      </c>
      <c r="AV87" s="4" cm="1">
        <f t="array" ref="AV87">Vega(AK87,$B$2,$AV$71,$D$2,$E$2,$F$4)</f>
        <v>4.9962307922047975</v>
      </c>
      <c r="AW87" s="4" cm="1">
        <f t="array" ref="AW87">Vega(AK87,$B$2,$AW$71,$D$2,$E$2,$F$4)</f>
        <v>12.815935968047901</v>
      </c>
      <c r="AX87" s="4" cm="1">
        <f t="array" ref="AX87">Vega(AK87,$B$2,$AX$71,$D$2,$E$2,$F$4)</f>
        <v>21.296483325512209</v>
      </c>
      <c r="AY87" s="5" cm="1">
        <f t="array" ref="AY87">Vega(AK87,$B$2,$AY$71,$D$2,$E$2,$F$4)</f>
        <v>29.489098382107908</v>
      </c>
    </row>
    <row r="88" spans="1:51" x14ac:dyDescent="0.3">
      <c r="A88" s="6">
        <v>140</v>
      </c>
      <c r="B88" s="7" cm="1">
        <f t="array" ref="B88">Vega(A88,$B$2,$B$71,$D$2,$E$2,$F$2)</f>
        <v>9.7937749170318685E-6</v>
      </c>
      <c r="C88" s="7" cm="1">
        <f t="array" ref="C88">Vega(A88,$B$2,$C$71,$D$2,$E$2,$F$2)</f>
        <v>1.6367344465552186E-2</v>
      </c>
      <c r="D88" s="7" cm="1">
        <f t="array" ref="D88">Vega(A88,$B$2,$D$71,$D$2,$E$2,$F$2)</f>
        <v>0.21177230646577413</v>
      </c>
      <c r="E88" s="7" cm="1">
        <f t="array" ref="E88">Vega(A88,$B$2,$E$71,$D$2,$E$2,$F$2)</f>
        <v>0.79435914841497823</v>
      </c>
      <c r="F88" s="7" cm="1">
        <f t="array" ref="F88">Vega(A88,$B$2,$F$71,$D$2,$E$2,$F$2)</f>
        <v>1.8000455519786447</v>
      </c>
      <c r="G88" s="7" cm="1">
        <f t="array" ref="G88">Vega(A88,$B$2,$G$71,$D$2,$E$2,$F$2)</f>
        <v>3.1568381504252203</v>
      </c>
      <c r="H88" s="7" cm="1">
        <f t="array" ref="H88">Vega(A88,$B$2,$H$71,$D$2,$E$2,$F$2)</f>
        <v>4.7705729750376911</v>
      </c>
      <c r="I88" s="7" cm="1">
        <f t="array" ref="I88">Vega(A88,$B$2,$I$71,$D$2,$E$2,$F$2)</f>
        <v>6.5588544899120951</v>
      </c>
      <c r="J88" s="7" cm="1">
        <f t="array" ref="J88">Vega(A88,$B$2,$J$71,$D$2,$E$2,$F$2)</f>
        <v>8.4581782621465393</v>
      </c>
      <c r="K88" s="7" cm="1">
        <f t="array" ref="K88">Vega(A88,$B$2,$K$71,$D$2,$E$2,$F$2)</f>
        <v>10.422116521119738</v>
      </c>
      <c r="L88" s="7" cm="1">
        <f t="array" ref="L88">Vega(A88,$B$2,$L$71,$D$2,$E$2,$F$2)</f>
        <v>29.572311895113678</v>
      </c>
      <c r="M88" s="7" cm="1">
        <f t="array" ref="M88">Vega(A88,$B$2,$M$71,$D$2,$E$2,$F$2)</f>
        <v>45.339683503257291</v>
      </c>
      <c r="N88" s="7" cm="1">
        <f t="array" ref="N88">Vega(A88,$B$2,$N$71,$D$2,$E$2,$F$2)</f>
        <v>58.247693709726136</v>
      </c>
      <c r="O88" s="8" cm="1">
        <f t="array" ref="O88">Vega(A88,$B$2,$O$71,$D$2,$E$2,$F$2)</f>
        <v>69.115896371880396</v>
      </c>
      <c r="S88" s="6">
        <v>140</v>
      </c>
      <c r="T88" s="7" cm="1">
        <f t="array" ref="T88">Vega(S88,$B$2,$T$71,$D$2,$E$2,$F$3)</f>
        <v>2.6634878733576301E-2</v>
      </c>
      <c r="U88" s="7" cm="1">
        <f t="array" ref="U88">Vega(S88,$B$2,$U$71,$D$2,$E$2,$F$3)</f>
        <v>0.87300030082944957</v>
      </c>
      <c r="V88" s="7" cm="1">
        <f t="array" ref="V88">Vega(S88,$B$2,$V$71,$D$2,$E$2,$F$3)</f>
        <v>3.0450166811718988</v>
      </c>
      <c r="W88" s="7" cm="1">
        <f t="array" ref="W88">Vega(S88,$B$2,$W$71,$D$2,$E$2,$F$3)</f>
        <v>5.9286927376384888</v>
      </c>
      <c r="X88" s="7" cm="1">
        <f t="array" ref="X88">Vega(S88,$B$2,$X$71,$D$2,$E$2,$F$3)</f>
        <v>9.062790616267602</v>
      </c>
      <c r="Y88" s="7" cm="1">
        <f t="array" ref="Y88">Vega(S88,$B$2,$Y$71,$D$2,$E$2,$F$3)</f>
        <v>12.222910034137175</v>
      </c>
      <c r="Z88" s="7" cm="1">
        <f t="array" ref="Z88">Vega(S88,$B$2,$Z$71,$D$2,$E$2,$F$3)</f>
        <v>15.309296235130819</v>
      </c>
      <c r="AA88" s="7" cm="1">
        <f t="array" ref="AA88">Vega(S88,$B$2,$AA$71,$D$2,$E$2,$F$3)</f>
        <v>18.280966330758439</v>
      </c>
      <c r="AB88" s="7" cm="1">
        <f t="array" ref="AB88">Vega(S88,$B$2,$AB$71,$D$2,$E$2,$F$3)</f>
        <v>21.124373927845529</v>
      </c>
      <c r="AC88" s="7" cm="1">
        <f t="array" ref="AC88">Vega(S88,$B$2,$AC$71,$D$2,$E$2,$F$3)</f>
        <v>23.838743989858862</v>
      </c>
      <c r="AD88" s="7" cm="1">
        <f t="array" ref="AD88">Vega(S88,$B$2,$AD$71,$D$2,$E$2,$F$3)</f>
        <v>45.402279742050034</v>
      </c>
      <c r="AE88" s="7" cm="1">
        <f t="array" ref="AE88">Vega(S88,$B$2,$AE$71,$D$2,$E$2,$F$3)</f>
        <v>60.722645003921244</v>
      </c>
      <c r="AF88" s="7" cm="1">
        <f t="array" ref="AF88">Vega(S88,$B$2,$AF$71,$D$2,$E$2,$F$3)</f>
        <v>72.65817150920924</v>
      </c>
      <c r="AG88" s="8" cm="1">
        <f t="array" ref="AG88">Vega(S88,$B$2,$AG$71,$D$2,$E$2,$F$3)</f>
        <v>82.432542675759592</v>
      </c>
      <c r="AK88" s="6">
        <v>140</v>
      </c>
      <c r="AL88" s="7" cm="1">
        <f t="array" ref="AL88">Vega(AK88,$B$2,$AL$71,$D$2,$E$2,$F$4)</f>
        <v>2.7755174863825501E-24</v>
      </c>
      <c r="AM88" s="7" cm="1">
        <f t="array" ref="AM88">Vega(AK88,$B$2,$AM$71,$D$2,$E$2,$F$4)</f>
        <v>7.680281421893489E-12</v>
      </c>
      <c r="AN88" s="7" cm="1">
        <f t="array" ref="AN88">Vega(AK88,$B$2,$AN$71,$D$2,$E$2,$F$4)</f>
        <v>1.1756275778131106E-7</v>
      </c>
      <c r="AO88" s="7" cm="1">
        <f t="array" ref="AO88">Vega(AK88,$B$2,$AO$71,$D$2,$E$2,$F$4)</f>
        <v>1.5167651578010651E-5</v>
      </c>
      <c r="AP88" s="7" cm="1">
        <f t="array" ref="AP88">Vega(AK88,$B$2,$AP$71,$D$2,$E$2,$F$4)</f>
        <v>2.8713454403848714E-4</v>
      </c>
      <c r="AQ88" s="7" cm="1">
        <f t="array" ref="AQ88">Vega(AK88,$B$2,$AQ$71,$D$2,$E$2,$F$4)</f>
        <v>2.0732639788992959E-3</v>
      </c>
      <c r="AR88" s="7" cm="1">
        <f t="array" ref="AR88">Vega(AK88,$B$2,$AR$71,$D$2,$E$2,$F$4)</f>
        <v>8.6094036586961634E-3</v>
      </c>
      <c r="AS88" s="7" cm="1">
        <f t="array" ref="AS88">Vega(AK88,$B$2,$AS$71,$D$2,$E$2,$F$4)</f>
        <v>2.5262754622349386E-2</v>
      </c>
      <c r="AT88" s="7" cm="1">
        <f t="array" ref="AT88">Vega(AK88,$B$2,$AT$71,$D$2,$E$2,$F$4)</f>
        <v>5.8750695962987917E-2</v>
      </c>
      <c r="AU88" s="7" cm="1">
        <f t="array" ref="AU88">Vega(AK88,$B$2,$AU$71,$D$2,$E$2,$F$4)</f>
        <v>0.11602695242521623</v>
      </c>
      <c r="AV88" s="7" cm="1">
        <f t="array" ref="AV88">Vega(AK88,$B$2,$AV$71,$D$2,$E$2,$F$4)</f>
        <v>2.7503549451983313</v>
      </c>
      <c r="AW88" s="7" cm="1">
        <f t="array" ref="AW88">Vega(AK88,$B$2,$AW$71,$D$2,$E$2,$F$4)</f>
        <v>8.5562234911034327</v>
      </c>
      <c r="AX88" s="7" cm="1">
        <f t="array" ref="AX88">Vega(AK88,$B$2,$AX$71,$D$2,$E$2,$F$4)</f>
        <v>15.657861761389583</v>
      </c>
      <c r="AY88" s="8" cm="1">
        <f t="array" ref="AY88">Vega(AK88,$B$2,$AY$71,$D$2,$E$2,$F$4)</f>
        <v>22.973211747964488</v>
      </c>
    </row>
    <row r="93" spans="1:51" x14ac:dyDescent="0.3">
      <c r="A93" s="49" t="s">
        <v>9</v>
      </c>
      <c r="B93" s="50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50"/>
      <c r="N93" s="50"/>
      <c r="O93" s="51"/>
      <c r="S93" s="49" t="s">
        <v>9</v>
      </c>
      <c r="T93" s="50"/>
      <c r="U93" s="50"/>
      <c r="V93" s="50"/>
      <c r="W93" s="50"/>
      <c r="X93" s="50"/>
      <c r="Y93" s="50"/>
      <c r="Z93" s="50"/>
      <c r="AA93" s="50"/>
      <c r="AB93" s="50"/>
      <c r="AC93" s="50"/>
      <c r="AD93" s="50"/>
      <c r="AE93" s="50"/>
      <c r="AF93" s="50"/>
      <c r="AG93" s="51"/>
      <c r="AK93" s="49" t="s">
        <v>9</v>
      </c>
      <c r="AL93" s="50"/>
      <c r="AM93" s="50"/>
      <c r="AN93" s="50"/>
      <c r="AO93" s="50"/>
      <c r="AP93" s="50"/>
      <c r="AQ93" s="50"/>
      <c r="AR93" s="50"/>
      <c r="AS93" s="50"/>
      <c r="AT93" s="50"/>
      <c r="AU93" s="50"/>
      <c r="AV93" s="50"/>
      <c r="AW93" s="50"/>
      <c r="AX93" s="50"/>
      <c r="AY93" s="51"/>
    </row>
    <row r="94" spans="1:51" x14ac:dyDescent="0.3">
      <c r="A94" s="1" t="s">
        <v>3</v>
      </c>
      <c r="B94" s="52" t="s">
        <v>4</v>
      </c>
      <c r="C94" s="52"/>
      <c r="D94" s="52"/>
      <c r="E94" s="52"/>
      <c r="F94" s="52"/>
      <c r="G94" s="52"/>
      <c r="H94" s="52"/>
      <c r="I94" s="52"/>
      <c r="J94" s="52"/>
      <c r="K94" s="52"/>
      <c r="L94" s="52"/>
      <c r="M94" s="52"/>
      <c r="N94" s="52"/>
      <c r="O94" s="53"/>
      <c r="S94" s="1" t="s">
        <v>3</v>
      </c>
      <c r="T94" s="52" t="s">
        <v>4</v>
      </c>
      <c r="U94" s="52"/>
      <c r="V94" s="52"/>
      <c r="W94" s="52"/>
      <c r="X94" s="52"/>
      <c r="Y94" s="52"/>
      <c r="Z94" s="52"/>
      <c r="AA94" s="52"/>
      <c r="AB94" s="52"/>
      <c r="AC94" s="52"/>
      <c r="AD94" s="52"/>
      <c r="AE94" s="52"/>
      <c r="AF94" s="52"/>
      <c r="AG94" s="53"/>
      <c r="AK94" s="1" t="s">
        <v>3</v>
      </c>
      <c r="AL94" s="52" t="s">
        <v>4</v>
      </c>
      <c r="AM94" s="52"/>
      <c r="AN94" s="52"/>
      <c r="AO94" s="52"/>
      <c r="AP94" s="52"/>
      <c r="AQ94" s="52"/>
      <c r="AR94" s="52"/>
      <c r="AS94" s="52"/>
      <c r="AT94" s="52"/>
      <c r="AU94" s="52"/>
      <c r="AV94" s="52"/>
      <c r="AW94" s="52"/>
      <c r="AX94" s="52"/>
      <c r="AY94" s="53"/>
    </row>
    <row r="95" spans="1:51" x14ac:dyDescent="0.3">
      <c r="A95" s="1"/>
      <c r="B95" s="2">
        <v>0.1</v>
      </c>
      <c r="C95" s="2">
        <v>0.2</v>
      </c>
      <c r="D95" s="2">
        <v>0.3</v>
      </c>
      <c r="E95" s="2">
        <v>0.4</v>
      </c>
      <c r="F95" s="2">
        <v>0.5</v>
      </c>
      <c r="G95" s="2">
        <v>0.6</v>
      </c>
      <c r="H95" s="2">
        <v>0.7</v>
      </c>
      <c r="I95" s="2">
        <v>0.8</v>
      </c>
      <c r="J95" s="2">
        <v>0.9</v>
      </c>
      <c r="K95" s="2">
        <v>1</v>
      </c>
      <c r="L95" s="2">
        <v>2</v>
      </c>
      <c r="M95" s="2">
        <v>3</v>
      </c>
      <c r="N95" s="2">
        <v>4</v>
      </c>
      <c r="O95" s="3">
        <v>5</v>
      </c>
      <c r="S95" s="1"/>
      <c r="T95" s="2">
        <v>0.1</v>
      </c>
      <c r="U95" s="2">
        <v>0.2</v>
      </c>
      <c r="V95" s="2">
        <v>0.3</v>
      </c>
      <c r="W95" s="2">
        <v>0.4</v>
      </c>
      <c r="X95" s="2">
        <v>0.5</v>
      </c>
      <c r="Y95" s="2">
        <v>0.6</v>
      </c>
      <c r="Z95" s="2">
        <v>0.7</v>
      </c>
      <c r="AA95" s="2">
        <v>0.8</v>
      </c>
      <c r="AB95" s="2">
        <v>0.9</v>
      </c>
      <c r="AC95" s="2">
        <v>1</v>
      </c>
      <c r="AD95" s="2">
        <v>2</v>
      </c>
      <c r="AE95" s="2">
        <v>3</v>
      </c>
      <c r="AF95" s="2">
        <v>4</v>
      </c>
      <c r="AG95" s="3">
        <v>5</v>
      </c>
      <c r="AK95" s="1"/>
      <c r="AL95" s="2">
        <v>0.1</v>
      </c>
      <c r="AM95" s="2">
        <v>0.2</v>
      </c>
      <c r="AN95" s="2">
        <v>0.3</v>
      </c>
      <c r="AO95" s="2">
        <v>0.4</v>
      </c>
      <c r="AP95" s="2">
        <v>0.5</v>
      </c>
      <c r="AQ95" s="2">
        <v>0.6</v>
      </c>
      <c r="AR95" s="2">
        <v>0.7</v>
      </c>
      <c r="AS95" s="2">
        <v>0.8</v>
      </c>
      <c r="AT95" s="2">
        <v>0.9</v>
      </c>
      <c r="AU95" s="2">
        <v>1</v>
      </c>
      <c r="AV95" s="2">
        <v>2</v>
      </c>
      <c r="AW95" s="2">
        <v>3</v>
      </c>
      <c r="AX95" s="2">
        <v>4</v>
      </c>
      <c r="AY95" s="3">
        <v>5</v>
      </c>
    </row>
    <row r="96" spans="1:51" x14ac:dyDescent="0.3">
      <c r="A96" s="1">
        <v>60</v>
      </c>
      <c r="B96" s="4" cm="1">
        <f t="array" ref="B96">ThetaC(A96,$B$2,$B$95,$D$2,$E$2,$F$2)</f>
        <v>-7.6010761094708108E-14</v>
      </c>
      <c r="C96" s="4" cm="1">
        <f t="array" ref="C96">ThetaC(A96,$B$2,$C$95,$D$2,$E$2,$F$2)</f>
        <v>-6.5216774177186137E-7</v>
      </c>
      <c r="D96" s="4" cm="1">
        <f t="array" ref="D96">ThetaC(A96,$B$2,$D$95,$D$2,$E$2,$F$2)</f>
        <v>-1.2255849783705767E-4</v>
      </c>
      <c r="E96" s="4" cm="1">
        <f t="array" ref="E96">ThetaC(A96,$B$2,$E$95,$D$2,$E$2,$F$2)</f>
        <v>-1.6120464147555819E-3</v>
      </c>
      <c r="F96" s="4" cm="1">
        <f t="array" ref="F96">ThetaC(A96,$B$2,$F$95,$D$2,$E$2,$F$2)</f>
        <v>-7.3822963919489481E-3</v>
      </c>
      <c r="G96" s="4" cm="1">
        <f t="array" ref="G96">ThetaC(A96,$B$2,$G$95,$D$2,$E$2,$F$2)</f>
        <v>-2.0032473352245964E-2</v>
      </c>
      <c r="H96" s="4" cm="1">
        <f t="array" ref="H96">ThetaC(A96,$B$2,$H$95,$D$2,$E$2,$F$2)</f>
        <v>-4.0406065515891584E-2</v>
      </c>
      <c r="I96" s="4" cm="1">
        <f t="array" ref="I96">ThetaC(A96,$B$2,$I$95,$D$2,$E$2,$F$2)</f>
        <v>-6.7808191954544517E-2</v>
      </c>
      <c r="J96" s="4" cm="1">
        <f t="array" ref="J96">ThetaC(A96,$B$2,$J$95,$D$2,$E$2,$F$2)</f>
        <v>-0.10076101954498543</v>
      </c>
      <c r="K96" s="4" cm="1">
        <f t="array" ref="K96">ThetaC(A96,$B$2,$K$95,$D$2,$E$2,$F$2)</f>
        <v>-0.13760097145391417</v>
      </c>
      <c r="L96" s="4" cm="1">
        <f t="array" ref="L96">ThetaC(A96,$B$2,$L$95,$D$2,$E$2,$F$2)</f>
        <v>-0.50487343419046049</v>
      </c>
      <c r="M96" s="4" cm="1">
        <f t="array" ref="M96">ThetaC(A96,$B$2,$M$95,$D$2,$E$2,$F$2)</f>
        <v>-0.71823551587097556</v>
      </c>
      <c r="N96" s="4" cm="1">
        <f t="array" ref="N96">ThetaC(A96,$B$2,$N$95,$D$2,$E$2,$F$2)</f>
        <v>-0.82350159605647766</v>
      </c>
      <c r="O96" s="5" cm="1">
        <f t="array" ref="O96">ThetaC(A96,$B$2,$O$95,$D$2,$E$2,$F$2)</f>
        <v>-0.87286617052590232</v>
      </c>
      <c r="S96" s="1">
        <v>60</v>
      </c>
      <c r="T96" s="4" cm="1">
        <f t="array" ref="T96">ThetaC(S96,$B$2,$T$95,$D$2,$E$2,$F$3)</f>
        <v>-7.86574635674896E-6</v>
      </c>
      <c r="U96" s="4" cm="1">
        <f t="array" ref="U96">ThetaC(S96,$B$2,$U$95,$D$2,$E$2,$F$3)</f>
        <v>-7.8335702211474924E-3</v>
      </c>
      <c r="V96" s="4" cm="1">
        <f t="array" ref="V96">ThetaC(S96,$B$2,$V$95,$D$2,$E$2,$F$3)</f>
        <v>-7.1767328703131336E-2</v>
      </c>
      <c r="W96" s="4" cm="1">
        <f t="array" ref="W96">ThetaC(S96,$B$2,$W$95,$D$2,$E$2,$F$3)</f>
        <v>-0.20832213907689659</v>
      </c>
      <c r="X96" s="4" cm="1">
        <f t="array" ref="X96">ThetaC(S96,$B$2,$X$95,$D$2,$E$2,$F$3)</f>
        <v>-0.3851493738906861</v>
      </c>
      <c r="Y96" s="4" cm="1">
        <f t="array" ref="Y96">ThetaC(S96,$B$2,$Y$95,$D$2,$E$2,$F$3)</f>
        <v>-0.57068699009448409</v>
      </c>
      <c r="Z96" s="4" cm="1">
        <f t="array" ref="Z96">ThetaC(S96,$B$2,$Z$95,$D$2,$E$2,$F$3)</f>
        <v>-0.74691616091774726</v>
      </c>
      <c r="AA96" s="4" cm="1">
        <f t="array" ref="AA96">ThetaC(S96,$B$2,$AA$95,$D$2,$E$2,$F$3)</f>
        <v>-0.90594478621964269</v>
      </c>
      <c r="AB96" s="4" cm="1">
        <f t="array" ref="AB96">ThetaC(S96,$B$2,$AB$95,$D$2,$E$2,$F$3)</f>
        <v>-1.0455051332204088</v>
      </c>
      <c r="AC96" s="4" cm="1">
        <f t="array" ref="AC96">ThetaC(S96,$B$2,$AC$95,$D$2,$E$2,$F$3)</f>
        <v>-1.1660624729262905</v>
      </c>
      <c r="AD96" s="4" cm="1">
        <f t="array" ref="AD96">ThetaC(S96,$B$2,$AD$95,$D$2,$E$2,$F$3)</f>
        <v>-1.7086795247581006</v>
      </c>
      <c r="AE96" s="4" cm="1">
        <f t="array" ref="AE96">ThetaC(S96,$B$2,$AE$95,$D$2,$E$2,$F$3)</f>
        <v>-1.7756357342870821</v>
      </c>
      <c r="AF96" s="4" cm="1">
        <f t="array" ref="AF96">ThetaC(S96,$B$2,$AF$95,$D$2,$E$2,$F$3)</f>
        <v>-1.7298401390361418</v>
      </c>
      <c r="AG96" s="5" cm="1">
        <f t="array" ref="AG96">ThetaC(S96,$B$2,$AG$95,$D$2,$E$2,$F$3)</f>
        <v>-1.6553199220081252</v>
      </c>
      <c r="AK96" s="1">
        <v>60</v>
      </c>
      <c r="AL96" s="4" cm="1">
        <f t="array" ref="AL96">ThetaC(AK96,$B$2,$AL$95,$D$2,$E$2,$F$4)</f>
        <v>-1.7741697800085733E-56</v>
      </c>
      <c r="AM96" s="4" cm="1">
        <f t="array" ref="AM96">ThetaC(AK96,$B$2,$AM$95,$D$2,$E$2,$F$4)</f>
        <v>-2.6988234224663945E-28</v>
      </c>
      <c r="AN96" s="4" cm="1">
        <f t="array" ref="AN96">ThetaC(AK96,$B$2,$AN$95,$D$2,$E$2,$F$4)</f>
        <v>-6.1395528345081252E-19</v>
      </c>
      <c r="AO96" s="4" cm="1">
        <f t="array" ref="AO96">ThetaC(AK96,$B$2,$AO$95,$D$2,$E$2,$F$4)</f>
        <v>-2.8102344602630784E-14</v>
      </c>
      <c r="AP96" s="4" cm="1">
        <f t="array" ref="AP96">ThetaC(AK96,$B$2,$AP$95,$D$2,$E$2,$F$4)</f>
        <v>-1.7162520567190197E-11</v>
      </c>
      <c r="AQ96" s="4" cm="1">
        <f t="array" ref="AQ96">ThetaC(AK96,$B$2,$AQ$95,$D$2,$E$2,$F$4)</f>
        <v>-1.2158674907426928E-9</v>
      </c>
      <c r="AR96" s="4" cm="1">
        <f t="array" ref="AR96">ThetaC(AK96,$B$2,$AR$95,$D$2,$E$2,$F$4)</f>
        <v>-2.5214310778111725E-8</v>
      </c>
      <c r="AS96" s="4" cm="1">
        <f t="array" ref="AS96">ThetaC(AK96,$B$2,$AS$95,$D$2,$E$2,$F$4)</f>
        <v>-2.4299205821700299E-7</v>
      </c>
      <c r="AT96" s="4" cm="1">
        <f t="array" ref="AT96">ThetaC(AK96,$B$2,$AT$95,$D$2,$E$2,$F$4)</f>
        <v>-1.4063402814141336E-6</v>
      </c>
      <c r="AU96" s="4" cm="1">
        <f t="array" ref="AU96">ThetaC(AK96,$B$2,$AU$95,$D$2,$E$2,$F$4)</f>
        <v>-5.7000176182014149E-6</v>
      </c>
      <c r="AV96" s="4" cm="1">
        <f t="array" ref="AV96">ThetaC(AK96,$B$2,$AV$95,$D$2,$E$2,$F$4)</f>
        <v>-2.8094557668136805E-3</v>
      </c>
      <c r="AW96" s="4" cm="1">
        <f t="array" ref="AW96">ThetaC(AK96,$B$2,$AW$95,$D$2,$E$2,$F$4)</f>
        <v>-2.0608802214615154E-2</v>
      </c>
      <c r="AX96" s="4" cm="1">
        <f t="array" ref="AX96">ThetaC(AK96,$B$2,$AX$95,$D$2,$E$2,$F$4)</f>
        <v>-5.3953367537049227E-2</v>
      </c>
      <c r="AY96" s="5" cm="1">
        <f t="array" ref="AY96">ThetaC(AK96,$B$2,$AY$95,$D$2,$E$2,$F$4)</f>
        <v>-9.4275036889958794E-2</v>
      </c>
    </row>
    <row r="97" spans="1:51" x14ac:dyDescent="0.3">
      <c r="A97" s="1">
        <v>65</v>
      </c>
      <c r="B97" s="4" cm="1">
        <f t="array" ref="B97">ThetaC(A97,$B$2,$B$95,$D$2,$E$2,$F$2)</f>
        <v>-9.5807637849778073E-10</v>
      </c>
      <c r="C97" s="4" cm="1">
        <f t="array" ref="C97">ThetaC(A97,$B$2,$C$95,$D$2,$E$2,$F$2)</f>
        <v>-7.4025594654806079E-5</v>
      </c>
      <c r="D97" s="4" cm="1">
        <f t="array" ref="D97">ThetaC(A97,$B$2,$D$95,$D$2,$E$2,$F$2)</f>
        <v>-2.8952351776097666E-3</v>
      </c>
      <c r="E97" s="4" cm="1">
        <f t="array" ref="E97">ThetaC(A97,$B$2,$E$95,$D$2,$E$2,$F$2)</f>
        <v>-1.7377053574853585E-2</v>
      </c>
      <c r="F97" s="4" cm="1">
        <f t="array" ref="F97">ThetaC(A97,$B$2,$F$95,$D$2,$E$2,$F$2)</f>
        <v>-4.9706706360553618E-2</v>
      </c>
      <c r="G97" s="4" cm="1">
        <f t="array" ref="G97">ThetaC(A97,$B$2,$G$95,$D$2,$E$2,$F$2)</f>
        <v>-9.8573445641386703E-2</v>
      </c>
      <c r="H97" s="4" cm="1">
        <f t="array" ref="H97">ThetaC(A97,$B$2,$H$95,$D$2,$E$2,$F$2)</f>
        <v>-0.15893788971464368</v>
      </c>
      <c r="I97" s="4" cm="1">
        <f t="array" ref="I97">ThetaC(A97,$B$2,$I$95,$D$2,$E$2,$F$2)</f>
        <v>-0.22550760485640103</v>
      </c>
      <c r="J97" s="4" cm="1">
        <f t="array" ref="J97">ThetaC(A97,$B$2,$J$95,$D$2,$E$2,$F$2)</f>
        <v>-0.29410036236108139</v>
      </c>
      <c r="K97" s="4" cm="1">
        <f t="array" ref="K97">ThetaC(A97,$B$2,$K$95,$D$2,$E$2,$F$2)</f>
        <v>-0.36182997641875553</v>
      </c>
      <c r="L97" s="4" cm="1">
        <f t="array" ref="L97">ThetaC(A97,$B$2,$L$95,$D$2,$E$2,$F$2)</f>
        <v>-0.83089533972245266</v>
      </c>
      <c r="M97" s="4" cm="1">
        <f t="array" ref="M97">ThetaC(A97,$B$2,$M$95,$D$2,$E$2,$F$2)</f>
        <v>-1.0118325385721587</v>
      </c>
      <c r="N97" s="4" cm="1">
        <f t="array" ref="N97">ThetaC(A97,$B$2,$N$95,$D$2,$E$2,$F$2)</f>
        <v>-1.0736761061365223</v>
      </c>
      <c r="O97" s="5" cm="1">
        <f t="array" ref="O97">ThetaC(A97,$B$2,$O$95,$D$2,$E$2,$F$2)</f>
        <v>-1.0865140526166011</v>
      </c>
      <c r="S97" s="1">
        <v>65</v>
      </c>
      <c r="T97" s="4" cm="1">
        <f t="array" ref="T97">ThetaC(S97,$B$2,$T$95,$D$2,$E$2,$F$3)</f>
        <v>-5.3456152474156966E-4</v>
      </c>
      <c r="U97" s="4" cm="1">
        <f t="array" ref="U97">ThetaC(S97,$B$2,$U$95,$D$2,$E$2,$F$3)</f>
        <v>-6.5646267986270448E-2</v>
      </c>
      <c r="V97" s="4" cm="1">
        <f t="array" ref="V97">ThetaC(S97,$B$2,$V$95,$D$2,$E$2,$F$3)</f>
        <v>-0.29942355631593942</v>
      </c>
      <c r="W97" s="4" cm="1">
        <f t="array" ref="W97">ThetaC(S97,$B$2,$W$95,$D$2,$E$2,$F$3)</f>
        <v>-0.61335890348349875</v>
      </c>
      <c r="X97" s="4" cm="1">
        <f t="array" ref="X97">ThetaC(S97,$B$2,$X$95,$D$2,$E$2,$F$3)</f>
        <v>-0.92007451386040462</v>
      </c>
      <c r="Y97" s="4" cm="1">
        <f t="array" ref="Y97">ThetaC(S97,$B$2,$Y$95,$D$2,$E$2,$F$3)</f>
        <v>-1.1860348902420679</v>
      </c>
      <c r="Z97" s="4" cm="1">
        <f t="array" ref="Z97">ThetaC(S97,$B$2,$Z$95,$D$2,$E$2,$F$3)</f>
        <v>-1.4053427373410059</v>
      </c>
      <c r="AA97" s="4" cm="1">
        <f t="array" ref="AA97">ThetaC(S97,$B$2,$AA$95,$D$2,$E$2,$F$3)</f>
        <v>-1.5821076898460016</v>
      </c>
      <c r="AB97" s="4" cm="1">
        <f t="array" ref="AB97">ThetaC(S97,$B$2,$AB$95,$D$2,$E$2,$F$3)</f>
        <v>-1.7230231225374042</v>
      </c>
      <c r="AC97" s="4" cm="1">
        <f t="array" ref="AC97">ThetaC(S97,$B$2,$AC$95,$D$2,$E$2,$F$3)</f>
        <v>-1.8346812944218083</v>
      </c>
      <c r="AD97" s="4" cm="1">
        <f t="array" ref="AD97">ThetaC(S97,$B$2,$AD$95,$D$2,$E$2,$F$3)</f>
        <v>-2.1831999062152785</v>
      </c>
      <c r="AE97" s="4" cm="1">
        <f t="array" ref="AE97">ThetaC(S97,$B$2,$AE$95,$D$2,$E$2,$F$3)</f>
        <v>-2.1171148598811622</v>
      </c>
      <c r="AF97" s="4" cm="1">
        <f t="array" ref="AF97">ThetaC(S97,$B$2,$AF$95,$D$2,$E$2,$F$3)</f>
        <v>-1.9924904879133494</v>
      </c>
      <c r="AG97" s="5" cm="1">
        <f t="array" ref="AG97">ThetaC(S97,$B$2,$AG$95,$D$2,$E$2,$F$3)</f>
        <v>-1.8675549688865178</v>
      </c>
      <c r="AK97" s="1">
        <v>65</v>
      </c>
      <c r="AL97" s="4" cm="1">
        <f t="array" ref="AL97">ThetaC(AK97,$B$2,$AL$95,$D$2,$E$2,$F$4)</f>
        <v>-3.9634483638267011E-40</v>
      </c>
      <c r="AM97" s="4" cm="1">
        <f t="array" ref="AM97">ThetaC(AK97,$B$2,$AM$95,$D$2,$E$2,$F$4)</f>
        <v>-3.9580388650882416E-20</v>
      </c>
      <c r="AN97" s="4" cm="1">
        <f t="array" ref="AN97">ThetaC(AK97,$B$2,$AN$95,$D$2,$E$2,$F$4)</f>
        <v>-1.6867226881517839E-13</v>
      </c>
      <c r="AO97" s="4" cm="1">
        <f t="array" ref="AO97">ThetaC(AK97,$B$2,$AO$95,$D$2,$E$2,$F$4)</f>
        <v>-3.3426288111375925E-10</v>
      </c>
      <c r="AP97" s="4" cm="1">
        <f t="array" ref="AP97">ThetaC(AK97,$B$2,$AP$95,$D$2,$E$2,$F$4)</f>
        <v>-3.1038137892502407E-8</v>
      </c>
      <c r="AQ97" s="4" cm="1">
        <f t="array" ref="AQ97">ThetaC(AK97,$B$2,$AQ$95,$D$2,$E$2,$F$4)</f>
        <v>-6.2651495243948387E-7</v>
      </c>
      <c r="AR97" s="4" cm="1">
        <f t="array" ref="AR97">ThetaC(AK97,$B$2,$AR$95,$D$2,$E$2,$F$4)</f>
        <v>-5.3000972168500081E-6</v>
      </c>
      <c r="AS97" s="4" cm="1">
        <f t="array" ref="AS97">ThetaC(AK97,$B$2,$AS$95,$D$2,$E$2,$F$4)</f>
        <v>-2.6075407589769726E-5</v>
      </c>
      <c r="AT97" s="4" cm="1">
        <f t="array" ref="AT97">ThetaC(AK97,$B$2,$AT$95,$D$2,$E$2,$F$4)</f>
        <v>-8.9468527081001923E-5</v>
      </c>
      <c r="AU97" s="4" cm="1">
        <f t="array" ref="AU97">ThetaC(AK97,$B$2,$AU$95,$D$2,$E$2,$F$4)</f>
        <v>-2.3869990869464263E-4</v>
      </c>
      <c r="AV97" s="4" cm="1">
        <f t="array" ref="AV97">ThetaC(AK97,$B$2,$AV$95,$D$2,$E$2,$F$4)</f>
        <v>-1.7964922720805208E-2</v>
      </c>
      <c r="AW97" s="4" cm="1">
        <f t="array" ref="AW97">ThetaC(AK97,$B$2,$AW$95,$D$2,$E$2,$F$4)</f>
        <v>-7.0601881338426944E-2</v>
      </c>
      <c r="AX97" s="4" cm="1">
        <f t="array" ref="AX97">ThetaC(AK97,$B$2,$AX$95,$D$2,$E$2,$F$4)</f>
        <v>-0.13546760228116439</v>
      </c>
      <c r="AY97" s="5" cm="1">
        <f t="array" ref="AY97">ThetaC(AK97,$B$2,$AY$95,$D$2,$E$2,$F$4)</f>
        <v>-0.19660776291550636</v>
      </c>
    </row>
    <row r="98" spans="1:51" x14ac:dyDescent="0.3">
      <c r="A98" s="1">
        <v>70</v>
      </c>
      <c r="B98" s="4" cm="1">
        <f t="array" ref="B98">ThetaC(A98,$B$2,$B$95,$D$2,$E$2,$F$2)</f>
        <v>-1.4382763141881702E-6</v>
      </c>
      <c r="C98" s="4" cm="1">
        <f t="array" ref="C98">ThetaC(A98,$B$2,$C$95,$D$2,$E$2,$F$2)</f>
        <v>-2.8983527435579304E-3</v>
      </c>
      <c r="D98" s="4" cm="1">
        <f t="array" ref="D98">ThetaC(A98,$B$2,$D$95,$D$2,$E$2,$F$2)</f>
        <v>-3.3631277102680164E-2</v>
      </c>
      <c r="E98" s="4" cm="1">
        <f t="array" ref="E98">ThetaC(A98,$B$2,$E$95,$D$2,$E$2,$F$2)</f>
        <v>-0.10997521374944369</v>
      </c>
      <c r="F98" s="4" cm="1">
        <f t="array" ref="F98">ThetaC(A98,$B$2,$F$95,$D$2,$E$2,$F$2)</f>
        <v>-0.21855826137194606</v>
      </c>
      <c r="G98" s="4" cm="1">
        <f t="array" ref="G98">ThetaC(A98,$B$2,$G$95,$D$2,$E$2,$F$2)</f>
        <v>-0.34003554821793547</v>
      </c>
      <c r="H98" s="4" cm="1">
        <f t="array" ref="H98">ThetaC(A98,$B$2,$H$95,$D$2,$E$2,$F$2)</f>
        <v>-0.46105974622851981</v>
      </c>
      <c r="I98" s="4" cm="1">
        <f t="array" ref="I98">ThetaC(A98,$B$2,$I$95,$D$2,$E$2,$F$2)</f>
        <v>-0.57451031596985147</v>
      </c>
      <c r="J98" s="4" cm="1">
        <f t="array" ref="J98">ThetaC(A98,$B$2,$J$95,$D$2,$E$2,$F$2)</f>
        <v>-0.67732466889585341</v>
      </c>
      <c r="K98" s="4" cm="1">
        <f t="array" ref="K98">ThetaC(A98,$B$2,$K$95,$D$2,$E$2,$F$2)</f>
        <v>-0.76870309122964575</v>
      </c>
      <c r="L98" s="4" cm="1">
        <f t="array" ref="L98">ThetaC(A98,$B$2,$L$95,$D$2,$E$2,$F$2)</f>
        <v>-1.2288280781032317</v>
      </c>
      <c r="M98" s="4" cm="1">
        <f t="array" ref="M98">ThetaC(A98,$B$2,$M$95,$D$2,$E$2,$F$2)</f>
        <v>-1.3270905927474668</v>
      </c>
      <c r="N98" s="4" cm="1">
        <f t="array" ref="N98">ThetaC(A98,$B$2,$N$95,$D$2,$E$2,$F$2)</f>
        <v>-1.3264519660887186</v>
      </c>
      <c r="O98" s="5" cm="1">
        <f t="array" ref="O98">ThetaC(A98,$B$2,$O$95,$D$2,$E$2,$F$2)</f>
        <v>-1.295122823426228</v>
      </c>
      <c r="S98" s="1">
        <v>70</v>
      </c>
      <c r="T98" s="4" cm="1">
        <f t="array" ref="T98">ThetaC(S98,$B$2,$T$95,$D$2,$E$2,$F$3)</f>
        <v>-1.4088726906542936E-2</v>
      </c>
      <c r="U98" s="4" cm="1">
        <f t="array" ref="U98">ThetaC(S98,$B$2,$U$95,$D$2,$E$2,$F$3)</f>
        <v>-0.34225293749200414</v>
      </c>
      <c r="V98" s="4" cm="1">
        <f t="array" ref="V98">ThetaC(S98,$B$2,$V$95,$D$2,$E$2,$F$3)</f>
        <v>-0.90984505188189913</v>
      </c>
      <c r="W98" s="4" cm="1">
        <f t="array" ref="W98">ThetaC(S98,$B$2,$W$95,$D$2,$E$2,$F$3)</f>
        <v>-1.4231066922699669</v>
      </c>
      <c r="X98" s="4" cm="1">
        <f t="array" ref="X98">ThetaC(S98,$B$2,$X$95,$D$2,$E$2,$F$3)</f>
        <v>-1.8159074029449049</v>
      </c>
      <c r="Y98" s="4" cm="1">
        <f t="array" ref="Y98">ThetaC(S98,$B$2,$Y$95,$D$2,$E$2,$F$3)</f>
        <v>-2.1016589724352737</v>
      </c>
      <c r="Z98" s="4" cm="1">
        <f t="array" ref="Z98">ThetaC(S98,$B$2,$Z$95,$D$2,$E$2,$F$3)</f>
        <v>-2.3058679712017018</v>
      </c>
      <c r="AA98" s="4" cm="1">
        <f t="array" ref="AA98">ThetaC(S98,$B$2,$AA$95,$D$2,$E$2,$F$3)</f>
        <v>-2.4504365254330298</v>
      </c>
      <c r="AB98" s="4" cm="1">
        <f t="array" ref="AB98">ThetaC(S98,$B$2,$AB$95,$D$2,$E$2,$F$3)</f>
        <v>-2.5517035958736147</v>
      </c>
      <c r="AC98" s="4" cm="1">
        <f t="array" ref="AC98">ThetaC(S98,$B$2,$AC$95,$D$2,$E$2,$F$3)</f>
        <v>-2.6214011777202777</v>
      </c>
      <c r="AD98" s="4" cm="1">
        <f t="array" ref="AD98">ThetaC(S98,$B$2,$AD$95,$D$2,$E$2,$F$3)</f>
        <v>-2.6555418888221998</v>
      </c>
      <c r="AE98" s="4" cm="1">
        <f t="array" ref="AE98">ThetaC(S98,$B$2,$AE$95,$D$2,$E$2,$F$3)</f>
        <v>-2.4409968380917202</v>
      </c>
      <c r="AF98" s="4" cm="1">
        <f t="array" ref="AF98">ThetaC(S98,$B$2,$AF$95,$D$2,$E$2,$F$3)</f>
        <v>-2.2367059040872883</v>
      </c>
      <c r="AG98" s="5" cm="1">
        <f t="array" ref="AG98">ThetaC(S98,$B$2,$AG$95,$D$2,$E$2,$F$3)</f>
        <v>-2.0630719700342928</v>
      </c>
      <c r="AK98" s="1">
        <v>70</v>
      </c>
      <c r="AL98" s="4" cm="1">
        <f t="array" ref="AL98">ThetaC(AK98,$B$2,$AL$95,$D$2,$E$2,$F$4)</f>
        <v>-1.7965184339350717E-27</v>
      </c>
      <c r="AM98" s="4" cm="1">
        <f t="array" ref="AM98">ThetaC(AK98,$B$2,$AM$95,$D$2,$E$2,$F$4)</f>
        <v>-8.2834418456166403E-14</v>
      </c>
      <c r="AN98" s="4" cm="1">
        <f t="array" ref="AN98">ThetaC(AK98,$B$2,$AN$95,$D$2,$E$2,$F$4)</f>
        <v>-2.7298872158421394E-9</v>
      </c>
      <c r="AO98" s="4" cm="1">
        <f t="array" ref="AO98">ThetaC(AK98,$B$2,$AO$95,$D$2,$E$2,$F$4)</f>
        <v>-4.7593574640757318E-7</v>
      </c>
      <c r="AP98" s="4" cm="1">
        <f t="array" ref="AP98">ThetaC(AK98,$B$2,$AP$95,$D$2,$E$2,$F$4)</f>
        <v>-1.0282598965756016E-5</v>
      </c>
      <c r="AQ98" s="4" cm="1">
        <f t="array" ref="AQ98">ThetaC(AK98,$B$2,$AQ$95,$D$2,$E$2,$F$4)</f>
        <v>-7.8536926900978952E-5</v>
      </c>
      <c r="AR98" s="4" cm="1">
        <f t="array" ref="AR98">ThetaC(AK98,$B$2,$AR$95,$D$2,$E$2,$F$4)</f>
        <v>-3.3192191194745917E-4</v>
      </c>
      <c r="AS98" s="4" cm="1">
        <f t="array" ref="AS98">ThetaC(AK98,$B$2,$AS$95,$D$2,$E$2,$F$4)</f>
        <v>-9.7053380389574802E-4</v>
      </c>
      <c r="AT98" s="4" cm="1">
        <f t="array" ref="AT98">ThetaC(AK98,$B$2,$AT$95,$D$2,$E$2,$F$4)</f>
        <v>-2.2220452297081021E-3</v>
      </c>
      <c r="AU98" s="4" cm="1">
        <f t="array" ref="AU98">ThetaC(AK98,$B$2,$AU$95,$D$2,$E$2,$F$4)</f>
        <v>-4.2897137822304234E-3</v>
      </c>
      <c r="AV98" s="4" cm="1">
        <f t="array" ref="AV98">ThetaC(AK98,$B$2,$AV$95,$D$2,$E$2,$F$4)</f>
        <v>-7.5492705019145762E-2</v>
      </c>
      <c r="AW98" s="4" cm="1">
        <f t="array" ref="AW98">ThetaC(AK98,$B$2,$AW$95,$D$2,$E$2,$F$4)</f>
        <v>-0.18324275378839761</v>
      </c>
      <c r="AX98" s="4" cm="1">
        <f t="array" ref="AX98">ThetaC(AK98,$B$2,$AX$95,$D$2,$E$2,$F$4)</f>
        <v>-0.27668874124441334</v>
      </c>
      <c r="AY98" s="5" cm="1">
        <f t="array" ref="AY98">ThetaC(AK98,$B$2,$AY$95,$D$2,$E$2,$F$4)</f>
        <v>-0.34806918998601771</v>
      </c>
    </row>
    <row r="99" spans="1:51" x14ac:dyDescent="0.3">
      <c r="A99" s="1">
        <v>75</v>
      </c>
      <c r="B99" s="4" cm="1">
        <f t="array" ref="B99">ThetaC(A99,$B$2,$B$95,$D$2,$E$2,$F$2)</f>
        <v>-3.795153436595248E-4</v>
      </c>
      <c r="C99" s="4" cm="1">
        <f t="array" ref="C99">ThetaC(A99,$B$2,$C$95,$D$2,$E$2,$F$2)</f>
        <v>-4.7563462701187005E-2</v>
      </c>
      <c r="D99" s="4" cm="1">
        <f t="array" ref="D99">ThetaC(A99,$B$2,$D$95,$D$2,$E$2,$F$2)</f>
        <v>-0.21877299456996252</v>
      </c>
      <c r="E99" s="4" cm="1">
        <f t="array" ref="E99">ThetaC(A99,$B$2,$E$95,$D$2,$E$2,$F$2)</f>
        <v>-0.45054605116011914</v>
      </c>
      <c r="F99" s="4" cm="1">
        <f t="array" ref="F99">ThetaC(A99,$B$2,$F$95,$D$2,$E$2,$F$2)</f>
        <v>-0.6785996959283418</v>
      </c>
      <c r="G99" s="4" cm="1">
        <f t="array" ref="G99">ThetaC(A99,$B$2,$G$95,$D$2,$E$2,$F$2)</f>
        <v>-0.87773913326975805</v>
      </c>
      <c r="H99" s="4" cm="1">
        <f t="array" ref="H99">ThetaC(A99,$B$2,$H$95,$D$2,$E$2,$F$2)</f>
        <v>-1.0431643769325487</v>
      </c>
      <c r="I99" s="4" cm="1">
        <f t="array" ref="I99">ThetaC(A99,$B$2,$I$95,$D$2,$E$2,$F$2)</f>
        <v>-1.1775852389200596</v>
      </c>
      <c r="J99" s="4" cm="1">
        <f t="array" ref="J99">ThetaC(A99,$B$2,$J$95,$D$2,$E$2,$F$2)</f>
        <v>-1.2857297128434393</v>
      </c>
      <c r="K99" s="4" cm="1">
        <f t="array" ref="K99">ThetaC(A99,$B$2,$K$95,$D$2,$E$2,$F$2)</f>
        <v>-1.3723294458451327</v>
      </c>
      <c r="L99" s="4" cm="1">
        <f t="array" ref="L99">ThetaC(A99,$B$2,$L$95,$D$2,$E$2,$F$2)</f>
        <v>-1.6657947474499215</v>
      </c>
      <c r="M99" s="4" cm="1">
        <f t="array" ref="M99">ThetaC(A99,$B$2,$M$95,$D$2,$E$2,$F$2)</f>
        <v>-1.6421461549550194</v>
      </c>
      <c r="N99" s="4" cm="1">
        <f t="array" ref="N99">ThetaC(A99,$B$2,$N$95,$D$2,$E$2,$F$2)</f>
        <v>-1.5684360973535147</v>
      </c>
      <c r="O99" s="5" cm="1">
        <f t="array" ref="O99">ThetaC(A99,$B$2,$O$95,$D$2,$E$2,$F$2)</f>
        <v>-1.4902810165017013</v>
      </c>
      <c r="S99" s="1">
        <v>75</v>
      </c>
      <c r="T99" s="4" cm="1">
        <f t="array" ref="T99">ThetaC(S99,$B$2,$T$95,$D$2,$E$2,$F$3)</f>
        <v>-0.17123698568076551</v>
      </c>
      <c r="U99" s="4" cm="1">
        <f t="array" ref="U99">ThetaC(S99,$B$2,$U$95,$D$2,$E$2,$F$3)</f>
        <v>-1.2108334849312246</v>
      </c>
      <c r="V99" s="4" cm="1">
        <f t="array" ref="V99">ThetaC(S99,$B$2,$V$95,$D$2,$E$2,$F$3)</f>
        <v>-2.1339099293665682</v>
      </c>
      <c r="W99" s="4" cm="1">
        <f t="array" ref="W99">ThetaC(S99,$B$2,$W$95,$D$2,$E$2,$F$3)</f>
        <v>-2.7180204876622058</v>
      </c>
      <c r="X99" s="4" cm="1">
        <f t="array" ref="X99">ThetaC(S99,$B$2,$X$95,$D$2,$E$2,$F$3)</f>
        <v>-3.0664451357531393</v>
      </c>
      <c r="Y99" s="4" cm="1">
        <f t="array" ref="Y99">ThetaC(S99,$B$2,$Y$95,$D$2,$E$2,$F$3)</f>
        <v>-3.2695032124569399</v>
      </c>
      <c r="Z99" s="4" cm="1">
        <f t="array" ref="Z99">ThetaC(S99,$B$2,$Z$95,$D$2,$E$2,$F$3)</f>
        <v>-3.3832037190680788</v>
      </c>
      <c r="AA99" s="4" cm="1">
        <f t="array" ref="AA99">ThetaC(S99,$B$2,$AA$95,$D$2,$E$2,$F$3)</f>
        <v>-3.4409696065436042</v>
      </c>
      <c r="AB99" s="4" cm="1">
        <f t="array" ref="AB99">ThetaC(S99,$B$2,$AB$95,$D$2,$E$2,$F$3)</f>
        <v>-3.4630237817918452</v>
      </c>
      <c r="AC99" s="4" cm="1">
        <f t="array" ref="AC99">ThetaC(S99,$B$2,$AC$95,$D$2,$E$2,$F$3)</f>
        <v>-3.4619123250811352</v>
      </c>
      <c r="AD99" s="4" cm="1">
        <f t="array" ref="AD99">ThetaC(S99,$B$2,$AD$95,$D$2,$E$2,$F$3)</f>
        <v>-3.1027525387801438</v>
      </c>
      <c r="AE99" s="4" cm="1">
        <f t="array" ref="AE99">ThetaC(S99,$B$2,$AE$95,$D$2,$E$2,$F$3)</f>
        <v>-2.7382435399524416</v>
      </c>
      <c r="AF99" s="4" cm="1">
        <f t="array" ref="AF99">ThetaC(S99,$B$2,$AF$95,$D$2,$E$2,$F$3)</f>
        <v>-2.4584705263847519</v>
      </c>
      <c r="AG99" s="5" cm="1">
        <f t="array" ref="AG99">ThetaC(S99,$B$2,$AG$95,$D$2,$E$2,$F$3)</f>
        <v>-2.2400065899523129</v>
      </c>
      <c r="AK99" s="1">
        <v>75</v>
      </c>
      <c r="AL99" s="4" cm="1">
        <f t="array" ref="AL99">ThetaC(AK99,$B$2,$AL$95,$D$2,$E$2,$F$4)</f>
        <v>-7.8256854812150232E-18</v>
      </c>
      <c r="AM99" s="4" cm="1">
        <f t="array" ref="AM99">ThetaC(AK99,$B$2,$AM$95,$D$2,$E$2,$F$4)</f>
        <v>-5.3836941160189032E-9</v>
      </c>
      <c r="AN99" s="4" cm="1">
        <f t="array" ref="AN99">ThetaC(AK99,$B$2,$AN$95,$D$2,$E$2,$F$4)</f>
        <v>-4.3711823606206652E-6</v>
      </c>
      <c r="AO99" s="4" cm="1">
        <f t="array" ref="AO99">ThetaC(AK99,$B$2,$AO$95,$D$2,$E$2,$F$4)</f>
        <v>-1.1967943915051099E-4</v>
      </c>
      <c r="AP99" s="4" cm="1">
        <f t="array" ref="AP99">ThetaC(AK99,$B$2,$AP$95,$D$2,$E$2,$F$4)</f>
        <v>-8.5182568362664841E-4</v>
      </c>
      <c r="AQ99" s="4" cm="1">
        <f t="array" ref="AQ99">ThetaC(AK99,$B$2,$AQ$95,$D$2,$E$2,$F$4)</f>
        <v>-3.104333626753534E-3</v>
      </c>
      <c r="AR99" s="4" cm="1">
        <f t="array" ref="AR99">ThetaC(AK99,$B$2,$AR$95,$D$2,$E$2,$F$4)</f>
        <v>-7.7356243656453586E-3</v>
      </c>
      <c r="AS99" s="4" cm="1">
        <f t="array" ref="AS99">ThetaC(AK99,$B$2,$AS$95,$D$2,$E$2,$F$4)</f>
        <v>-1.5222227650521194E-2</v>
      </c>
      <c r="AT99" s="4" cm="1">
        <f t="array" ref="AT99">ThetaC(AK99,$B$2,$AT$95,$D$2,$E$2,$F$4)</f>
        <v>-2.5616471772711976E-2</v>
      </c>
      <c r="AU99" s="4" cm="1">
        <f t="array" ref="AU99">ThetaC(AK99,$B$2,$AU$95,$D$2,$E$2,$F$4)</f>
        <v>-3.8662805619377225E-2</v>
      </c>
      <c r="AV99" s="4" cm="1">
        <f t="array" ref="AV99">ThetaC(AK99,$B$2,$AV$95,$D$2,$E$2,$F$4)</f>
        <v>-0.2254419047382171</v>
      </c>
      <c r="AW99" s="4" cm="1">
        <f t="array" ref="AW99">ThetaC(AK99,$B$2,$AW$95,$D$2,$E$2,$F$4)</f>
        <v>-0.37965888564532541</v>
      </c>
      <c r="AX99" s="4" cm="1">
        <f t="array" ref="AX99">ThetaC(AK99,$B$2,$AX$95,$D$2,$E$2,$F$4)</f>
        <v>-0.47812250038049475</v>
      </c>
      <c r="AY99" s="5" cm="1">
        <f t="array" ref="AY99">ThetaC(AK99,$B$2,$AY$95,$D$2,$E$2,$F$4)</f>
        <v>-0.53979986371556854</v>
      </c>
    </row>
    <row r="100" spans="1:51" x14ac:dyDescent="0.3">
      <c r="A100" s="1">
        <v>80</v>
      </c>
      <c r="B100" s="4" cm="1">
        <f t="array" ref="B100">ThetaC(A100,$B$2,$B$95,$D$2,$E$2,$F$2)</f>
        <v>-2.3806429023180083E-2</v>
      </c>
      <c r="C100" s="4" cm="1">
        <f t="array" ref="C100">ThetaC(A100,$B$2,$C$95,$D$2,$E$2,$F$2)</f>
        <v>-0.38056333097459333</v>
      </c>
      <c r="D100" s="4" cm="1">
        <f t="array" ref="D100">ThetaC(A100,$B$2,$D$95,$D$2,$E$2,$F$2)</f>
        <v>-0.88165736399349448</v>
      </c>
      <c r="E100" s="4" cm="1">
        <f t="array" ref="E100">ThetaC(A100,$B$2,$E$95,$D$2,$E$2,$F$2)</f>
        <v>-1.2890398543869555</v>
      </c>
      <c r="F100" s="4" cm="1">
        <f t="array" ref="F100">ThetaC(A100,$B$2,$F$95,$D$2,$E$2,$F$2)</f>
        <v>-1.5811182895522478</v>
      </c>
      <c r="G100" s="4" cm="1">
        <f t="array" ref="G100">ThetaC(A100,$B$2,$G$95,$D$2,$E$2,$F$2)</f>
        <v>-1.7837190840052652</v>
      </c>
      <c r="H100" s="4" cm="1">
        <f t="array" ref="H100">ThetaC(A100,$B$2,$H$95,$D$2,$E$2,$F$2)</f>
        <v>-1.9228078610881789</v>
      </c>
      <c r="I100" s="4" cm="1">
        <f t="array" ref="I100">ThetaC(A100,$B$2,$I$95,$D$2,$E$2,$F$2)</f>
        <v>-2.0175482659103769</v>
      </c>
      <c r="J100" s="4" cm="1">
        <f t="array" ref="J100">ThetaC(A100,$B$2,$J$95,$D$2,$E$2,$F$2)</f>
        <v>-2.0811799747457029</v>
      </c>
      <c r="K100" s="4" cm="1">
        <f t="array" ref="K100">ThetaC(A100,$B$2,$K$95,$D$2,$E$2,$F$2)</f>
        <v>-2.1227536936129181</v>
      </c>
      <c r="L100" s="4" cm="1">
        <f t="array" ref="L100">ThetaC(A100,$B$2,$L$95,$D$2,$E$2,$F$2)</f>
        <v>-2.1020438933344709</v>
      </c>
      <c r="M100" s="4" cm="1">
        <f t="array" ref="M100">ThetaC(A100,$B$2,$M$95,$D$2,$E$2,$F$2)</f>
        <v>-1.937029066470157</v>
      </c>
      <c r="N100" s="4" cm="1">
        <f t="array" ref="N100">ThetaC(A100,$B$2,$N$95,$D$2,$E$2,$F$2)</f>
        <v>-1.7888923915920518</v>
      </c>
      <c r="O100" s="5" cm="1">
        <f t="array" ref="O100">ThetaC(A100,$B$2,$O$95,$D$2,$E$2,$F$2)</f>
        <v>-1.665812016068891</v>
      </c>
      <c r="S100" s="1">
        <v>80</v>
      </c>
      <c r="T100" s="4" cm="1">
        <f t="array" ref="T100">ThetaC(S100,$B$2,$T$95,$D$2,$E$2,$F$3)</f>
        <v>-1.0978796531062129</v>
      </c>
      <c r="U100" s="4" cm="1">
        <f t="array" ref="U100">ThetaC(S100,$B$2,$U$95,$D$2,$E$2,$F$3)</f>
        <v>-3.1095952477789739</v>
      </c>
      <c r="V100" s="4" cm="1">
        <f t="array" ref="V100">ThetaC(S100,$B$2,$V$95,$D$2,$E$2,$F$3)</f>
        <v>-4.0410218231046038</v>
      </c>
      <c r="W100" s="4" cm="1">
        <f t="array" ref="W100">ThetaC(S100,$B$2,$W$95,$D$2,$E$2,$F$3)</f>
        <v>-4.4206398493278041</v>
      </c>
      <c r="X100" s="4" cm="1">
        <f t="array" ref="X100">ThetaC(S100,$B$2,$X$95,$D$2,$E$2,$F$3)</f>
        <v>-4.5525755909735093</v>
      </c>
      <c r="Y100" s="4" cm="1">
        <f t="array" ref="Y100">ThetaC(S100,$B$2,$Y$95,$D$2,$E$2,$F$3)</f>
        <v>-4.5679449042102078</v>
      </c>
      <c r="Z100" s="4" cm="1">
        <f t="array" ref="Z100">ThetaC(S100,$B$2,$Z$95,$D$2,$E$2,$F$3)</f>
        <v>-4.5262445003803577</v>
      </c>
      <c r="AA100" s="4" cm="1">
        <f t="array" ref="AA100">ThetaC(S100,$B$2,$AA$95,$D$2,$E$2,$F$3)</f>
        <v>-4.4563512948974298</v>
      </c>
      <c r="AB100" s="4" cm="1">
        <f t="array" ref="AB100">ThetaC(S100,$B$2,$AB$95,$D$2,$E$2,$F$3)</f>
        <v>-4.3730662634783366</v>
      </c>
      <c r="AC100" s="4" cm="1">
        <f t="array" ref="AC100">ThetaC(S100,$B$2,$AC$95,$D$2,$E$2,$F$3)</f>
        <v>-4.2842772354506504</v>
      </c>
      <c r="AD100" s="4" cm="1">
        <f t="array" ref="AD100">ThetaC(S100,$B$2,$AD$95,$D$2,$E$2,$F$3)</f>
        <v>-3.5068307698804109</v>
      </c>
      <c r="AE100" s="4" cm="1">
        <f t="array" ref="AE100">ThetaC(S100,$B$2,$AE$95,$D$2,$E$2,$F$3)</f>
        <v>-3.0027581996199002</v>
      </c>
      <c r="AF100" s="4" cm="1">
        <f t="array" ref="AF100">ThetaC(S100,$B$2,$AF$95,$D$2,$E$2,$F$3)</f>
        <v>-2.6554455785266864</v>
      </c>
      <c r="AG100" s="5" cm="1">
        <f t="array" ref="AG100">ThetaC(S100,$B$2,$AG$95,$D$2,$E$2,$F$3)</f>
        <v>-2.3974980329667264</v>
      </c>
      <c r="AK100" s="1">
        <v>80</v>
      </c>
      <c r="AL100" s="4" cm="1">
        <f t="array" ref="AL100">ThetaC(AK100,$B$2,$AL$95,$D$2,$E$2,$F$4)</f>
        <v>-1.0945469496445877E-10</v>
      </c>
      <c r="AM100" s="4" cm="1">
        <f t="array" ref="AM100">ThetaC(AK100,$B$2,$AM$95,$D$2,$E$2,$F$4)</f>
        <v>-1.9865645367966133E-5</v>
      </c>
      <c r="AN100" s="4" cm="1">
        <f t="array" ref="AN100">ThetaC(AK100,$B$2,$AN$95,$D$2,$E$2,$F$4)</f>
        <v>-1.0355445943207977E-3</v>
      </c>
      <c r="AO100" s="4" cm="1">
        <f t="array" ref="AO100">ThetaC(AK100,$B$2,$AO$95,$D$2,$E$2,$F$4)</f>
        <v>-7.1888534884936945E-3</v>
      </c>
      <c r="AP100" s="4" cm="1">
        <f t="array" ref="AP100">ThetaC(AK100,$B$2,$AP$95,$D$2,$E$2,$F$4)</f>
        <v>-2.2472217520036059E-2</v>
      </c>
      <c r="AQ100" s="4" cm="1">
        <f t="array" ref="AQ100">ThetaC(AK100,$B$2,$AQ$95,$D$2,$E$2,$F$4)</f>
        <v>-4.7336296245838107E-2</v>
      </c>
      <c r="AR100" s="4" cm="1">
        <f t="array" ref="AR100">ThetaC(AK100,$B$2,$AR$95,$D$2,$E$2,$F$4)</f>
        <v>-7.9762193439246287E-2</v>
      </c>
      <c r="AS100" s="4" cm="1">
        <f t="array" ref="AS100">ThetaC(AK100,$B$2,$AS$95,$D$2,$E$2,$F$4)</f>
        <v>-0.11706772368302551</v>
      </c>
      <c r="AT100" s="4" cm="1">
        <f t="array" ref="AT100">ThetaC(AK100,$B$2,$AT$95,$D$2,$E$2,$F$4)</f>
        <v>-0.15686134166460777</v>
      </c>
      <c r="AU100" s="4" cm="1">
        <f t="array" ref="AU100">ThetaC(AK100,$B$2,$AU$95,$D$2,$E$2,$F$4)</f>
        <v>-0.1973277731270941</v>
      </c>
      <c r="AV100" s="4" cm="1">
        <f t="array" ref="AV100">ThetaC(AK100,$B$2,$AV$95,$D$2,$E$2,$F$4)</f>
        <v>-0.50862652486936444</v>
      </c>
      <c r="AW100" s="4" cm="1">
        <f t="array" ref="AW100">ThetaC(AK100,$B$2,$AW$95,$D$2,$E$2,$F$4)</f>
        <v>-0.65422441810309706</v>
      </c>
      <c r="AX100" s="4" cm="1">
        <f t="array" ref="AX100">ThetaC(AK100,$B$2,$AX$95,$D$2,$E$2,$F$4)</f>
        <v>-0.72088166490353678</v>
      </c>
      <c r="AY100" s="5" cm="1">
        <f t="array" ref="AY100">ThetaC(AK100,$B$2,$AY$95,$D$2,$E$2,$F$4)</f>
        <v>-0.7516408875146191</v>
      </c>
    </row>
    <row r="101" spans="1:51" x14ac:dyDescent="0.3">
      <c r="A101" s="1">
        <v>85</v>
      </c>
      <c r="B101" s="4" cm="1">
        <f t="array" ref="B101">ThetaC(A101,$B$2,$B$95,$D$2,$E$2,$F$2)</f>
        <v>-0.45044316854020067</v>
      </c>
      <c r="C101" s="4" cm="1">
        <f t="array" ref="C101">ThetaC(A101,$B$2,$C$95,$D$2,$E$2,$F$2)</f>
        <v>-1.6728876411574809</v>
      </c>
      <c r="D101" s="4" cm="1">
        <f t="array" ref="D101">ThetaC(A101,$B$2,$D$95,$D$2,$E$2,$F$2)</f>
        <v>-2.3841445746413892</v>
      </c>
      <c r="E101" s="4" cm="1">
        <f t="array" ref="E101">ThetaC(A101,$B$2,$E$95,$D$2,$E$2,$F$2)</f>
        <v>-2.7349455814898369</v>
      </c>
      <c r="F101" s="4" cm="1">
        <f t="array" ref="F101">ThetaC(A101,$B$2,$F$95,$D$2,$E$2,$F$2)</f>
        <v>-2.9008614414784248</v>
      </c>
      <c r="G101" s="4" cm="1">
        <f t="array" ref="G101">ThetaC(A101,$B$2,$G$95,$D$2,$E$2,$F$2)</f>
        <v>-2.9707583409544625</v>
      </c>
      <c r="H101" s="4" cm="1">
        <f t="array" ref="H101">ThetaC(A101,$B$2,$H$95,$D$2,$E$2,$F$2)</f>
        <v>-2.9888258321013366</v>
      </c>
      <c r="I101" s="4" cm="1">
        <f t="array" ref="I101">ThetaC(A101,$B$2,$I$95,$D$2,$E$2,$F$2)</f>
        <v>-2.978066514680576</v>
      </c>
      <c r="J101" s="4" cm="1">
        <f t="array" ref="J101">ThetaC(A101,$B$2,$J$95,$D$2,$E$2,$F$2)</f>
        <v>-2.9510460809802979</v>
      </c>
      <c r="K101" s="4" cm="1">
        <f t="array" ref="K101">ThetaC(A101,$B$2,$K$95,$D$2,$E$2,$F$2)</f>
        <v>-2.9149147413399148</v>
      </c>
      <c r="L101" s="4" cm="1">
        <f t="array" ref="L101">ThetaC(A101,$B$2,$L$95,$D$2,$E$2,$F$2)</f>
        <v>-2.4995896850909696</v>
      </c>
      <c r="M101" s="4" cm="1">
        <f t="array" ref="M101">ThetaC(A101,$B$2,$M$95,$D$2,$E$2,$F$2)</f>
        <v>-2.1960091181107821</v>
      </c>
      <c r="N101" s="4" cm="1">
        <f t="array" ref="N101">ThetaC(A101,$B$2,$N$95,$D$2,$E$2,$F$2)</f>
        <v>-1.9802656786724686</v>
      </c>
      <c r="O101" s="5" cm="1">
        <f t="array" ref="O101">ThetaC(A101,$B$2,$O$95,$D$2,$E$2,$F$2)</f>
        <v>-1.8177553654206444</v>
      </c>
      <c r="S101" s="1">
        <v>85</v>
      </c>
      <c r="T101" s="4" cm="1">
        <f t="array" ref="T101">ThetaC(S101,$B$2,$T$95,$D$2,$E$2,$F$3)</f>
        <v>-4.1284706726956406</v>
      </c>
      <c r="U101" s="4" cm="1">
        <f t="array" ref="U101">ThetaC(S101,$B$2,$U$95,$D$2,$E$2,$F$3)</f>
        <v>-6.1139874855477672</v>
      </c>
      <c r="V101" s="4" cm="1">
        <f t="array" ref="V101">ThetaC(S101,$B$2,$V$95,$D$2,$E$2,$F$3)</f>
        <v>-6.4029620848560018</v>
      </c>
      <c r="W101" s="4" cm="1">
        <f t="array" ref="W101">ThetaC(S101,$B$2,$W$95,$D$2,$E$2,$F$3)</f>
        <v>-6.2888627151985368</v>
      </c>
      <c r="X101" s="4" cm="1">
        <f t="array" ref="X101">ThetaC(S101,$B$2,$X$95,$D$2,$E$2,$F$3)</f>
        <v>-6.0714923044142068</v>
      </c>
      <c r="Y101" s="4" cm="1">
        <f t="array" ref="Y101">ThetaC(S101,$B$2,$Y$95,$D$2,$E$2,$F$3)</f>
        <v>-5.8355130311107528</v>
      </c>
      <c r="Z101" s="4" cm="1">
        <f t="array" ref="Z101">ThetaC(S101,$B$2,$Z$95,$D$2,$E$2,$F$3)</f>
        <v>-5.6074439972799262</v>
      </c>
      <c r="AA101" s="4" cm="1">
        <f t="array" ref="AA101">ThetaC(S101,$B$2,$AA$95,$D$2,$E$2,$F$3)</f>
        <v>-5.395297075905094</v>
      </c>
      <c r="AB101" s="4" cm="1">
        <f t="array" ref="AB101">ThetaC(S101,$B$2,$AB$95,$D$2,$E$2,$F$3)</f>
        <v>-5.2006317002732176</v>
      </c>
      <c r="AC101" s="4" cm="1">
        <f t="array" ref="AC101">ThetaC(S101,$B$2,$AC$95,$D$2,$E$2,$F$3)</f>
        <v>-5.0227100150735122</v>
      </c>
      <c r="AD101" s="4" cm="1">
        <f t="array" ref="AD101">ThetaC(S101,$B$2,$AD$95,$D$2,$E$2,$F$3)</f>
        <v>-3.8553061228667658</v>
      </c>
      <c r="AE101" s="4" cm="1">
        <f t="array" ref="AE101">ThetaC(S101,$B$2,$AE$95,$D$2,$E$2,$F$3)</f>
        <v>-3.2310342393826827</v>
      </c>
      <c r="AF101" s="4" cm="1">
        <f t="array" ref="AF101">ThetaC(S101,$B$2,$AF$95,$D$2,$E$2,$F$3)</f>
        <v>-2.8266338033648197</v>
      </c>
      <c r="AG101" s="5" cm="1">
        <f t="array" ref="AG101">ThetaC(S101,$B$2,$AG$95,$D$2,$E$2,$F$3)</f>
        <v>-2.5354420120298613</v>
      </c>
      <c r="AK101" s="1">
        <v>85</v>
      </c>
      <c r="AL101" s="4" cm="1">
        <f t="array" ref="AL101">ThetaC(AK101,$B$2,$AL$95,$D$2,$E$2,$F$4)</f>
        <v>-1.2718845568899485E-5</v>
      </c>
      <c r="AM101" s="4" cm="1">
        <f t="array" ref="AM101">ThetaC(AK101,$B$2,$AM$95,$D$2,$E$2,$F$4)</f>
        <v>-6.6979952562465309E-3</v>
      </c>
      <c r="AN101" s="4" cm="1">
        <f t="array" ref="AN101">ThetaC(AK101,$B$2,$AN$95,$D$2,$E$2,$F$4)</f>
        <v>-4.9870979006304723E-2</v>
      </c>
      <c r="AO101" s="4" cm="1">
        <f t="array" ref="AO101">ThetaC(AK101,$B$2,$AO$95,$D$2,$E$2,$F$4)</f>
        <v>-0.13096432610230183</v>
      </c>
      <c r="AP101" s="4" cm="1">
        <f t="array" ref="AP101">ThetaC(AK101,$B$2,$AP$95,$D$2,$E$2,$F$4)</f>
        <v>-0.22861221391938027</v>
      </c>
      <c r="AQ101" s="4" cm="1">
        <f t="array" ref="AQ101">ThetaC(AK101,$B$2,$AQ$95,$D$2,$E$2,$F$4)</f>
        <v>-0.32670165900473036</v>
      </c>
      <c r="AR101" s="4" cm="1">
        <f t="array" ref="AR101">ThetaC(AK101,$B$2,$AR$95,$D$2,$E$2,$F$4)</f>
        <v>-0.4173956577474226</v>
      </c>
      <c r="AS101" s="4" cm="1">
        <f t="array" ref="AS101">ThetaC(AK101,$B$2,$AS$95,$D$2,$E$2,$F$4)</f>
        <v>-0.49790735381044754</v>
      </c>
      <c r="AT101" s="4" cm="1">
        <f t="array" ref="AT101">ThetaC(AK101,$B$2,$AT$95,$D$2,$E$2,$F$4)</f>
        <v>-0.56792126563834433</v>
      </c>
      <c r="AU101" s="4" cm="1">
        <f t="array" ref="AU101">ThetaC(AK101,$B$2,$AU$95,$D$2,$E$2,$F$4)</f>
        <v>-0.62817868988970182</v>
      </c>
      <c r="AV101" s="4" cm="1">
        <f t="array" ref="AV101">ThetaC(AK101,$B$2,$AV$95,$D$2,$E$2,$F$4)</f>
        <v>-0.91051647528102519</v>
      </c>
      <c r="AW101" s="4" cm="1">
        <f t="array" ref="AW101">ThetaC(AK101,$B$2,$AW$95,$D$2,$E$2,$F$4)</f>
        <v>-0.96899254465018148</v>
      </c>
      <c r="AX101" s="4" cm="1">
        <f t="array" ref="AX101">ThetaC(AK101,$B$2,$AX$95,$D$2,$E$2,$F$4)</f>
        <v>-0.97209769273009516</v>
      </c>
      <c r="AY101" s="5" cm="1">
        <f t="array" ref="AY101">ThetaC(AK101,$B$2,$AY$95,$D$2,$E$2,$F$4)</f>
        <v>-0.95848597221824339</v>
      </c>
    </row>
    <row r="102" spans="1:51" x14ac:dyDescent="0.3">
      <c r="A102" s="1">
        <v>90</v>
      </c>
      <c r="B102" s="4" cm="1">
        <f t="array" ref="B102">ThetaC(A102,$B$2,$B$95,$D$2,$E$2,$F$2)</f>
        <v>-3.1107198362775765</v>
      </c>
      <c r="C102" s="4" cm="1">
        <f t="array" ref="C102">ThetaC(A102,$B$2,$C$95,$D$2,$E$2,$F$2)</f>
        <v>-4.4465323616872592</v>
      </c>
      <c r="D102" s="4" cm="1">
        <f t="array" ref="D102">ThetaC(A102,$B$2,$D$95,$D$2,$E$2,$F$2)</f>
        <v>-4.6129327753105409</v>
      </c>
      <c r="E102" s="4" cm="1">
        <f t="array" ref="E102">ThetaC(A102,$B$2,$E$95,$D$2,$E$2,$F$2)</f>
        <v>-4.5163008294554041</v>
      </c>
      <c r="F102" s="4" cm="1">
        <f t="array" ref="F102">ThetaC(A102,$B$2,$F$95,$D$2,$E$2,$F$2)</f>
        <v>-4.3566607810537521</v>
      </c>
      <c r="G102" s="4" cm="1">
        <f t="array" ref="G102">ThetaC(A102,$B$2,$G$95,$D$2,$E$2,$F$2)</f>
        <v>-4.1886080467823206</v>
      </c>
      <c r="H102" s="4" cm="1">
        <f t="array" ref="H102">ThetaC(A102,$B$2,$H$95,$D$2,$E$2,$F$2)</f>
        <v>-4.0285092134666716</v>
      </c>
      <c r="I102" s="4" cm="1">
        <f t="array" ref="I102">ThetaC(A102,$B$2,$I$95,$D$2,$E$2,$F$2)</f>
        <v>-3.8808721056250692</v>
      </c>
      <c r="J102" s="4" cm="1">
        <f t="array" ref="J102">ThetaC(A102,$B$2,$J$95,$D$2,$E$2,$F$2)</f>
        <v>-3.7462031069995496</v>
      </c>
      <c r="K102" s="4" cm="1">
        <f t="array" ref="K102">ThetaC(A102,$B$2,$K$95,$D$2,$E$2,$F$2)</f>
        <v>-3.6236590248930369</v>
      </c>
      <c r="L102" s="4" cm="1">
        <f t="array" ref="L102">ThetaC(A102,$B$2,$L$95,$D$2,$E$2,$F$2)</f>
        <v>-2.8287067427962778</v>
      </c>
      <c r="M102" s="4" cm="1">
        <f t="array" ref="M102">ThetaC(A102,$B$2,$M$95,$D$2,$E$2,$F$2)</f>
        <v>-2.4086335119519844</v>
      </c>
      <c r="N102" s="4" cm="1">
        <f t="array" ref="N102">ThetaC(A102,$B$2,$N$95,$D$2,$E$2,$F$2)</f>
        <v>-2.1381475393542368</v>
      </c>
      <c r="O102" s="5" cm="1">
        <f t="array" ref="O102">ThetaC(A102,$B$2,$O$95,$D$2,$E$2,$F$2)</f>
        <v>-1.9441194313891628</v>
      </c>
      <c r="S102" s="1">
        <v>90</v>
      </c>
      <c r="T102" s="4" cm="1">
        <f t="array" ref="T102">ThetaC(S102,$B$2,$T$95,$D$2,$E$2,$F$3)</f>
        <v>-9.9122869262396929</v>
      </c>
      <c r="U102" s="4" cm="1">
        <f t="array" ref="U102">ThetaC(S102,$B$2,$U$95,$D$2,$E$2,$F$3)</f>
        <v>-9.6047976302199629</v>
      </c>
      <c r="V102" s="4" cm="1">
        <f t="array" ref="V102">ThetaC(S102,$B$2,$V$95,$D$2,$E$2,$F$3)</f>
        <v>-8.734941657971337</v>
      </c>
      <c r="W102" s="4" cm="1">
        <f t="array" ref="W102">ThetaC(S102,$B$2,$W$95,$D$2,$E$2,$F$3)</f>
        <v>-7.9957093121645491</v>
      </c>
      <c r="X102" s="4" cm="1">
        <f t="array" ref="X102">ThetaC(S102,$B$2,$X$95,$D$2,$E$2,$F$3)</f>
        <v>-7.400251608132125</v>
      </c>
      <c r="Y102" s="4" cm="1">
        <f t="array" ref="Y102">ThetaC(S102,$B$2,$Y$95,$D$2,$E$2,$F$3)</f>
        <v>-6.9154307764610223</v>
      </c>
      <c r="Z102" s="4" cm="1">
        <f t="array" ref="Z102">ThetaC(S102,$B$2,$Z$95,$D$2,$E$2,$F$3)</f>
        <v>-6.513125367110411</v>
      </c>
      <c r="AA102" s="4" cm="1">
        <f t="array" ref="AA102">ThetaC(S102,$B$2,$AA$95,$D$2,$E$2,$F$3)</f>
        <v>-6.1731453902301494</v>
      </c>
      <c r="AB102" s="4" cm="1">
        <f t="array" ref="AB102">ThetaC(S102,$B$2,$AB$95,$D$2,$E$2,$F$3)</f>
        <v>-5.8812212416849832</v>
      </c>
      <c r="AC102" s="4" cm="1">
        <f t="array" ref="AC102">ThetaC(S102,$B$2,$AC$95,$D$2,$E$2,$F$3)</f>
        <v>-5.6271245372996592</v>
      </c>
      <c r="AD102" s="4" cm="1">
        <f t="array" ref="AD102">ThetaC(S102,$B$2,$AD$95,$D$2,$E$2,$F$3)</f>
        <v>-4.1410087251173353</v>
      </c>
      <c r="AE102" s="4" cm="1">
        <f t="array" ref="AE102">ThetaC(S102,$B$2,$AE$95,$D$2,$E$2,$F$3)</f>
        <v>-3.4217000844737417</v>
      </c>
      <c r="AF102" s="4" cm="1">
        <f t="array" ref="AF102">ThetaC(S102,$B$2,$AF$95,$D$2,$E$2,$F$3)</f>
        <v>-2.9720649485766923</v>
      </c>
      <c r="AG102" s="5" cm="1">
        <f t="array" ref="AG102">ThetaC(S102,$B$2,$AG$95,$D$2,$E$2,$F$3)</f>
        <v>-2.6542840868503306</v>
      </c>
      <c r="AK102" s="1">
        <v>90</v>
      </c>
      <c r="AL102" s="4" cm="1">
        <f t="array" ref="AL102">ThetaC(AK102,$B$2,$AL$95,$D$2,$E$2,$F$4)</f>
        <v>-2.6264123680401839E-2</v>
      </c>
      <c r="AM102" s="4" cm="1">
        <f t="array" ref="AM102">ThetaC(AK102,$B$2,$AM$95,$D$2,$E$2,$F$4)</f>
        <v>-0.30221040224718798</v>
      </c>
      <c r="AN102" s="4" cm="1">
        <f t="array" ref="AN102">ThetaC(AK102,$B$2,$AN$95,$D$2,$E$2,$F$4)</f>
        <v>-0.63036640408252664</v>
      </c>
      <c r="AO102" s="4" cm="1">
        <f t="array" ref="AO102">ThetaC(AK102,$B$2,$AO$95,$D$2,$E$2,$F$4)</f>
        <v>-0.87721128897693912</v>
      </c>
      <c r="AP102" s="4" cm="1">
        <f t="array" ref="AP102">ThetaC(AK102,$B$2,$AP$95,$D$2,$E$2,$F$4)</f>
        <v>-1.0468955445219887</v>
      </c>
      <c r="AQ102" s="4" cm="1">
        <f t="array" ref="AQ102">ThetaC(AK102,$B$2,$AQ$95,$D$2,$E$2,$F$4)</f>
        <v>-1.1616675668261593</v>
      </c>
      <c r="AR102" s="4" cm="1">
        <f t="array" ref="AR102">ThetaC(AK102,$B$2,$AR$95,$D$2,$E$2,$F$4)</f>
        <v>-1.2392488993142485</v>
      </c>
      <c r="AS102" s="4" cm="1">
        <f t="array" ref="AS102">ThetaC(AK102,$B$2,$AS$95,$D$2,$E$2,$F$4)</f>
        <v>-1.2916322354704772</v>
      </c>
      <c r="AT102" s="4" cm="1">
        <f t="array" ref="AT102">ThetaC(AK102,$B$2,$AT$95,$D$2,$E$2,$F$4)</f>
        <v>-1.3267108853063547</v>
      </c>
      <c r="AU102" s="4" cm="1">
        <f t="array" ref="AU102">ThetaC(AK102,$B$2,$AU$95,$D$2,$E$2,$F$4)</f>
        <v>-1.3497115868103298</v>
      </c>
      <c r="AV102" s="4" cm="1">
        <f t="array" ref="AV102">ThetaC(AK102,$B$2,$AV$95,$D$2,$E$2,$F$4)</f>
        <v>-1.3465118625798755</v>
      </c>
      <c r="AW102" s="4" cm="1">
        <f t="array" ref="AW102">ThetaC(AK102,$B$2,$AW$95,$D$2,$E$2,$F$4)</f>
        <v>-1.2674633598458167</v>
      </c>
      <c r="AX102" s="4" cm="1">
        <f t="array" ref="AX102">ThetaC(AK102,$B$2,$AX$95,$D$2,$E$2,$F$4)</f>
        <v>-1.1964633419513619</v>
      </c>
      <c r="AY102" s="5" cm="1">
        <f t="array" ref="AY102">ThetaC(AK102,$B$2,$AY$95,$D$2,$E$2,$F$4)</f>
        <v>-1.1376031377479858</v>
      </c>
    </row>
    <row r="103" spans="1:51" x14ac:dyDescent="0.3">
      <c r="A103" s="1">
        <v>95</v>
      </c>
      <c r="B103" s="4" cm="1">
        <f t="array" ref="B103">ThetaC(A103,$B$2,$B$95,$D$2,$E$2,$F$2)</f>
        <v>-9.1580985691009307</v>
      </c>
      <c r="C103" s="4" cm="1">
        <f t="array" ref="C103">ThetaC(A103,$B$2,$C$95,$D$2,$E$2,$F$2)</f>
        <v>-7.7298647717854028</v>
      </c>
      <c r="D103" s="4" cm="1">
        <f t="array" ref="D103">ThetaC(A103,$B$2,$D$95,$D$2,$E$2,$F$2)</f>
        <v>-6.7316632172013984</v>
      </c>
      <c r="E103" s="4" cm="1">
        <f t="array" ref="E103">ThetaC(A103,$B$2,$E$95,$D$2,$E$2,$F$2)</f>
        <v>-6.0398621370452883</v>
      </c>
      <c r="F103" s="4" cm="1">
        <f t="array" ref="F103">ThetaC(A103,$B$2,$F$95,$D$2,$E$2,$F$2)</f>
        <v>-5.5297499170138629</v>
      </c>
      <c r="G103" s="4" cm="1">
        <f t="array" ref="G103">ThetaC(A103,$B$2,$G$95,$D$2,$E$2,$F$2)</f>
        <v>-5.1347413667888864</v>
      </c>
      <c r="H103" s="4" cm="1">
        <f t="array" ref="H103">ThetaC(A103,$B$2,$H$95,$D$2,$E$2,$F$2)</f>
        <v>-4.8174757710844407</v>
      </c>
      <c r="I103" s="4" cm="1">
        <f t="array" ref="I103">ThetaC(A103,$B$2,$I$95,$D$2,$E$2,$F$2)</f>
        <v>-4.5554602729850719</v>
      </c>
      <c r="J103" s="4" cm="1">
        <f t="array" ref="J103">ThetaC(A103,$B$2,$J$95,$D$2,$E$2,$F$2)</f>
        <v>-4.3343136323550571</v>
      </c>
      <c r="K103" s="4" cm="1">
        <f t="array" ref="K103">ThetaC(A103,$B$2,$K$95,$D$2,$E$2,$F$2)</f>
        <v>-4.1443800816070882</v>
      </c>
      <c r="L103" s="4" cm="1">
        <f t="array" ref="L103">ThetaC(A103,$B$2,$L$95,$D$2,$E$2,$F$2)</f>
        <v>-3.0711981252103762</v>
      </c>
      <c r="M103" s="4" cm="1">
        <f t="array" ref="M103">ThetaC(A103,$B$2,$M$95,$D$2,$E$2,$F$2)</f>
        <v>-2.5697082491994965</v>
      </c>
      <c r="N103" s="4" cm="1">
        <f t="array" ref="N103">ThetaC(A103,$B$2,$N$95,$D$2,$E$2,$F$2)</f>
        <v>-2.2608931215641359</v>
      </c>
      <c r="O103" s="5" cm="1">
        <f t="array" ref="O103">ThetaC(A103,$B$2,$O$95,$D$2,$E$2,$F$2)</f>
        <v>-2.0445236331417487</v>
      </c>
      <c r="S103" s="1">
        <v>95</v>
      </c>
      <c r="T103" s="4" cm="1">
        <f t="array" ref="T103">ThetaC(S103,$B$2,$T$95,$D$2,$E$2,$F$3)</f>
        <v>-16.281827134620691</v>
      </c>
      <c r="U103" s="4" cm="1">
        <f t="array" ref="U103">ThetaC(S103,$B$2,$U$95,$D$2,$E$2,$F$3)</f>
        <v>-12.482633365255644</v>
      </c>
      <c r="V103" s="4" cm="1">
        <f t="array" ref="V103">ThetaC(S103,$B$2,$V$95,$D$2,$E$2,$F$3)</f>
        <v>-10.501494129426368</v>
      </c>
      <c r="W103" s="4" cm="1">
        <f t="array" ref="W103">ThetaC(S103,$B$2,$W$95,$D$2,$E$2,$F$3)</f>
        <v>-9.246085696999307</v>
      </c>
      <c r="X103" s="4" cm="1">
        <f t="array" ref="X103">ThetaC(S103,$B$2,$X$95,$D$2,$E$2,$F$3)</f>
        <v>-8.3602865316580477</v>
      </c>
      <c r="Y103" s="4" cm="1">
        <f t="array" ref="Y103">ThetaC(S103,$B$2,$Y$95,$D$2,$E$2,$F$3)</f>
        <v>-7.6921056530042433</v>
      </c>
      <c r="Z103" s="4" cm="1">
        <f t="array" ref="Z103">ThetaC(S103,$B$2,$Z$95,$D$2,$E$2,$F$3)</f>
        <v>-7.1646458788959393</v>
      </c>
      <c r="AA103" s="4" cm="1">
        <f t="array" ref="AA103">ThetaC(S103,$B$2,$AA$95,$D$2,$E$2,$F$3)</f>
        <v>-6.7343392729607903</v>
      </c>
      <c r="AB103" s="4" cm="1">
        <f t="array" ref="AB103">ThetaC(S103,$B$2,$AB$95,$D$2,$E$2,$F$3)</f>
        <v>-6.3744279099051768</v>
      </c>
      <c r="AC103" s="4" cm="1">
        <f t="array" ref="AC103">ThetaC(S103,$B$2,$AC$95,$D$2,$E$2,$F$3)</f>
        <v>-6.0674542642235005</v>
      </c>
      <c r="AD103" s="4" cm="1">
        <f t="array" ref="AD103">ThetaC(S103,$B$2,$AD$95,$D$2,$E$2,$F$3)</f>
        <v>-4.3613583330502772</v>
      </c>
      <c r="AE103" s="4" cm="1">
        <f t="array" ref="AE103">ThetaC(S103,$B$2,$AE$95,$D$2,$E$2,$F$3)</f>
        <v>-3.5750472530785147</v>
      </c>
      <c r="AF103" s="4" cm="1">
        <f t="array" ref="AF103">ThetaC(S103,$B$2,$AF$95,$D$2,$E$2,$F$3)</f>
        <v>-3.0925211334589857</v>
      </c>
      <c r="AG103" s="5" cm="1">
        <f t="array" ref="AG103">ThetaC(S103,$B$2,$AG$95,$D$2,$E$2,$F$3)</f>
        <v>-2.754852854959454</v>
      </c>
      <c r="AK103" s="1">
        <v>95</v>
      </c>
      <c r="AL103" s="4" cm="1">
        <f t="array" ref="AL103">ThetaC(AK103,$B$2,$AL$95,$D$2,$E$2,$F$4)</f>
        <v>-1.7887200978989348</v>
      </c>
      <c r="AM103" s="4" cm="1">
        <f t="array" ref="AM103">ThetaC(AK103,$B$2,$AM$95,$D$2,$E$2,$F$4)</f>
        <v>-2.4953248875877767</v>
      </c>
      <c r="AN103" s="4" cm="1">
        <f t="array" ref="AN103">ThetaC(AK103,$B$2,$AN$95,$D$2,$E$2,$F$4)</f>
        <v>-2.5829981117216718</v>
      </c>
      <c r="AO103" s="4" cm="1">
        <f t="array" ref="AO103">ThetaC(AK103,$B$2,$AO$95,$D$2,$E$2,$F$4)</f>
        <v>-2.535493714857286</v>
      </c>
      <c r="AP103" s="4" cm="1">
        <f t="array" ref="AP103">ThetaC(AK103,$B$2,$AP$95,$D$2,$E$2,$F$4)</f>
        <v>-2.4560770189035495</v>
      </c>
      <c r="AQ103" s="4" cm="1">
        <f t="array" ref="AQ103">ThetaC(AK103,$B$2,$AQ$95,$D$2,$E$2,$F$4)</f>
        <v>-2.3725143203716335</v>
      </c>
      <c r="AR103" s="4" cm="1">
        <f t="array" ref="AR103">ThetaC(AK103,$B$2,$AR$95,$D$2,$E$2,$F$4)</f>
        <v>-2.2930341537550012</v>
      </c>
      <c r="AS103" s="4" cm="1">
        <f t="array" ref="AS103">ThetaC(AK103,$B$2,$AS$95,$D$2,$E$2,$F$4)</f>
        <v>-2.2198665455734687</v>
      </c>
      <c r="AT103" s="4" cm="1">
        <f t="array" ref="AT103">ThetaC(AK103,$B$2,$AT$95,$D$2,$E$2,$F$4)</f>
        <v>-2.1532360436750415</v>
      </c>
      <c r="AU103" s="4" cm="1">
        <f t="array" ref="AU103">ThetaC(AK103,$B$2,$AU$95,$D$2,$E$2,$F$4)</f>
        <v>-2.0926986337310773</v>
      </c>
      <c r="AV103" s="4" cm="1">
        <f t="array" ref="AV103">ThetaC(AK103,$B$2,$AV$95,$D$2,$E$2,$F$4)</f>
        <v>-1.702369113260277</v>
      </c>
      <c r="AW103" s="4" cm="1">
        <f t="array" ref="AW103">ThetaC(AK103,$B$2,$AW$95,$D$2,$E$2,$F$4)</f>
        <v>-1.4980318249102007</v>
      </c>
      <c r="AX103" s="4" cm="1">
        <f t="array" ref="AX103">ThetaC(AK103,$B$2,$AX$95,$D$2,$E$2,$F$4)</f>
        <v>-1.3672555247453544</v>
      </c>
      <c r="AY103" s="5" cm="1">
        <f t="array" ref="AY103">ThetaC(AK103,$B$2,$AY$95,$D$2,$E$2,$F$4)</f>
        <v>-1.2738042093903825</v>
      </c>
    </row>
    <row r="104" spans="1:51" x14ac:dyDescent="0.3">
      <c r="A104" s="1">
        <v>100</v>
      </c>
      <c r="B104" s="4" cm="1">
        <f t="array" ref="B104">ThetaC(A104,$B$2,$B$95,$D$2,$E$2,$F$2)</f>
        <v>-13.094676955864362</v>
      </c>
      <c r="C104" s="4" cm="1">
        <f t="array" ref="C104">ThetaC(A104,$B$2,$C$95,$D$2,$E$2,$F$2)</f>
        <v>-9.3906706918611</v>
      </c>
      <c r="D104" s="4" cm="1">
        <f t="array" ref="D104">ThetaC(A104,$B$2,$D$95,$D$2,$E$2,$F$2)</f>
        <v>-7.7467261525529985</v>
      </c>
      <c r="E104" s="4" cm="1">
        <f t="array" ref="E104">ThetaC(A104,$B$2,$E$95,$D$2,$E$2,$F$2)</f>
        <v>-6.7649506231012921</v>
      </c>
      <c r="F104" s="4" cm="1">
        <f t="array" ref="F104">ThetaC(A104,$B$2,$F$95,$D$2,$E$2,$F$2)</f>
        <v>-6.0937240318105896</v>
      </c>
      <c r="G104" s="4" cm="1">
        <f t="array" ref="G104">ThetaC(A104,$B$2,$G$95,$D$2,$E$2,$F$2)</f>
        <v>-5.5973293636636168</v>
      </c>
      <c r="H104" s="4" cm="1">
        <f t="array" ref="H104">ThetaC(A104,$B$2,$H$95,$D$2,$E$2,$F$2)</f>
        <v>-5.2108141079548362</v>
      </c>
      <c r="I104" s="4" cm="1">
        <f t="array" ref="I104">ThetaC(A104,$B$2,$I$95,$D$2,$E$2,$F$2)</f>
        <v>-4.8986703743347455</v>
      </c>
      <c r="J104" s="4" cm="1">
        <f t="array" ref="J104">ThetaC(A104,$B$2,$J$95,$D$2,$E$2,$F$2)</f>
        <v>-4.6396311066685483</v>
      </c>
      <c r="K104" s="4" cm="1">
        <f t="array" ref="K104">ThetaC(A104,$B$2,$K$95,$D$2,$E$2,$F$2)</f>
        <v>-4.4200778145480362</v>
      </c>
      <c r="L104" s="4" cm="1">
        <f t="array" ref="L104">ThetaC(A104,$B$2,$L$95,$D$2,$E$2,$F$2)</f>
        <v>-3.2206567843562808</v>
      </c>
      <c r="M104" s="4" cm="1">
        <f t="array" ref="M104">ThetaC(A104,$B$2,$M$95,$D$2,$E$2,$F$2)</f>
        <v>-2.6785916148822886</v>
      </c>
      <c r="N104" s="4" cm="1">
        <f t="array" ref="N104">ThetaC(A104,$B$2,$N$95,$D$2,$E$2,$F$2)</f>
        <v>-2.3490676314387358</v>
      </c>
      <c r="O104" s="5" cm="1">
        <f t="array" ref="O104">ThetaC(A104,$B$2,$O$95,$D$2,$E$2,$F$2)</f>
        <v>-2.1198126421010919</v>
      </c>
      <c r="S104" s="1">
        <v>100</v>
      </c>
      <c r="T104" s="4" cm="1">
        <f t="array" ref="T104">ThetaC(S104,$B$2,$T$95,$D$2,$E$2,$F$3)</f>
        <v>-19.376518662495105</v>
      </c>
      <c r="U104" s="4" cm="1">
        <f t="array" ref="U104">ThetaC(S104,$B$2,$U$95,$D$2,$E$2,$F$3)</f>
        <v>-13.814268800717613</v>
      </c>
      <c r="V104" s="4" cm="1">
        <f t="array" ref="V104">ThetaC(S104,$B$2,$V$95,$D$2,$E$2,$F$3)</f>
        <v>-11.343643378530663</v>
      </c>
      <c r="W104" s="4" cm="1">
        <f t="array" ref="W104">ThetaC(S104,$B$2,$W$95,$D$2,$E$2,$F$3)</f>
        <v>-9.8670678358746962</v>
      </c>
      <c r="X104" s="4" cm="1">
        <f t="array" ref="X104">ThetaC(S104,$B$2,$X$95,$D$2,$E$2,$F$3)</f>
        <v>-8.8568267201005213</v>
      </c>
      <c r="Y104" s="4" cm="1">
        <f t="array" ref="Y104">ThetaC(S104,$B$2,$Y$95,$D$2,$E$2,$F$3)</f>
        <v>-8.1091979389043836</v>
      </c>
      <c r="Z104" s="4" cm="1">
        <f t="array" ref="Z104">ThetaC(S104,$B$2,$Z$95,$D$2,$E$2,$F$3)</f>
        <v>-7.5266655233478144</v>
      </c>
      <c r="AA104" s="4" cm="1">
        <f t="array" ref="AA104">ThetaC(S104,$B$2,$AA$95,$D$2,$E$2,$F$3)</f>
        <v>-7.055910733472639</v>
      </c>
      <c r="AB104" s="4" cm="1">
        <f t="array" ref="AB104">ThetaC(S104,$B$2,$AB$95,$D$2,$E$2,$F$3)</f>
        <v>-6.6649933986572272</v>
      </c>
      <c r="AC104" s="4" cm="1">
        <f t="array" ref="AC104">ThetaC(S104,$B$2,$AC$95,$D$2,$E$2,$F$3)</f>
        <v>-6.3334569165011896</v>
      </c>
      <c r="AD104" s="4" cm="1">
        <f t="array" ref="AD104">ThetaC(S104,$B$2,$AD$95,$D$2,$E$2,$F$3)</f>
        <v>-4.5174347803161865</v>
      </c>
      <c r="AE104" s="4" cm="1">
        <f t="array" ref="AE104">ThetaC(S104,$B$2,$AE$95,$D$2,$E$2,$F$3)</f>
        <v>-3.6925921236830623</v>
      </c>
      <c r="AF104" s="4" cm="1">
        <f t="array" ref="AF104">ThetaC(S104,$B$2,$AF$95,$D$2,$E$2,$F$3)</f>
        <v>-3.1893081826513754</v>
      </c>
      <c r="AG104" s="5" cm="1">
        <f t="array" ref="AG104">ThetaC(S104,$B$2,$AG$95,$D$2,$E$2,$F$3)</f>
        <v>-2.8382289425117961</v>
      </c>
      <c r="AK104" s="1">
        <v>100</v>
      </c>
      <c r="AL104" s="4" cm="1">
        <f t="array" ref="AL104">ThetaC(AK104,$B$2,$AL$95,$D$2,$E$2,$F$4)</f>
        <v>-6.8065404989997935</v>
      </c>
      <c r="AM104" s="4" cm="1">
        <f t="array" ref="AM104">ThetaC(AK104,$B$2,$AM$95,$D$2,$E$2,$F$4)</f>
        <v>-4.9581889285846295</v>
      </c>
      <c r="AN104" s="4" cm="1">
        <f t="array" ref="AN104">ThetaC(AK104,$B$2,$AN$95,$D$2,$E$2,$F$4)</f>
        <v>-4.1389512934429913</v>
      </c>
      <c r="AO104" s="4" cm="1">
        <f t="array" ref="AO104">ThetaC(AK104,$B$2,$AO$95,$D$2,$E$2,$F$4)</f>
        <v>-3.6503221191583921</v>
      </c>
      <c r="AP104" s="4" cm="1">
        <f t="array" ref="AP104">ThetaC(AK104,$B$2,$AP$95,$D$2,$E$2,$F$4)</f>
        <v>-3.3166623386379701</v>
      </c>
      <c r="AQ104" s="4" cm="1">
        <f t="array" ref="AQ104">ThetaC(AK104,$B$2,$AQ$95,$D$2,$E$2,$F$4)</f>
        <v>-3.0702012244401988</v>
      </c>
      <c r="AR104" s="4" cm="1">
        <f t="array" ref="AR104">ThetaC(AK104,$B$2,$AR$95,$D$2,$E$2,$F$4)</f>
        <v>-2.8785147234306048</v>
      </c>
      <c r="AS104" s="4" cm="1">
        <f t="array" ref="AS104">ThetaC(AK104,$B$2,$AS$95,$D$2,$E$2,$F$4)</f>
        <v>-2.723882939939362</v>
      </c>
      <c r="AT104" s="4" cm="1">
        <f t="array" ref="AT104">ThetaC(AK104,$B$2,$AT$95,$D$2,$E$2,$F$4)</f>
        <v>-2.5956960223579779</v>
      </c>
      <c r="AU104" s="4" cm="1">
        <f t="array" ref="AU104">ThetaC(AK104,$B$2,$AU$95,$D$2,$E$2,$F$4)</f>
        <v>-2.4871619828194662</v>
      </c>
      <c r="AV104" s="4" cm="1">
        <f t="array" ref="AV104">ThetaC(AK104,$B$2,$AV$95,$D$2,$E$2,$F$4)</f>
        <v>-1.8968198638910643</v>
      </c>
      <c r="AW104" s="4" cm="1">
        <f t="array" ref="AW104">ThetaC(AK104,$B$2,$AW$95,$D$2,$E$2,$F$4)</f>
        <v>-1.6321368840120556</v>
      </c>
      <c r="AX104" s="4" cm="1">
        <f t="array" ref="AX104">ThetaC(AK104,$B$2,$AX$95,$D$2,$E$2,$F$4)</f>
        <v>-1.4721304236675186</v>
      </c>
      <c r="AY104" s="5" cm="1">
        <f t="array" ref="AY104">ThetaC(AK104,$B$2,$AY$95,$D$2,$E$2,$F$4)</f>
        <v>-1.3612230144410415</v>
      </c>
    </row>
    <row r="105" spans="1:51" x14ac:dyDescent="0.3">
      <c r="A105" s="1">
        <v>105</v>
      </c>
      <c r="B105" s="4" cm="1">
        <f t="array" ref="B105">ThetaC(A105,$B$2,$B$95,$D$2,$E$2,$F$2)</f>
        <v>-10.247346144859719</v>
      </c>
      <c r="C105" s="4" cm="1">
        <f t="array" ref="C105">ThetaC(A105,$B$2,$C$95,$D$2,$E$2,$F$2)</f>
        <v>-8.4624350940387636</v>
      </c>
      <c r="D105" s="4" cm="1">
        <f t="array" ref="D105">ThetaC(A105,$B$2,$D$95,$D$2,$E$2,$F$2)</f>
        <v>-7.3143822545279491</v>
      </c>
      <c r="E105" s="4" cm="1">
        <f t="array" ref="E105">ThetaC(A105,$B$2,$E$95,$D$2,$E$2,$F$2)</f>
        <v>-6.5366866891780706</v>
      </c>
      <c r="F105" s="4" cm="1">
        <f t="array" ref="F105">ThetaC(A105,$B$2,$F$95,$D$2,$E$2,$F$2)</f>
        <v>-5.9694688661480697</v>
      </c>
      <c r="G105" s="4" cm="1">
        <f t="array" ref="G105">ThetaC(A105,$B$2,$G$95,$D$2,$E$2,$F$2)</f>
        <v>-5.5330676186549903</v>
      </c>
      <c r="H105" s="4" cm="1">
        <f t="array" ref="H105">ThetaC(A105,$B$2,$H$95,$D$2,$E$2,$F$2)</f>
        <v>-5.1840552369114281</v>
      </c>
      <c r="I105" s="4" cm="1">
        <f t="array" ref="I105">ThetaC(A105,$B$2,$I$95,$D$2,$E$2,$F$2)</f>
        <v>-4.896703310758947</v>
      </c>
      <c r="J105" s="4" cm="1">
        <f t="array" ref="J105">ThetaC(A105,$B$2,$J$95,$D$2,$E$2,$F$2)</f>
        <v>-4.6547310280285252</v>
      </c>
      <c r="K105" s="4" cm="1">
        <f t="array" ref="K105">ThetaC(A105,$B$2,$K$95,$D$2,$E$2,$F$2)</f>
        <v>-4.4472859830090457</v>
      </c>
      <c r="L105" s="4" cm="1">
        <f t="array" ref="L105">ThetaC(A105,$B$2,$L$95,$D$2,$E$2,$F$2)</f>
        <v>-3.2806364102898713</v>
      </c>
      <c r="M105" s="4" cm="1">
        <f t="array" ref="M105">ThetaC(A105,$B$2,$M$95,$D$2,$E$2,$F$2)</f>
        <v>-2.7381483840361835</v>
      </c>
      <c r="N105" s="4" cm="1">
        <f t="array" ref="N105">ThetaC(A105,$B$2,$N$95,$D$2,$E$2,$F$2)</f>
        <v>-2.4048521549857802</v>
      </c>
      <c r="O105" s="5" cm="1">
        <f t="array" ref="O105">ThetaC(A105,$B$2,$O$95,$D$2,$E$2,$F$2)</f>
        <v>-2.1716932465298098</v>
      </c>
      <c r="S105" s="1">
        <v>105</v>
      </c>
      <c r="T105" s="4" cm="1">
        <f t="array" ref="T105">ThetaC(S105,$B$2,$T$95,$D$2,$E$2,$F$3)</f>
        <v>-17.551290771483384</v>
      </c>
      <c r="U105" s="4" cm="1">
        <f t="array" ref="U105">ThetaC(S105,$B$2,$U$95,$D$2,$E$2,$F$3)</f>
        <v>-13.342865833248622</v>
      </c>
      <c r="V105" s="4" cm="1">
        <f t="array" ref="V105">ThetaC(S105,$B$2,$V$95,$D$2,$E$2,$F$3)</f>
        <v>-11.191345844601329</v>
      </c>
      <c r="W105" s="4" cm="1">
        <f t="array" ref="W105">ThetaC(S105,$B$2,$W$95,$D$2,$E$2,$F$3)</f>
        <v>-9.8373339581211461</v>
      </c>
      <c r="X105" s="4" cm="1">
        <f t="array" ref="X105">ThetaC(S105,$B$2,$X$95,$D$2,$E$2,$F$3)</f>
        <v>-8.8853732518794875</v>
      </c>
      <c r="Y105" s="4" cm="1">
        <f t="array" ref="Y105">ThetaC(S105,$B$2,$Y$95,$D$2,$E$2,$F$3)</f>
        <v>-8.1688726019623541</v>
      </c>
      <c r="Z105" s="4" cm="1">
        <f t="array" ref="Z105">ThetaC(S105,$B$2,$Z$95,$D$2,$E$2,$F$3)</f>
        <v>-7.6041261525370034</v>
      </c>
      <c r="AA105" s="4" cm="1">
        <f t="array" ref="AA105">ThetaC(S105,$B$2,$AA$95,$D$2,$E$2,$F$3)</f>
        <v>-7.1439122011034444</v>
      </c>
      <c r="AB105" s="4" cm="1">
        <f t="array" ref="AB105">ThetaC(S105,$B$2,$AB$95,$D$2,$E$2,$F$3)</f>
        <v>-6.7593147737894457</v>
      </c>
      <c r="AC105" s="4" cm="1">
        <f t="array" ref="AC105">ThetaC(S105,$B$2,$AC$95,$D$2,$E$2,$F$3)</f>
        <v>-6.4315094172064686</v>
      </c>
      <c r="AD105" s="4" cm="1">
        <f t="array" ref="AD105">ThetaC(S105,$B$2,$AD$95,$D$2,$E$2,$F$3)</f>
        <v>-4.6130128955711456</v>
      </c>
      <c r="AE105" s="4" cm="1">
        <f t="array" ref="AE105">ThetaC(S105,$B$2,$AE$95,$D$2,$E$2,$F$3)</f>
        <v>-3.7766961863163413</v>
      </c>
      <c r="AF105" s="4" cm="1">
        <f t="array" ref="AF105">ThetaC(S105,$B$2,$AF$95,$D$2,$E$2,$F$3)</f>
        <v>-3.2640719505512328</v>
      </c>
      <c r="AG105" s="5" cm="1">
        <f t="array" ref="AG105">ThetaC(S105,$B$2,$AG$95,$D$2,$E$2,$F$3)</f>
        <v>-2.905644464657811</v>
      </c>
      <c r="AK105" s="1">
        <v>105</v>
      </c>
      <c r="AL105" s="4" cm="1">
        <f t="array" ref="AL105">ThetaC(AK105,$B$2,$AL$95,$D$2,$E$2,$F$4)</f>
        <v>-2.8096999170641368</v>
      </c>
      <c r="AM105" s="4" cm="1">
        <f t="array" ref="AM105">ThetaC(AK105,$B$2,$AM$95,$D$2,$E$2,$F$4)</f>
        <v>-3.260654127826319</v>
      </c>
      <c r="AN105" s="4" cm="1">
        <f t="array" ref="AN105">ThetaC(AK105,$B$2,$AN$95,$D$2,$E$2,$F$4)</f>
        <v>-3.200344164763647</v>
      </c>
      <c r="AO105" s="4" cm="1">
        <f t="array" ref="AO105">ThetaC(AK105,$B$2,$AO$95,$D$2,$E$2,$F$4)</f>
        <v>-3.0613579018839219</v>
      </c>
      <c r="AP105" s="4" cm="1">
        <f t="array" ref="AP105">ThetaC(AK105,$B$2,$AP$95,$D$2,$E$2,$F$4)</f>
        <v>-2.9196803178708119</v>
      </c>
      <c r="AQ105" s="4" cm="1">
        <f t="array" ref="AQ105">ThetaC(AK105,$B$2,$AQ$95,$D$2,$E$2,$F$4)</f>
        <v>-2.7906897238971711</v>
      </c>
      <c r="AR105" s="4" cm="1">
        <f t="array" ref="AR105">ThetaC(AK105,$B$2,$AR$95,$D$2,$E$2,$F$4)</f>
        <v>-2.6763627640522563</v>
      </c>
      <c r="AS105" s="4" cm="1">
        <f t="array" ref="AS105">ThetaC(AK105,$B$2,$AS$95,$D$2,$E$2,$F$4)</f>
        <v>-2.5754538253346819</v>
      </c>
      <c r="AT105" s="4" cm="1">
        <f t="array" ref="AT105">ThetaC(AK105,$B$2,$AT$95,$D$2,$E$2,$F$4)</f>
        <v>-2.4861015674692988</v>
      </c>
      <c r="AU105" s="4" cm="1">
        <f t="array" ref="AU105">ThetaC(AK105,$B$2,$AU$95,$D$2,$E$2,$F$4)</f>
        <v>-2.4065323741515643</v>
      </c>
      <c r="AV105" s="4" cm="1">
        <f t="array" ref="AV105">ThetaC(AK105,$B$2,$AV$95,$D$2,$E$2,$F$4)</f>
        <v>-1.9161949128158462</v>
      </c>
      <c r="AW105" s="4" cm="1">
        <f t="array" ref="AW105">ThetaC(AK105,$B$2,$AW$95,$D$2,$E$2,$F$4)</f>
        <v>-1.6689769613820471</v>
      </c>
      <c r="AX105" s="4" cm="1">
        <f t="array" ref="AX105">ThetaC(AK105,$B$2,$AX$95,$D$2,$E$2,$F$4)</f>
        <v>-1.5128881577790412</v>
      </c>
      <c r="AY105" s="5" cm="1">
        <f t="array" ref="AY105">ThetaC(AK105,$B$2,$AY$95,$D$2,$E$2,$F$4)</f>
        <v>-1.4021958595339319</v>
      </c>
    </row>
    <row r="106" spans="1:51" x14ac:dyDescent="0.3">
      <c r="A106" s="1">
        <v>110</v>
      </c>
      <c r="B106" s="4" cm="1">
        <f t="array" ref="B106">ThetaC(A106,$B$2,$B$95,$D$2,$E$2,$F$2)</f>
        <v>-5.0770850918414965</v>
      </c>
      <c r="C106" s="4" cm="1">
        <f t="array" ref="C106">ThetaC(A106,$B$2,$C$95,$D$2,$E$2,$F$2)</f>
        <v>-6.0163575646890362</v>
      </c>
      <c r="D106" s="4" cm="1">
        <f t="array" ref="D106">ThetaC(A106,$B$2,$D$95,$D$2,$E$2,$F$2)</f>
        <v>-5.8894568517543142</v>
      </c>
      <c r="E106" s="4" cm="1">
        <f t="array" ref="E106">ThetaC(A106,$B$2,$E$95,$D$2,$E$2,$F$2)</f>
        <v>-5.603351421330677</v>
      </c>
      <c r="F106" s="4" cm="1">
        <f t="array" ref="F106">ThetaC(A106,$B$2,$F$95,$D$2,$E$2,$F$2)</f>
        <v>-5.3130452823452643</v>
      </c>
      <c r="G106" s="4" cm="1">
        <f t="array" ref="G106">ThetaC(A106,$B$2,$G$95,$D$2,$E$2,$F$2)</f>
        <v>-5.0492792420675681</v>
      </c>
      <c r="H106" s="4" cm="1">
        <f t="array" ref="H106">ThetaC(A106,$B$2,$H$95,$D$2,$E$2,$F$2)</f>
        <v>-4.8157326385500134</v>
      </c>
      <c r="I106" s="4" cm="1">
        <f t="array" ref="I106">ThetaC(A106,$B$2,$I$95,$D$2,$E$2,$F$2)</f>
        <v>-4.6096885573617934</v>
      </c>
      <c r="J106" s="4" cm="1">
        <f t="array" ref="J106">ThetaC(A106,$B$2,$J$95,$D$2,$E$2,$F$2)</f>
        <v>-4.42726352008623</v>
      </c>
      <c r="K106" s="4" cm="1">
        <f t="array" ref="K106">ThetaC(A106,$B$2,$K$95,$D$2,$E$2,$F$2)</f>
        <v>-4.2647974639673336</v>
      </c>
      <c r="L106" s="4" cm="1">
        <f t="array" ref="L106">ThetaC(A106,$B$2,$L$95,$D$2,$E$2,$F$2)</f>
        <v>-3.261792103740583</v>
      </c>
      <c r="M106" s="4" cm="1">
        <f t="array" ref="M106">ThetaC(A106,$B$2,$M$95,$D$2,$E$2,$F$2)</f>
        <v>-2.7536309795173581</v>
      </c>
      <c r="N106" s="4" cm="1">
        <f t="array" ref="N106">ThetaC(A106,$B$2,$N$95,$D$2,$E$2,$F$2)</f>
        <v>-2.4314903567491921</v>
      </c>
      <c r="O106" s="5" cm="1">
        <f t="array" ref="O106">ThetaC(A106,$B$2,$O$95,$D$2,$E$2,$F$2)</f>
        <v>-2.2024204397098712</v>
      </c>
      <c r="S106" s="1">
        <v>110</v>
      </c>
      <c r="T106" s="4" cm="1">
        <f t="array" ref="T106">ThetaC(S106,$B$2,$T$95,$D$2,$E$2,$F$3)</f>
        <v>-12.668285785275069</v>
      </c>
      <c r="U106" s="4" cm="1">
        <f t="array" ref="U106">ThetaC(S106,$B$2,$U$95,$D$2,$E$2,$F$3)</f>
        <v>-11.496483138494906</v>
      </c>
      <c r="V106" s="4" cm="1">
        <f t="array" ref="V106">ThetaC(S106,$B$2,$V$95,$D$2,$E$2,$F$3)</f>
        <v>-10.229360192159604</v>
      </c>
      <c r="W106" s="4" cm="1">
        <f t="array" ref="W106">ThetaC(S106,$B$2,$W$95,$D$2,$E$2,$F$3)</f>
        <v>-9.2603811900169628</v>
      </c>
      <c r="X106" s="4" cm="1">
        <f t="array" ref="X106">ThetaC(S106,$B$2,$X$95,$D$2,$E$2,$F$3)</f>
        <v>-8.5127093825797768</v>
      </c>
      <c r="Y106" s="4" cm="1">
        <f t="array" ref="Y106">ThetaC(S106,$B$2,$Y$95,$D$2,$E$2,$F$3)</f>
        <v>-7.9181914358468681</v>
      </c>
      <c r="Z106" s="4" cm="1">
        <f t="array" ref="Z106">ThetaC(S106,$B$2,$Z$95,$D$2,$E$2,$F$3)</f>
        <v>-7.432236157652147</v>
      </c>
      <c r="AA106" s="4" cm="1">
        <f t="array" ref="AA106">ThetaC(S106,$B$2,$AA$95,$D$2,$E$2,$F$3)</f>
        <v>-7.0258437728884617</v>
      </c>
      <c r="AB106" s="4" cm="1">
        <f t="array" ref="AB106">ThetaC(S106,$B$2,$AB$95,$D$2,$E$2,$F$3)</f>
        <v>-6.6795788835399268</v>
      </c>
      <c r="AC106" s="4" cm="1">
        <f t="array" ref="AC106">ThetaC(S106,$B$2,$AC$95,$D$2,$E$2,$F$3)</f>
        <v>-6.379968693015881</v>
      </c>
      <c r="AD106" s="4" cm="1">
        <f t="array" ref="AD106">ThetaC(S106,$B$2,$AD$95,$D$2,$E$2,$F$3)</f>
        <v>-4.6536739381781427</v>
      </c>
      <c r="AE106" s="4" cm="1">
        <f t="array" ref="AE106">ThetaC(S106,$B$2,$AE$95,$D$2,$E$2,$F$3)</f>
        <v>-3.8302531715045656</v>
      </c>
      <c r="AF106" s="4" cm="1">
        <f t="array" ref="AF106">ThetaC(S106,$B$2,$AF$95,$D$2,$E$2,$F$3)</f>
        <v>-3.3186551587305373</v>
      </c>
      <c r="AG106" s="5" cm="1">
        <f t="array" ref="AG106">ThetaC(S106,$B$2,$AG$95,$D$2,$E$2,$F$3)</f>
        <v>-2.958407526781262</v>
      </c>
      <c r="AK106" s="1">
        <v>110</v>
      </c>
      <c r="AL106" s="4" cm="1">
        <f t="array" ref="AL106">ThetaC(AK106,$B$2,$AL$95,$D$2,$E$2,$F$4)</f>
        <v>-1.0617696856203676</v>
      </c>
      <c r="AM106" s="4" cm="1">
        <f t="array" ref="AM106">ThetaC(AK106,$B$2,$AM$95,$D$2,$E$2,$F$4)</f>
        <v>-1.4203267482624213</v>
      </c>
      <c r="AN106" s="4" cm="1">
        <f t="array" ref="AN106">ThetaC(AK106,$B$2,$AN$95,$D$2,$E$2,$F$4)</f>
        <v>-1.7199839414945775</v>
      </c>
      <c r="AO106" s="4" cm="1">
        <f t="array" ref="AO106">ThetaC(AK106,$B$2,$AO$95,$D$2,$E$2,$F$4)</f>
        <v>-1.8960425172476052</v>
      </c>
      <c r="AP106" s="4" cm="1">
        <f t="array" ref="AP106">ThetaC(AK106,$B$2,$AP$95,$D$2,$E$2,$F$4)</f>
        <v>-1.9904374474546116</v>
      </c>
      <c r="AQ106" s="4" cm="1">
        <f t="array" ref="AQ106">ThetaC(AK106,$B$2,$AQ$95,$D$2,$E$2,$F$4)</f>
        <v>-2.0364105259898482</v>
      </c>
      <c r="AR106" s="4" cm="1">
        <f t="array" ref="AR106">ThetaC(AK106,$B$2,$AR$95,$D$2,$E$2,$F$4)</f>
        <v>-2.0537948974504801</v>
      </c>
      <c r="AS106" s="4" cm="1">
        <f t="array" ref="AS106">ThetaC(AK106,$B$2,$AS$95,$D$2,$E$2,$F$4)</f>
        <v>-2.0540889827989868</v>
      </c>
      <c r="AT106" s="4" cm="1">
        <f t="array" ref="AT106">ThetaC(AK106,$B$2,$AT$95,$D$2,$E$2,$F$4)</f>
        <v>-2.0440662109919514</v>
      </c>
      <c r="AU106" s="4" cm="1">
        <f t="array" ref="AU106">ThetaC(AK106,$B$2,$AU$95,$D$2,$E$2,$F$4)</f>
        <v>-2.0278151582380417</v>
      </c>
      <c r="AV106" s="4" cm="1">
        <f t="array" ref="AV106">ThetaC(AK106,$B$2,$AV$95,$D$2,$E$2,$F$4)</f>
        <v>-1.8042542243457567</v>
      </c>
      <c r="AW106" s="4" cm="1">
        <f t="array" ref="AW106">ThetaC(AK106,$B$2,$AW$95,$D$2,$E$2,$F$4)</f>
        <v>-1.628547857138261</v>
      </c>
      <c r="AX106" s="4" cm="1">
        <f t="array" ref="AX106">ThetaC(AK106,$B$2,$AX$95,$D$2,$E$2,$F$4)</f>
        <v>-1.5012444403505649</v>
      </c>
      <c r="AY106" s="5" cm="1">
        <f t="array" ref="AY106">ThetaC(AK106,$B$2,$AY$95,$D$2,$E$2,$F$4)</f>
        <v>-1.404563056818029</v>
      </c>
    </row>
    <row r="107" spans="1:51" x14ac:dyDescent="0.3">
      <c r="A107" s="1">
        <v>115</v>
      </c>
      <c r="B107" s="4" cm="1">
        <f t="array" ref="B107">ThetaC(A107,$B$2,$B$95,$D$2,$E$2,$F$2)</f>
        <v>-2.120404901462253</v>
      </c>
      <c r="C107" s="4" cm="1">
        <f t="array" ref="C107">ThetaC(A107,$B$2,$C$95,$D$2,$E$2,$F$2)</f>
        <v>-3.655248414122735</v>
      </c>
      <c r="D107" s="4" cm="1">
        <f t="array" ref="D107">ThetaC(A107,$B$2,$D$95,$D$2,$E$2,$F$2)</f>
        <v>-4.2225044116496644</v>
      </c>
      <c r="E107" s="4" cm="1">
        <f t="array" ref="E107">ThetaC(A107,$B$2,$E$95,$D$2,$E$2,$F$2)</f>
        <v>-4.3868243151952431</v>
      </c>
      <c r="F107" s="4" cm="1">
        <f t="array" ref="F107">ThetaC(A107,$B$2,$F$95,$D$2,$E$2,$F$2)</f>
        <v>-4.3906746851454663</v>
      </c>
      <c r="G107" s="4" cm="1">
        <f t="array" ref="G107">ThetaC(A107,$B$2,$G$95,$D$2,$E$2,$F$2)</f>
        <v>-4.3277209587638472</v>
      </c>
      <c r="H107" s="4" cm="1">
        <f t="array" ref="H107">ThetaC(A107,$B$2,$H$95,$D$2,$E$2,$F$2)</f>
        <v>-4.2371832209563971</v>
      </c>
      <c r="I107" s="4" cm="1">
        <f t="array" ref="I107">ThetaC(A107,$B$2,$I$95,$D$2,$E$2,$F$2)</f>
        <v>-4.1366741115505103</v>
      </c>
      <c r="J107" s="4" cm="1">
        <f t="array" ref="J107">ThetaC(A107,$B$2,$J$95,$D$2,$E$2,$F$2)</f>
        <v>-4.0344543938715578</v>
      </c>
      <c r="K107" s="4" cm="1">
        <f t="array" ref="K107">ThetaC(A107,$B$2,$K$95,$D$2,$E$2,$F$2)</f>
        <v>-3.9344485153602449</v>
      </c>
      <c r="L107" s="4" cm="1">
        <f t="array" ref="L107">ThetaC(A107,$B$2,$L$95,$D$2,$E$2,$F$2)</f>
        <v>-3.1788613398903767</v>
      </c>
      <c r="M107" s="4" cm="1">
        <f t="array" ref="M107">ThetaC(A107,$B$2,$M$95,$D$2,$E$2,$F$2)</f>
        <v>-2.7316580533040917</v>
      </c>
      <c r="N107" s="4" cm="1">
        <f t="array" ref="N107">ThetaC(A107,$B$2,$N$95,$D$2,$E$2,$F$2)</f>
        <v>-2.4328188803790538</v>
      </c>
      <c r="O107" s="5" cm="1">
        <f t="array" ref="O107">ThetaC(A107,$B$2,$O$95,$D$2,$E$2,$F$2)</f>
        <v>-2.2145427852973048</v>
      </c>
      <c r="S107" s="1">
        <v>115</v>
      </c>
      <c r="T107" s="4" cm="1">
        <f t="array" ref="T107">ThetaC(S107,$B$2,$T$95,$D$2,$E$2,$F$3)</f>
        <v>-7.6624531936093607</v>
      </c>
      <c r="U107" s="4" cm="1">
        <f t="array" ref="U107">ThetaC(S107,$B$2,$U$95,$D$2,$E$2,$F$3)</f>
        <v>-9.0215023742313356</v>
      </c>
      <c r="V107" s="4" cm="1">
        <f t="array" ref="V107">ThetaC(S107,$B$2,$V$95,$D$2,$E$2,$F$3)</f>
        <v>-8.7758102343217406</v>
      </c>
      <c r="W107" s="4" cm="1">
        <f t="array" ref="W107">ThetaC(S107,$B$2,$W$95,$D$2,$E$2,$F$3)</f>
        <v>-8.3087310746844558</v>
      </c>
      <c r="X107" s="4" cm="1">
        <f t="array" ref="X107">ThetaC(S107,$B$2,$X$95,$D$2,$E$2,$F$3)</f>
        <v>-7.8462647080660783</v>
      </c>
      <c r="Y107" s="4" cm="1">
        <f t="array" ref="Y107">ThetaC(S107,$B$2,$Y$95,$D$2,$E$2,$F$3)</f>
        <v>-7.4303015724449573</v>
      </c>
      <c r="Z107" s="4" cm="1">
        <f t="array" ref="Z107">ThetaC(S107,$B$2,$Z$95,$D$2,$E$2,$F$3)</f>
        <v>-7.0640007758825725</v>
      </c>
      <c r="AA107" s="4" cm="1">
        <f t="array" ref="AA107">ThetaC(S107,$B$2,$AA$95,$D$2,$E$2,$F$3)</f>
        <v>-6.7419146253309883</v>
      </c>
      <c r="AB107" s="4" cm="1">
        <f t="array" ref="AB107">ThetaC(S107,$B$2,$AB$95,$D$2,$E$2,$F$3)</f>
        <v>-6.4573745014743302</v>
      </c>
      <c r="AC107" s="4" cm="1">
        <f t="array" ref="AC107">ThetaC(S107,$B$2,$AC$95,$D$2,$E$2,$F$3)</f>
        <v>-6.2043450454461784</v>
      </c>
      <c r="AD107" s="4" cm="1">
        <f t="array" ref="AD107">ThetaC(S107,$B$2,$AD$95,$D$2,$E$2,$F$3)</f>
        <v>-4.6460509221782083</v>
      </c>
      <c r="AE107" s="4" cm="1">
        <f t="array" ref="AE107">ThetaC(S107,$B$2,$AE$95,$D$2,$E$2,$F$3)</f>
        <v>-3.8564417584460164</v>
      </c>
      <c r="AF107" s="4" cm="1">
        <f t="array" ref="AF107">ThetaC(S107,$B$2,$AF$95,$D$2,$E$2,$F$3)</f>
        <v>-3.3549888881562855</v>
      </c>
      <c r="AG107" s="5" cm="1">
        <f t="array" ref="AG107">ThetaC(S107,$B$2,$AG$95,$D$2,$E$2,$F$3)</f>
        <v>-2.9978467992173403</v>
      </c>
      <c r="AK107" s="1">
        <v>115</v>
      </c>
      <c r="AL107" s="4" cm="1">
        <f t="array" ref="AL107">ThetaC(AK107,$B$2,$AL$95,$D$2,$E$2,$F$4)</f>
        <v>-0.99933274691414908</v>
      </c>
      <c r="AM107" s="4" cm="1">
        <f t="array" ref="AM107">ThetaC(AK107,$B$2,$AM$95,$D$2,$E$2,$F$4)</f>
        <v>-1.028601874488156</v>
      </c>
      <c r="AN107" s="4" cm="1">
        <f t="array" ref="AN107">ThetaC(AK107,$B$2,$AN$95,$D$2,$E$2,$F$4)</f>
        <v>-1.1225720045313203</v>
      </c>
      <c r="AO107" s="4" cm="1">
        <f t="array" ref="AO107">ThetaC(AK107,$B$2,$AO$95,$D$2,$E$2,$F$4)</f>
        <v>-1.2383251335713354</v>
      </c>
      <c r="AP107" s="4" cm="1">
        <f t="array" ref="AP107">ThetaC(AK107,$B$2,$AP$95,$D$2,$E$2,$F$4)</f>
        <v>-1.3439253423365596</v>
      </c>
      <c r="AQ107" s="4" cm="1">
        <f t="array" ref="AQ107">ThetaC(AK107,$B$2,$AQ$95,$D$2,$E$2,$F$4)</f>
        <v>-1.429919838791941</v>
      </c>
      <c r="AR107" s="4" cm="1">
        <f t="array" ref="AR107">ThetaC(AK107,$B$2,$AR$95,$D$2,$E$2,$F$4)</f>
        <v>-1.496439554663743</v>
      </c>
      <c r="AS107" s="4" cm="1">
        <f t="array" ref="AS107">ThetaC(AK107,$B$2,$AS$95,$D$2,$E$2,$F$4)</f>
        <v>-1.5464279552807736</v>
      </c>
      <c r="AT107" s="4" cm="1">
        <f t="array" ref="AT107">ThetaC(AK107,$B$2,$AT$95,$D$2,$E$2,$F$4)</f>
        <v>-1.5831660900795126</v>
      </c>
      <c r="AU107" s="4" cm="1">
        <f t="array" ref="AU107">ThetaC(AK107,$B$2,$AU$95,$D$2,$E$2,$F$4)</f>
        <v>-1.6095237247485614</v>
      </c>
      <c r="AV107" s="4" cm="1">
        <f t="array" ref="AV107">ThetaC(AK107,$B$2,$AV$95,$D$2,$E$2,$F$4)</f>
        <v>-1.627417685412567</v>
      </c>
      <c r="AW107" s="4" cm="1">
        <f t="array" ref="AW107">ThetaC(AK107,$B$2,$AW$95,$D$2,$E$2,$F$4)</f>
        <v>-1.539912446389601</v>
      </c>
      <c r="AX107" s="4" cm="1">
        <f t="array" ref="AX107">ThetaC(AK107,$B$2,$AX$95,$D$2,$E$2,$F$4)</f>
        <v>-1.4534034312700119</v>
      </c>
      <c r="AY107" s="5" cm="1">
        <f t="array" ref="AY107">ThetaC(AK107,$B$2,$AY$95,$D$2,$E$2,$F$4)</f>
        <v>-1.378687667880929</v>
      </c>
    </row>
    <row r="108" spans="1:51" x14ac:dyDescent="0.3">
      <c r="A108" s="1">
        <v>120</v>
      </c>
      <c r="B108" s="4" cm="1">
        <f t="array" ref="B108">ThetaC(A108,$B$2,$B$95,$D$2,$E$2,$F$2)</f>
        <v>-1.203782807025447</v>
      </c>
      <c r="C108" s="4" cm="1">
        <f t="array" ref="C108">ThetaC(A108,$B$2,$C$95,$D$2,$E$2,$F$2)</f>
        <v>-2.1427842748222052</v>
      </c>
      <c r="D108" s="4" cm="1">
        <f t="array" ref="D108">ThetaC(A108,$B$2,$D$95,$D$2,$E$2,$F$2)</f>
        <v>-2.8481190770658702</v>
      </c>
      <c r="E108" s="4" cm="1">
        <f t="array" ref="E108">ThetaC(A108,$B$2,$E$95,$D$2,$E$2,$F$2)</f>
        <v>-3.2428705495129391</v>
      </c>
      <c r="F108" s="4" cm="1">
        <f t="array" ref="F108">ThetaC(A108,$B$2,$F$95,$D$2,$E$2,$F$2)</f>
        <v>-3.4483862845644371</v>
      </c>
      <c r="G108" s="4" cm="1">
        <f t="array" ref="G108">ThetaC(A108,$B$2,$G$95,$D$2,$E$2,$F$2)</f>
        <v>-3.5460436869198673</v>
      </c>
      <c r="H108" s="4" cm="1">
        <f t="array" ref="H108">ThetaC(A108,$B$2,$H$95,$D$2,$E$2,$F$2)</f>
        <v>-3.581581887146366</v>
      </c>
      <c r="I108" s="4" cm="1">
        <f t="array" ref="I108">ThetaC(A108,$B$2,$I$95,$D$2,$E$2,$F$2)</f>
        <v>-3.5806527563858634</v>
      </c>
      <c r="J108" s="4" cm="1">
        <f t="array" ref="J108">ThetaC(A108,$B$2,$J$95,$D$2,$E$2,$F$2)</f>
        <v>-3.5580381256162892</v>
      </c>
      <c r="K108" s="4" cm="1">
        <f t="array" ref="K108">ThetaC(A108,$B$2,$K$95,$D$2,$E$2,$F$2)</f>
        <v>-3.5225170124662251</v>
      </c>
      <c r="L108" s="4" cm="1">
        <f t="array" ref="L108">ThetaC(A108,$B$2,$L$95,$D$2,$E$2,$F$2)</f>
        <v>-3.0480426310709894</v>
      </c>
      <c r="M108" s="4" cm="1">
        <f t="array" ref="M108">ThetaC(A108,$B$2,$M$95,$D$2,$E$2,$F$2)</f>
        <v>-2.6793781545001574</v>
      </c>
      <c r="N108" s="4" cm="1">
        <f t="array" ref="N108">ThetaC(A108,$B$2,$N$95,$D$2,$E$2,$F$2)</f>
        <v>-2.412896913814671</v>
      </c>
      <c r="O108" s="5" cm="1">
        <f t="array" ref="O108">ThetaC(A108,$B$2,$O$95,$D$2,$E$2,$F$2)</f>
        <v>-2.2107068879361922</v>
      </c>
      <c r="S108" s="1">
        <v>120</v>
      </c>
      <c r="T108" s="4" cm="1">
        <f t="array" ref="T108">ThetaC(S108,$B$2,$T$95,$D$2,$E$2,$F$3)</f>
        <v>-4.1684960311975683</v>
      </c>
      <c r="U108" s="4" cm="1">
        <f t="array" ref="U108">ThetaC(S108,$B$2,$U$95,$D$2,$E$2,$F$3)</f>
        <v>-6.5885479050464948</v>
      </c>
      <c r="V108" s="4" cm="1">
        <f t="array" ref="V108">ThetaC(S108,$B$2,$V$95,$D$2,$E$2,$F$3)</f>
        <v>-7.1548397873240326</v>
      </c>
      <c r="W108" s="4" cm="1">
        <f t="array" ref="W108">ThetaC(S108,$B$2,$W$95,$D$2,$E$2,$F$3)</f>
        <v>-7.1675142754295438</v>
      </c>
      <c r="X108" s="4" cm="1">
        <f t="array" ref="X108">ThetaC(S108,$B$2,$X$95,$D$2,$E$2,$F$3)</f>
        <v>-7.004170835045791</v>
      </c>
      <c r="Y108" s="4" cm="1">
        <f t="array" ref="Y108">ThetaC(S108,$B$2,$Y$95,$D$2,$E$2,$F$3)</f>
        <v>-6.7865807444678898</v>
      </c>
      <c r="Z108" s="4" cm="1">
        <f t="array" ref="Z108">ThetaC(S108,$B$2,$Z$95,$D$2,$E$2,$F$3)</f>
        <v>-6.5586802201493235</v>
      </c>
      <c r="AA108" s="4" cm="1">
        <f t="array" ref="AA108">ThetaC(S108,$B$2,$AA$95,$D$2,$E$2,$F$3)</f>
        <v>-6.3371270341833643</v>
      </c>
      <c r="AB108" s="4" cm="1">
        <f t="array" ref="AB108">ThetaC(S108,$B$2,$AB$95,$D$2,$E$2,$F$3)</f>
        <v>-6.1280125208154255</v>
      </c>
      <c r="AC108" s="4" cm="1">
        <f t="array" ref="AC108">ThetaC(S108,$B$2,$AC$95,$D$2,$E$2,$F$3)</f>
        <v>-5.9330796038718976</v>
      </c>
      <c r="AD108" s="4" cm="1">
        <f t="array" ref="AD108">ThetaC(S108,$B$2,$AD$95,$D$2,$E$2,$F$3)</f>
        <v>-4.5972274699475442</v>
      </c>
      <c r="AE108" s="4" cm="1">
        <f t="array" ref="AE108">ThetaC(S108,$B$2,$AE$95,$D$2,$E$2,$F$3)</f>
        <v>-3.8585374453286305</v>
      </c>
      <c r="AF108" s="4" cm="1">
        <f t="array" ref="AF108">ThetaC(S108,$B$2,$AF$95,$D$2,$E$2,$F$3)</f>
        <v>-3.375012679075664</v>
      </c>
      <c r="AG108" s="5" cm="1">
        <f t="array" ref="AG108">ThetaC(S108,$B$2,$AG$95,$D$2,$E$2,$F$3)</f>
        <v>-3.0252718779929104</v>
      </c>
      <c r="AK108" s="1">
        <v>120</v>
      </c>
      <c r="AL108" s="4" cm="1">
        <f t="array" ref="AL108">ThetaC(AK108,$B$2,$AL$95,$D$2,$E$2,$F$4)</f>
        <v>-0.9990008441294318</v>
      </c>
      <c r="AM108" s="4" cm="1">
        <f t="array" ref="AM108">ThetaC(AK108,$B$2,$AM$95,$D$2,$E$2,$F$4)</f>
        <v>-0.99898058615091334</v>
      </c>
      <c r="AN108" s="4" cm="1">
        <f t="array" ref="AN108">ThetaC(AK108,$B$2,$AN$95,$D$2,$E$2,$F$4)</f>
        <v>-1.0096177769693249</v>
      </c>
      <c r="AO108" s="4" cm="1">
        <f t="array" ref="AO108">ThetaC(AK108,$B$2,$AO$95,$D$2,$E$2,$F$4)</f>
        <v>-1.0391851328459318</v>
      </c>
      <c r="AP108" s="4" cm="1">
        <f t="array" ref="AP108">ThetaC(AK108,$B$2,$AP$95,$D$2,$E$2,$F$4)</f>
        <v>-1.0827543537359843</v>
      </c>
      <c r="AQ108" s="4" cm="1">
        <f t="array" ref="AQ108">ThetaC(AK108,$B$2,$AQ$95,$D$2,$E$2,$F$4)</f>
        <v>-1.1320010239830693</v>
      </c>
      <c r="AR108" s="4" cm="1">
        <f t="array" ref="AR108">ThetaC(AK108,$B$2,$AR$95,$D$2,$E$2,$F$4)</f>
        <v>-1.1809172145111855</v>
      </c>
      <c r="AS108" s="4" cm="1">
        <f t="array" ref="AS108">ThetaC(AK108,$B$2,$AS$95,$D$2,$E$2,$F$4)</f>
        <v>-1.2262333639660803</v>
      </c>
      <c r="AT108" s="4" cm="1">
        <f t="array" ref="AT108">ThetaC(AK108,$B$2,$AT$95,$D$2,$E$2,$F$4)</f>
        <v>-1.2665395567741544</v>
      </c>
      <c r="AU108" s="4" cm="1">
        <f t="array" ref="AU108">ThetaC(AK108,$B$2,$AU$95,$D$2,$E$2,$F$4)</f>
        <v>-1.3014840422351661</v>
      </c>
      <c r="AV108" s="4" cm="1">
        <f t="array" ref="AV108">ThetaC(AK108,$B$2,$AV$95,$D$2,$E$2,$F$4)</f>
        <v>-1.4433847901174373</v>
      </c>
      <c r="AW108" s="4" cm="1">
        <f t="array" ref="AW108">ThetaC(AK108,$B$2,$AW$95,$D$2,$E$2,$F$4)</f>
        <v>-1.4309743027329573</v>
      </c>
      <c r="AX108" s="4" cm="1">
        <f t="array" ref="AX108">ThetaC(AK108,$B$2,$AX$95,$D$2,$E$2,$F$4)</f>
        <v>-1.3854991612799537</v>
      </c>
      <c r="AY108" s="5" cm="1">
        <f t="array" ref="AY108">ThetaC(AK108,$B$2,$AY$95,$D$2,$E$2,$F$4)</f>
        <v>-1.3350300764661558</v>
      </c>
    </row>
    <row r="109" spans="1:51" x14ac:dyDescent="0.3">
      <c r="A109" s="1">
        <v>125</v>
      </c>
      <c r="B109" s="4" cm="1">
        <f t="array" ref="B109">ThetaC(A109,$B$2,$B$95,$D$2,$E$2,$F$2)</f>
        <v>-1.0251750032769935</v>
      </c>
      <c r="C109" s="4" cm="1">
        <f t="array" ref="C109">ThetaC(A109,$B$2,$C$95,$D$2,$E$2,$F$2)</f>
        <v>-1.4101889670878096</v>
      </c>
      <c r="D109" s="4" cm="1">
        <f t="array" ref="D109">ThetaC(A109,$B$2,$D$95,$D$2,$E$2,$F$2)</f>
        <v>-1.9388334651870145</v>
      </c>
      <c r="E109" s="4" cm="1">
        <f t="array" ref="E109">ThetaC(A109,$B$2,$E$95,$D$2,$E$2,$F$2)</f>
        <v>-2.3553824743454683</v>
      </c>
      <c r="F109" s="4" cm="1">
        <f t="array" ref="F109">ThetaC(A109,$B$2,$F$95,$D$2,$E$2,$F$2)</f>
        <v>-2.6422399828692669</v>
      </c>
      <c r="G109" s="4" cm="1">
        <f t="array" ref="G109">ThetaC(A109,$B$2,$G$95,$D$2,$E$2,$F$2)</f>
        <v>-2.8309496858580201</v>
      </c>
      <c r="H109" s="4" cm="1">
        <f t="array" ref="H109">ThetaC(A109,$B$2,$H$95,$D$2,$E$2,$F$2)</f>
        <v>-2.9514204560701218</v>
      </c>
      <c r="I109" s="4" cm="1">
        <f t="array" ref="I109">ThetaC(A109,$B$2,$I$95,$D$2,$E$2,$F$2)</f>
        <v>-3.025216786751137</v>
      </c>
      <c r="J109" s="4" cm="1">
        <f t="array" ref="J109">ThetaC(A109,$B$2,$J$95,$D$2,$E$2,$F$2)</f>
        <v>-3.0669919421480571</v>
      </c>
      <c r="K109" s="4" cm="1">
        <f t="array" ref="K109">ThetaC(A109,$B$2,$K$95,$D$2,$E$2,$F$2)</f>
        <v>-3.0866178820284627</v>
      </c>
      <c r="L109" s="4" cm="1">
        <f t="array" ref="L109">ThetaC(A109,$B$2,$L$95,$D$2,$E$2,$F$2)</f>
        <v>-2.885031827407516</v>
      </c>
      <c r="M109" s="4" cm="1">
        <f t="array" ref="M109">ThetaC(A109,$B$2,$M$95,$D$2,$E$2,$F$2)</f>
        <v>-2.6038458442816586</v>
      </c>
      <c r="N109" s="4" cm="1">
        <f t="array" ref="N109">ThetaC(A109,$B$2,$N$95,$D$2,$E$2,$F$2)</f>
        <v>-2.3757331666467798</v>
      </c>
      <c r="O109" s="5" cm="1">
        <f t="array" ref="O109">ThetaC(A109,$B$2,$O$95,$D$2,$E$2,$F$2)</f>
        <v>-2.1935151829262223</v>
      </c>
      <c r="S109" s="1">
        <v>125</v>
      </c>
      <c r="T109" s="4" cm="1">
        <f t="array" ref="T109">ThetaC(S109,$B$2,$T$95,$D$2,$E$2,$F$3)</f>
        <v>-2.2846318302699427</v>
      </c>
      <c r="U109" s="4" cm="1">
        <f t="array" ref="U109">ThetaC(S109,$B$2,$U$95,$D$2,$E$2,$F$3)</f>
        <v>-4.5922621222575026</v>
      </c>
      <c r="V109" s="4" cm="1">
        <f t="array" ref="V109">ThetaC(S109,$B$2,$V$95,$D$2,$E$2,$F$3)</f>
        <v>-5.614446181432398</v>
      </c>
      <c r="W109" s="4" cm="1">
        <f t="array" ref="W109">ThetaC(S109,$B$2,$W$95,$D$2,$E$2,$F$3)</f>
        <v>-5.9946478810384027</v>
      </c>
      <c r="X109" s="4" cm="1">
        <f t="array" ref="X109">ThetaC(S109,$B$2,$X$95,$D$2,$E$2,$F$3)</f>
        <v>-6.0932152162630704</v>
      </c>
      <c r="Y109" s="4" cm="1">
        <f t="array" ref="Y109">ThetaC(S109,$B$2,$Y$95,$D$2,$E$2,$F$3)</f>
        <v>-6.0632046905455992</v>
      </c>
      <c r="Z109" s="4" cm="1">
        <f t="array" ref="Z109">ThetaC(S109,$B$2,$Z$95,$D$2,$E$2,$F$3)</f>
        <v>-5.9730068814691473</v>
      </c>
      <c r="AA109" s="4" cm="1">
        <f t="array" ref="AA109">ThetaC(S109,$B$2,$AA$95,$D$2,$E$2,$F$3)</f>
        <v>-5.855217611913174</v>
      </c>
      <c r="AB109" s="4" cm="1">
        <f t="array" ref="AB109">ThetaC(S109,$B$2,$AB$95,$D$2,$E$2,$F$3)</f>
        <v>-5.7261675937466023</v>
      </c>
      <c r="AC109" s="4" cm="1">
        <f t="array" ref="AC109">ThetaC(S109,$B$2,$AC$95,$D$2,$E$2,$F$3)</f>
        <v>-5.5943022889480218</v>
      </c>
      <c r="AD109" s="4" cm="1">
        <f t="array" ref="AD109">ThetaC(S109,$B$2,$AD$95,$D$2,$E$2,$F$3)</f>
        <v>-4.5142863750966313</v>
      </c>
      <c r="AE109" s="4" cm="1">
        <f t="array" ref="AE109">ThetaC(S109,$B$2,$AE$95,$D$2,$E$2,$F$3)</f>
        <v>-3.8397749730685664</v>
      </c>
      <c r="AF109" s="4" cm="1">
        <f t="array" ref="AF109">ThetaC(S109,$B$2,$AF$95,$D$2,$E$2,$F$3)</f>
        <v>-3.3806176179061036</v>
      </c>
      <c r="AG109" s="5" cm="1">
        <f t="array" ref="AG109">ThetaC(S109,$B$2,$AG$95,$D$2,$E$2,$F$3)</f>
        <v>-3.0419458632825318</v>
      </c>
      <c r="AK109" s="1">
        <v>125</v>
      </c>
      <c r="AL109" s="4" cm="1">
        <f t="array" ref="AL109">ThetaC(AK109,$B$2,$AL$95,$D$2,$E$2,$F$4)</f>
        <v>-0.99900049991941242</v>
      </c>
      <c r="AM109" s="4" cm="1">
        <f t="array" ref="AM109">ThetaC(AK109,$B$2,$AM$95,$D$2,$E$2,$F$4)</f>
        <v>-0.99801735133849157</v>
      </c>
      <c r="AN109" s="4" cm="1">
        <f t="array" ref="AN109">ThetaC(AK109,$B$2,$AN$95,$D$2,$E$2,$F$4)</f>
        <v>-0.99779173974481894</v>
      </c>
      <c r="AO109" s="4" cm="1">
        <f t="array" ref="AO109">ThetaC(AK109,$B$2,$AO$95,$D$2,$E$2,$F$4)</f>
        <v>-1.0013865187230782</v>
      </c>
      <c r="AP109" s="4" cm="1">
        <f t="array" ref="AP109">ThetaC(AK109,$B$2,$AP$95,$D$2,$E$2,$F$4)</f>
        <v>-1.0115661918947982</v>
      </c>
      <c r="AQ109" s="4" cm="1">
        <f t="array" ref="AQ109">ThetaC(AK109,$B$2,$AQ$95,$D$2,$E$2,$F$4)</f>
        <v>-1.0283622213237376</v>
      </c>
      <c r="AR109" s="4" cm="1">
        <f t="array" ref="AR109">ThetaC(AK109,$B$2,$AR$95,$D$2,$E$2,$F$4)</f>
        <v>-1.0500431643391011</v>
      </c>
      <c r="AS109" s="4" cm="1">
        <f t="array" ref="AS109">ThetaC(AK109,$B$2,$AS$95,$D$2,$E$2,$F$4)</f>
        <v>-1.0745132791188534</v>
      </c>
      <c r="AT109" s="4" cm="1">
        <f t="array" ref="AT109">ThetaC(AK109,$B$2,$AT$95,$D$2,$E$2,$F$4)</f>
        <v>-1.0999985828858836</v>
      </c>
      <c r="AU109" s="4" cm="1">
        <f t="array" ref="AU109">ThetaC(AK109,$B$2,$AU$95,$D$2,$E$2,$F$4)</f>
        <v>-1.1252182962653507</v>
      </c>
      <c r="AV109" s="4" cm="1">
        <f t="array" ref="AV109">ThetaC(AK109,$B$2,$AV$95,$D$2,$E$2,$F$4)</f>
        <v>-1.2867999738466063</v>
      </c>
      <c r="AW109" s="4" cm="1">
        <f t="array" ref="AW109">ThetaC(AK109,$B$2,$AW$95,$D$2,$E$2,$F$4)</f>
        <v>-1.3226705310119193</v>
      </c>
      <c r="AX109" s="4" cm="1">
        <f t="array" ref="AX109">ThetaC(AK109,$B$2,$AX$95,$D$2,$E$2,$F$4)</f>
        <v>-1.3107948188691811</v>
      </c>
      <c r="AY109" s="5" cm="1">
        <f t="array" ref="AY109">ThetaC(AK109,$B$2,$AY$95,$D$2,$E$2,$F$4)</f>
        <v>-1.282604702240145</v>
      </c>
    </row>
    <row r="110" spans="1:51" x14ac:dyDescent="0.3">
      <c r="A110" s="1">
        <v>130</v>
      </c>
      <c r="B110" s="4" cm="1">
        <f t="array" ref="B110">ThetaC(A110,$B$2,$B$95,$D$2,$E$2,$F$2)</f>
        <v>-1.0014490398395373</v>
      </c>
      <c r="C110" s="4" cm="1">
        <f t="array" ref="C110">ThetaC(A110,$B$2,$C$95,$D$2,$E$2,$F$2)</f>
        <v>-1.1248769522380362</v>
      </c>
      <c r="D110" s="4" cm="1">
        <f t="array" ref="D110">ThetaC(A110,$B$2,$D$95,$D$2,$E$2,$F$2)</f>
        <v>-1.4283908322854479</v>
      </c>
      <c r="E110" s="4" cm="1">
        <f t="array" ref="E110">ThetaC(A110,$B$2,$E$95,$D$2,$E$2,$F$2)</f>
        <v>-1.7557367762866103</v>
      </c>
      <c r="F110" s="4" cm="1">
        <f t="array" ref="F110">ThetaC(A110,$B$2,$F$95,$D$2,$E$2,$F$2)</f>
        <v>-2.03256184846426</v>
      </c>
      <c r="G110" s="4" cm="1">
        <f t="array" ref="G110">ThetaC(A110,$B$2,$G$95,$D$2,$E$2,$F$2)</f>
        <v>-2.247247874476404</v>
      </c>
      <c r="H110" s="4" cm="1">
        <f t="array" ref="H110">ThetaC(A110,$B$2,$H$95,$D$2,$E$2,$F$2)</f>
        <v>-2.4076987373616454</v>
      </c>
      <c r="I110" s="4" cm="1">
        <f t="array" ref="I110">ThetaC(A110,$B$2,$I$95,$D$2,$E$2,$F$2)</f>
        <v>-2.5251731609638335</v>
      </c>
      <c r="J110" s="4" cm="1">
        <f t="array" ref="J110">ThetaC(A110,$B$2,$J$95,$D$2,$E$2,$F$2)</f>
        <v>-2.6097044437216996</v>
      </c>
      <c r="K110" s="4" cm="1">
        <f t="array" ref="K110">ThetaC(A110,$B$2,$K$95,$D$2,$E$2,$F$2)</f>
        <v>-2.6692412521270028</v>
      </c>
      <c r="L110" s="4" cm="1">
        <f t="array" ref="L110">ThetaC(A110,$B$2,$L$95,$D$2,$E$2,$F$2)</f>
        <v>-2.7037571441039283</v>
      </c>
      <c r="M110" s="4" cm="1">
        <f t="array" ref="M110">ThetaC(A110,$B$2,$M$95,$D$2,$E$2,$F$2)</f>
        <v>-2.5115997348664667</v>
      </c>
      <c r="N110" s="4" cm="1">
        <f t="array" ref="N110">ThetaC(A110,$B$2,$N$95,$D$2,$E$2,$F$2)</f>
        <v>-2.3250990933122937</v>
      </c>
      <c r="O110" s="5" cm="1">
        <f t="array" ref="O110">ThetaC(A110,$B$2,$O$95,$D$2,$E$2,$F$2)</f>
        <v>-2.1654287536019421</v>
      </c>
      <c r="S110" s="1">
        <v>130</v>
      </c>
      <c r="T110" s="4" cm="1">
        <f t="array" ref="T110">ThetaC(S110,$B$2,$T$95,$D$2,$E$2,$F$3)</f>
        <v>-1.4526683526875774</v>
      </c>
      <c r="U110" s="4" cm="1">
        <f t="array" ref="U110">ThetaC(S110,$B$2,$U$95,$D$2,$E$2,$F$3)</f>
        <v>-3.1519440704995945</v>
      </c>
      <c r="V110" s="4" cm="1">
        <f t="array" ref="V110">ThetaC(S110,$B$2,$V$95,$D$2,$E$2,$F$3)</f>
        <v>-4.2993160442064573</v>
      </c>
      <c r="W110" s="4" cm="1">
        <f t="array" ref="W110">ThetaC(S110,$B$2,$W$95,$D$2,$E$2,$F$3)</f>
        <v>-4.9020372377619381</v>
      </c>
      <c r="X110" s="4" cm="1">
        <f t="array" ref="X110">ThetaC(S110,$B$2,$X$95,$D$2,$E$2,$F$3)</f>
        <v>-5.196735352822385</v>
      </c>
      <c r="Y110" s="4" cm="1">
        <f t="array" ref="Y110">ThetaC(S110,$B$2,$Y$95,$D$2,$E$2,$F$3)</f>
        <v>-5.3231366553033439</v>
      </c>
      <c r="Z110" s="4" cm="1">
        <f t="array" ref="Z110">ThetaC(S110,$B$2,$Z$95,$D$2,$E$2,$F$3)</f>
        <v>-5.3556748758271633</v>
      </c>
      <c r="AA110" s="4" cm="1">
        <f t="array" ref="AA110">ThetaC(S110,$B$2,$AA$95,$D$2,$E$2,$F$3)</f>
        <v>-5.3347262293524453</v>
      </c>
      <c r="AB110" s="4" cm="1">
        <f t="array" ref="AB110">ThetaC(S110,$B$2,$AB$95,$D$2,$E$2,$F$3)</f>
        <v>-5.2829838634877619</v>
      </c>
      <c r="AC110" s="4" cm="1">
        <f t="array" ref="AC110">ThetaC(S110,$B$2,$AC$95,$D$2,$E$2,$F$3)</f>
        <v>-5.2136428364706564</v>
      </c>
      <c r="AD110" s="4" cm="1">
        <f t="array" ref="AD110">ThetaC(S110,$B$2,$AD$95,$D$2,$E$2,$F$3)</f>
        <v>-4.4039912554693021</v>
      </c>
      <c r="AE110" s="4" cm="1">
        <f t="array" ref="AE110">ThetaC(S110,$B$2,$AE$95,$D$2,$E$2,$F$3)</f>
        <v>-3.8032522589449216</v>
      </c>
      <c r="AF110" s="4" cm="1">
        <f t="array" ref="AF110">ThetaC(S110,$B$2,$AF$95,$D$2,$E$2,$F$3)</f>
        <v>-3.3736074890087524</v>
      </c>
      <c r="AG110" s="5" cm="1">
        <f t="array" ref="AG110">ThetaC(S110,$B$2,$AG$95,$D$2,$E$2,$F$3)</f>
        <v>-3.0490672584689782</v>
      </c>
      <c r="AK110" s="1">
        <v>130</v>
      </c>
      <c r="AL110" s="4" cm="1">
        <f t="array" ref="AL110">ThetaC(AK110,$B$2,$AL$95,$D$2,$E$2,$F$4)</f>
        <v>-0.99900049983338124</v>
      </c>
      <c r="AM110" s="4" cm="1">
        <f t="array" ref="AM110">ThetaC(AK110,$B$2,$AM$95,$D$2,$E$2,$F$4)</f>
        <v>-0.99800212787312359</v>
      </c>
      <c r="AN110" s="4" cm="1">
        <f t="array" ref="AN110">ThetaC(AK110,$B$2,$AN$95,$D$2,$E$2,$F$4)</f>
        <v>-0.99703691729741384</v>
      </c>
      <c r="AO110" s="4" cm="1">
        <f t="array" ref="AO110">ThetaC(AK110,$B$2,$AO$95,$D$2,$E$2,$F$4)</f>
        <v>-0.99649823707064344</v>
      </c>
      <c r="AP110" s="4" cm="1">
        <f t="array" ref="AP110">ThetaC(AK110,$B$2,$AP$95,$D$2,$E$2,$F$4)</f>
        <v>-0.99744365762636944</v>
      </c>
      <c r="AQ110" s="4" cm="1">
        <f t="array" ref="AQ110">ThetaC(AK110,$B$2,$AQ$95,$D$2,$E$2,$F$4)</f>
        <v>-1.0009523562627152</v>
      </c>
      <c r="AR110" s="4" cm="1">
        <f t="array" ref="AR110">ThetaC(AK110,$B$2,$AR$95,$D$2,$E$2,$F$4)</f>
        <v>-1.0074790359176999</v>
      </c>
      <c r="AS110" s="4" cm="1">
        <f t="array" ref="AS110">ThetaC(AK110,$B$2,$AS$95,$D$2,$E$2,$F$4)</f>
        <v>-1.0168374934730982</v>
      </c>
      <c r="AT110" s="4" cm="1">
        <f t="array" ref="AT110">ThetaC(AK110,$B$2,$AT$95,$D$2,$E$2,$F$4)</f>
        <v>-1.0284717400341259</v>
      </c>
      <c r="AU110" s="4" cm="1">
        <f t="array" ref="AU110">ThetaC(AK110,$B$2,$AU$95,$D$2,$E$2,$F$4)</f>
        <v>-1.0417074404828752</v>
      </c>
      <c r="AV110" s="4" cm="1">
        <f t="array" ref="AV110">ThetaC(AK110,$B$2,$AV$95,$D$2,$E$2,$F$4)</f>
        <v>-1.1700753766787488</v>
      </c>
      <c r="AW110" s="4" cm="1">
        <f t="array" ref="AW110">ThetaC(AK110,$B$2,$AW$95,$D$2,$E$2,$F$4)</f>
        <v>-1.2274725322142057</v>
      </c>
      <c r="AX110" s="4" cm="1">
        <f t="array" ref="AX110">ThetaC(AK110,$B$2,$AX$95,$D$2,$E$2,$F$4)</f>
        <v>-1.2385995084565897</v>
      </c>
      <c r="AY110" s="5" cm="1">
        <f t="array" ref="AY110">ThetaC(AK110,$B$2,$AY$95,$D$2,$E$2,$F$4)</f>
        <v>-1.228278865103833</v>
      </c>
    </row>
    <row r="111" spans="1:51" x14ac:dyDescent="0.3">
      <c r="A111" s="1">
        <v>135</v>
      </c>
      <c r="B111" s="4" cm="1">
        <f t="array" ref="B111">ThetaC(A111,$B$2,$B$95,$D$2,$E$2,$F$2)</f>
        <v>-0.99917467534510218</v>
      </c>
      <c r="C111" s="4" cm="1">
        <f t="array" ref="C111">ThetaC(A111,$B$2,$C$95,$D$2,$E$2,$F$2)</f>
        <v>-1.0320391690967272</v>
      </c>
      <c r="D111" s="4" cm="1">
        <f t="array" ref="D111">ThetaC(A111,$B$2,$D$95,$D$2,$E$2,$F$2)</f>
        <v>-1.1772108461100759</v>
      </c>
      <c r="E111" s="4" cm="1">
        <f t="array" ref="E111">ThetaC(A111,$B$2,$E$95,$D$2,$E$2,$F$2)</f>
        <v>-1.3921272055382248</v>
      </c>
      <c r="F111" s="4" cm="1">
        <f t="array" ref="F111">ThetaC(A111,$B$2,$F$95,$D$2,$E$2,$F$2)</f>
        <v>-1.6130344614685526</v>
      </c>
      <c r="G111" s="4" cm="1">
        <f t="array" ref="G111">ThetaC(A111,$B$2,$G$95,$D$2,$E$2,$F$2)</f>
        <v>-1.8099035448917213</v>
      </c>
      <c r="H111" s="4" cm="1">
        <f t="array" ref="H111">ThetaC(A111,$B$2,$H$95,$D$2,$E$2,$F$2)</f>
        <v>-1.9744754246605911</v>
      </c>
      <c r="I111" s="4" cm="1">
        <f t="array" ref="I111">ThetaC(A111,$B$2,$I$95,$D$2,$E$2,$F$2)</f>
        <v>-2.1077036537333607</v>
      </c>
      <c r="J111" s="4" cm="1">
        <f t="array" ref="J111">ThetaC(A111,$B$2,$J$95,$D$2,$E$2,$F$2)</f>
        <v>-2.21359973364024</v>
      </c>
      <c r="K111" s="4" cm="1">
        <f t="array" ref="K111">ThetaC(A111,$B$2,$K$95,$D$2,$E$2,$F$2)</f>
        <v>-2.2967098908445056</v>
      </c>
      <c r="L111" s="4" cm="1">
        <f t="array" ref="L111">ThetaC(A111,$B$2,$L$95,$D$2,$E$2,$F$2)</f>
        <v>-2.5157244578946338</v>
      </c>
      <c r="M111" s="4" cm="1">
        <f t="array" ref="M111">ThetaC(A111,$B$2,$M$95,$D$2,$E$2,$F$2)</f>
        <v>-2.4084120912359803</v>
      </c>
      <c r="N111" s="4" cm="1">
        <f t="array" ref="N111">ThetaC(A111,$B$2,$N$95,$D$2,$E$2,$F$2)</f>
        <v>-2.2644131784331818</v>
      </c>
      <c r="O111" s="5" cm="1">
        <f t="array" ref="O111">ThetaC(A111,$B$2,$O$95,$D$2,$E$2,$F$2)</f>
        <v>-2.1287063151543002</v>
      </c>
      <c r="S111" s="1">
        <v>135</v>
      </c>
      <c r="T111" s="4" cm="1">
        <f t="array" ref="T111">ThetaC(S111,$B$2,$T$95,$D$2,$E$2,$F$3)</f>
        <v>-1.1406677602666562</v>
      </c>
      <c r="U111" s="4" cm="1">
        <f t="array" ref="U111">ThetaC(S111,$B$2,$U$95,$D$2,$E$2,$F$3)</f>
        <v>-2.21163157374898</v>
      </c>
      <c r="V111" s="4" cm="1">
        <f t="array" ref="V111">ThetaC(S111,$B$2,$V$95,$D$2,$E$2,$F$3)</f>
        <v>-3.2627906042027806</v>
      </c>
      <c r="W111" s="4" cm="1">
        <f t="array" ref="W111">ThetaC(S111,$B$2,$W$95,$D$2,$E$2,$F$3)</f>
        <v>-3.9538458643931604</v>
      </c>
      <c r="X111" s="4" cm="1">
        <f t="array" ref="X111">ThetaC(S111,$B$2,$X$95,$D$2,$E$2,$F$3)</f>
        <v>-4.3710823922366622</v>
      </c>
      <c r="Y111" s="4" cm="1">
        <f t="array" ref="Y111">ThetaC(S111,$B$2,$Y$95,$D$2,$E$2,$F$3)</f>
        <v>-4.6129253203942397</v>
      </c>
      <c r="Z111" s="4" cm="1">
        <f t="array" ref="Z111">ThetaC(S111,$B$2,$Z$95,$D$2,$E$2,$F$3)</f>
        <v>-4.7447667613619569</v>
      </c>
      <c r="AA111" s="4" cm="1">
        <f t="array" ref="AA111">ThetaC(S111,$B$2,$AA$95,$D$2,$E$2,$F$3)</f>
        <v>-4.8069806848652092</v>
      </c>
      <c r="AB111" s="4" cm="1">
        <f t="array" ref="AB111">ThetaC(S111,$B$2,$AB$95,$D$2,$E$2,$F$3)</f>
        <v>-4.824496421099818</v>
      </c>
      <c r="AC111" s="4" cm="1">
        <f t="array" ref="AC111">ThetaC(S111,$B$2,$AC$95,$D$2,$E$2,$F$3)</f>
        <v>-4.8129836344761809</v>
      </c>
      <c r="AD111" s="4" cm="1">
        <f t="array" ref="AD111">ThetaC(S111,$B$2,$AD$95,$D$2,$E$2,$F$3)</f>
        <v>-4.2725791660675387</v>
      </c>
      <c r="AE111" s="4" cm="1">
        <f t="array" ref="AE111">ThetaC(S111,$B$2,$AE$95,$D$2,$E$2,$F$3)</f>
        <v>-3.7518673326293195</v>
      </c>
      <c r="AF111" s="4" cm="1">
        <f t="array" ref="AF111">ThetaC(S111,$B$2,$AF$95,$D$2,$E$2,$F$3)</f>
        <v>-3.3556738444770193</v>
      </c>
      <c r="AG111" s="5" cm="1">
        <f t="array" ref="AG111">ThetaC(S111,$B$2,$AG$95,$D$2,$E$2,$F$3)</f>
        <v>-3.0477588797204014</v>
      </c>
      <c r="AK111" s="1">
        <v>135</v>
      </c>
      <c r="AL111" s="4" cm="1">
        <f t="array" ref="AL111">ThetaC(AK111,$B$2,$AL$95,$D$2,$E$2,$F$4)</f>
        <v>-0.99900049983337502</v>
      </c>
      <c r="AM111" s="4" cm="1">
        <f t="array" ref="AM111">ThetaC(AK111,$B$2,$AM$95,$D$2,$E$2,$F$4)</f>
        <v>-0.99800199929697497</v>
      </c>
      <c r="AN111" s="4" cm="1">
        <f t="array" ref="AN111">ThetaC(AK111,$B$2,$AN$95,$D$2,$E$2,$F$4)</f>
        <v>-0.99700542289973981</v>
      </c>
      <c r="AO111" s="4" cm="1">
        <f t="array" ref="AO111">ThetaC(AK111,$B$2,$AO$95,$D$2,$E$2,$F$4)</f>
        <v>-0.9960419764388363</v>
      </c>
      <c r="AP111" s="4" cm="1">
        <f t="array" ref="AP111">ThetaC(AK111,$B$2,$AP$95,$D$2,$E$2,$F$4)</f>
        <v>-0.99529923915443264</v>
      </c>
      <c r="AQ111" s="4" cm="1">
        <f t="array" ref="AQ111">ThetaC(AK111,$B$2,$AQ$95,$D$2,$E$2,$F$4)</f>
        <v>-0.995183898248726</v>
      </c>
      <c r="AR111" s="4" cm="1">
        <f t="array" ref="AR111">ThetaC(AK111,$B$2,$AR$95,$D$2,$E$2,$F$4)</f>
        <v>-0.99615573102822086</v>
      </c>
      <c r="AS111" s="4" cm="1">
        <f t="array" ref="AS111">ThetaC(AK111,$B$2,$AS$95,$D$2,$E$2,$F$4)</f>
        <v>-0.99853125871027337</v>
      </c>
      <c r="AT111" s="4" cm="1">
        <f t="array" ref="AT111">ThetaC(AK111,$B$2,$AT$95,$D$2,$E$2,$F$4)</f>
        <v>-1.0024129120202085</v>
      </c>
      <c r="AU111" s="4" cm="1">
        <f t="array" ref="AU111">ThetaC(AK111,$B$2,$AU$95,$D$2,$E$2,$F$4)</f>
        <v>-1.0077201455991194</v>
      </c>
      <c r="AV111" s="4" cm="1">
        <f t="array" ref="AV111">ThetaC(AK111,$B$2,$AV$95,$D$2,$E$2,$F$4)</f>
        <v>-1.0912229131042803</v>
      </c>
      <c r="AW111" s="4" cm="1">
        <f t="array" ref="AW111">ThetaC(AK111,$B$2,$AW$95,$D$2,$E$2,$F$4)</f>
        <v>-1.1506261079389193</v>
      </c>
      <c r="AX111" s="4" cm="1">
        <f t="array" ref="AX111">ThetaC(AK111,$B$2,$AX$95,$D$2,$E$2,$F$4)</f>
        <v>-1.1744006095766661</v>
      </c>
      <c r="AY111" s="5" cm="1">
        <f t="array" ref="AY111">ThetaC(AK111,$B$2,$AY$95,$D$2,$E$2,$F$4)</f>
        <v>-1.1766945849622656</v>
      </c>
    </row>
    <row r="112" spans="1:51" x14ac:dyDescent="0.3">
      <c r="A112" s="6">
        <v>140</v>
      </c>
      <c r="B112" s="7" cm="1">
        <f t="array" ref="B112">ThetaC(A112,$B$2,$B$95,$D$2,$E$2,$F$2)</f>
        <v>-0.9990102371060936</v>
      </c>
      <c r="C112" s="7" cm="1">
        <f t="array" ref="C112">ThetaC(A112,$B$2,$C$95,$D$2,$E$2,$F$2)</f>
        <v>-1.0060936666418689</v>
      </c>
      <c r="D112" s="7" cm="1">
        <f t="array" ref="D112">ThetaC(A112,$B$2,$D$95,$D$2,$E$2,$F$2)</f>
        <v>-1.0664321469380136</v>
      </c>
      <c r="E112" s="7" cm="1">
        <f t="array" ref="E112">ThetaC(A112,$B$2,$E$95,$D$2,$E$2,$F$2)</f>
        <v>-1.190325820119684</v>
      </c>
      <c r="F112" s="7" cm="1">
        <f t="array" ref="F112">ThetaC(A112,$B$2,$F$95,$D$2,$E$2,$F$2)</f>
        <v>-1.3455265847202833</v>
      </c>
      <c r="G112" s="7" cm="1">
        <f t="array" ref="G112">ThetaC(A112,$B$2,$G$95,$D$2,$E$2,$F$2)</f>
        <v>-1.5038014799888173</v>
      </c>
      <c r="H112" s="7" cm="1">
        <f t="array" ref="H112">ThetaC(A112,$B$2,$H$95,$D$2,$E$2,$F$2)</f>
        <v>-1.6502275327719942</v>
      </c>
      <c r="I112" s="7" cm="1">
        <f t="array" ref="I112">ThetaC(A112,$B$2,$I$95,$D$2,$E$2,$F$2)</f>
        <v>-1.7789900844037503</v>
      </c>
      <c r="J112" s="7" cm="1">
        <f t="array" ref="J112">ThetaC(A112,$B$2,$J$95,$D$2,$E$2,$F$2)</f>
        <v>-1.8890358974379682</v>
      </c>
      <c r="K112" s="7" cm="1">
        <f t="array" ref="K112">ThetaC(A112,$B$2,$K$95,$D$2,$E$2,$F$2)</f>
        <v>-1.9814702357676792</v>
      </c>
      <c r="L112" s="7" cm="1">
        <f t="array" ref="L112">ThetaC(A112,$B$2,$L$95,$D$2,$E$2,$F$2)</f>
        <v>-2.3298282001989383</v>
      </c>
      <c r="M112" s="7" cm="1">
        <f t="array" ref="M112">ThetaC(A112,$B$2,$M$95,$D$2,$E$2,$F$2)</f>
        <v>-2.2991724277172452</v>
      </c>
      <c r="N112" s="7" cm="1">
        <f t="array" ref="N112">ThetaC(A112,$B$2,$N$95,$D$2,$E$2,$F$2)</f>
        <v>-2.1966804739906904</v>
      </c>
      <c r="O112" s="8" cm="1">
        <f t="array" ref="O112">ThetaC(A112,$B$2,$O$95,$D$2,$E$2,$F$2)</f>
        <v>-2.0853710293053753</v>
      </c>
      <c r="S112" s="6">
        <v>140</v>
      </c>
      <c r="T112" s="7" cm="1">
        <f t="array" ref="T112">ThetaC(S112,$B$2,$T$95,$D$2,$E$2,$F$3)</f>
        <v>-1.0387288500578733</v>
      </c>
      <c r="U112" s="7" cm="1">
        <f t="array" ref="U112">ThetaC(S112,$B$2,$U$95,$D$2,$E$2,$F$3)</f>
        <v>-1.645736548549674</v>
      </c>
      <c r="V112" s="7" cm="1">
        <f t="array" ref="V112">ThetaC(S112,$B$2,$V$95,$D$2,$E$2,$F$3)</f>
        <v>-2.4959447913756074</v>
      </c>
      <c r="W112" s="7" cm="1">
        <f t="array" ref="W112">ThetaC(S112,$B$2,$W$95,$D$2,$E$2,$F$3)</f>
        <v>-3.1748406567188363</v>
      </c>
      <c r="X112" s="7" cm="1">
        <f t="array" ref="X112">ThetaC(S112,$B$2,$X$95,$D$2,$E$2,$F$3)</f>
        <v>-3.6478447016672115</v>
      </c>
      <c r="Y112" s="7" cm="1">
        <f t="array" ref="Y112">ThetaC(S112,$B$2,$Y$95,$D$2,$E$2,$F$3)</f>
        <v>-3.962968623645323</v>
      </c>
      <c r="Z112" s="7" cm="1">
        <f t="array" ref="Z112">ThetaC(S112,$B$2,$Z$95,$D$2,$E$2,$F$3)</f>
        <v>-4.1673865977185898</v>
      </c>
      <c r="AA112" s="7" cm="1">
        <f t="array" ref="AA112">ThetaC(S112,$B$2,$AA$95,$D$2,$E$2,$F$3)</f>
        <v>-4.2955576789681027</v>
      </c>
      <c r="AB112" s="7" cm="1">
        <f t="array" ref="AB112">ThetaC(S112,$B$2,$AB$95,$D$2,$E$2,$F$3)</f>
        <v>-4.3710831256771003</v>
      </c>
      <c r="AC112" s="7" cm="1">
        <f t="array" ref="AC112">ThetaC(S112,$B$2,$AC$95,$D$2,$E$2,$F$3)</f>
        <v>-4.409957584858196</v>
      </c>
      <c r="AD112" s="7" cm="1">
        <f t="array" ref="AD112">ThetaC(S112,$B$2,$AD$95,$D$2,$E$2,$F$3)</f>
        <v>-4.1256411069645518</v>
      </c>
      <c r="AE112" s="7" cm="1">
        <f t="array" ref="AE112">ThetaC(S112,$B$2,$AE$95,$D$2,$E$2,$F$3)</f>
        <v>-3.688280771221792</v>
      </c>
      <c r="AF112" s="7" cm="1">
        <f t="array" ref="AF112">ThetaC(S112,$B$2,$AF$95,$D$2,$E$2,$F$3)</f>
        <v>-3.3283815929388019</v>
      </c>
      <c r="AG112" s="8" cm="1">
        <f t="array" ref="AG112">ThetaC(S112,$B$2,$AG$95,$D$2,$E$2,$F$3)</f>
        <v>-3.0390619596721145</v>
      </c>
      <c r="AK112" s="6">
        <v>140</v>
      </c>
      <c r="AL112" s="7" cm="1">
        <f t="array" ref="AL112">ThetaC(AK112,$B$2,$AL$95,$D$2,$E$2,$F$4)</f>
        <v>-0.99900049983337502</v>
      </c>
      <c r="AM112" s="7" cm="1">
        <f t="array" ref="AM112">ThetaC(AK112,$B$2,$AM$95,$D$2,$E$2,$F$4)</f>
        <v>-0.99800199866923067</v>
      </c>
      <c r="AN112" s="7" cm="1">
        <f t="array" ref="AN112">ThetaC(AK112,$B$2,$AN$95,$D$2,$E$2,$F$4)</f>
        <v>-0.99700451475781493</v>
      </c>
      <c r="AO112" s="7" cm="1">
        <f t="array" ref="AO112">ThetaC(AK112,$B$2,$AO$95,$D$2,$E$2,$F$4)</f>
        <v>-0.99600984191230002</v>
      </c>
      <c r="AP112" s="7" cm="1">
        <f t="array" ref="AP112">ThetaC(AK112,$B$2,$AP$95,$D$2,$E$2,$F$4)</f>
        <v>-0.99504037843585647</v>
      </c>
      <c r="AQ112" s="7" cm="1">
        <f t="array" ref="AQ112">ThetaC(AK112,$B$2,$AQ$95,$D$2,$E$2,$F$4)</f>
        <v>-0.99418490669914983</v>
      </c>
      <c r="AR112" s="7" cm="1">
        <f t="array" ref="AR112">ThetaC(AK112,$B$2,$AR$95,$D$2,$E$2,$F$4)</f>
        <v>-0.99361539216943362</v>
      </c>
      <c r="AS112" s="7" cm="1">
        <f t="array" ref="AS112">ThetaC(AK112,$B$2,$AS$95,$D$2,$E$2,$F$4)</f>
        <v>-0.9935409518245053</v>
      </c>
      <c r="AT112" s="7" cm="1">
        <f t="array" ref="AT112">ThetaC(AK112,$B$2,$AT$95,$D$2,$E$2,$F$4)</f>
        <v>-0.99414304615918159</v>
      </c>
      <c r="AU112" s="7" cm="1">
        <f t="array" ref="AU112">ThetaC(AK112,$B$2,$AU$95,$D$2,$E$2,$F$4)</f>
        <v>-0.9955351225434268</v>
      </c>
      <c r="AV112" s="7" cm="1">
        <f t="array" ref="AV112">ThetaC(AK112,$B$2,$AV$95,$D$2,$E$2,$F$4)</f>
        <v>-1.0419547864254615</v>
      </c>
      <c r="AW112" s="7" cm="1">
        <f t="array" ref="AW112">ThetaC(AK112,$B$2,$AW$95,$D$2,$E$2,$F$4)</f>
        <v>-1.0924586913900254</v>
      </c>
      <c r="AX112" s="7" cm="1">
        <f t="array" ref="AX112">ThetaC(AK112,$B$2,$AX$95,$D$2,$E$2,$F$4)</f>
        <v>-1.1206318608312233</v>
      </c>
      <c r="AY112" s="8" cm="1">
        <f t="array" ref="AY112">ThetaC(AK112,$B$2,$AY$95,$D$2,$E$2,$F$4)</f>
        <v>-1.130558364559004</v>
      </c>
    </row>
    <row r="117" spans="1:51" x14ac:dyDescent="0.3">
      <c r="A117" s="49" t="s">
        <v>10</v>
      </c>
      <c r="B117" s="50"/>
      <c r="C117" s="50"/>
      <c r="D117" s="50"/>
      <c r="E117" s="50"/>
      <c r="F117" s="50"/>
      <c r="G117" s="50"/>
      <c r="H117" s="50"/>
      <c r="I117" s="50"/>
      <c r="J117" s="50"/>
      <c r="K117" s="50"/>
      <c r="L117" s="50"/>
      <c r="M117" s="50"/>
      <c r="N117" s="50"/>
      <c r="O117" s="51"/>
      <c r="S117" s="49" t="s">
        <v>10</v>
      </c>
      <c r="T117" s="50"/>
      <c r="U117" s="50"/>
      <c r="V117" s="50"/>
      <c r="W117" s="50"/>
      <c r="X117" s="50"/>
      <c r="Y117" s="50"/>
      <c r="Z117" s="50"/>
      <c r="AA117" s="50"/>
      <c r="AB117" s="50"/>
      <c r="AC117" s="50"/>
      <c r="AD117" s="50"/>
      <c r="AE117" s="50"/>
      <c r="AF117" s="50"/>
      <c r="AG117" s="51"/>
      <c r="AK117" s="49" t="s">
        <v>10</v>
      </c>
      <c r="AL117" s="50"/>
      <c r="AM117" s="50"/>
      <c r="AN117" s="50"/>
      <c r="AO117" s="50"/>
      <c r="AP117" s="50"/>
      <c r="AQ117" s="50"/>
      <c r="AR117" s="50"/>
      <c r="AS117" s="50"/>
      <c r="AT117" s="50"/>
      <c r="AU117" s="50"/>
      <c r="AV117" s="50"/>
      <c r="AW117" s="50"/>
      <c r="AX117" s="50"/>
      <c r="AY117" s="51"/>
    </row>
    <row r="118" spans="1:51" x14ac:dyDescent="0.3">
      <c r="A118" s="1" t="s">
        <v>3</v>
      </c>
      <c r="B118" s="52" t="s">
        <v>4</v>
      </c>
      <c r="C118" s="52"/>
      <c r="D118" s="52"/>
      <c r="E118" s="52"/>
      <c r="F118" s="52"/>
      <c r="G118" s="52"/>
      <c r="H118" s="52"/>
      <c r="I118" s="52"/>
      <c r="J118" s="52"/>
      <c r="K118" s="52"/>
      <c r="L118" s="52"/>
      <c r="M118" s="52"/>
      <c r="N118" s="52"/>
      <c r="O118" s="53"/>
      <c r="S118" s="1" t="s">
        <v>3</v>
      </c>
      <c r="T118" s="52" t="s">
        <v>4</v>
      </c>
      <c r="U118" s="52"/>
      <c r="V118" s="52"/>
      <c r="W118" s="52"/>
      <c r="X118" s="52"/>
      <c r="Y118" s="52"/>
      <c r="Z118" s="52"/>
      <c r="AA118" s="52"/>
      <c r="AB118" s="52"/>
      <c r="AC118" s="52"/>
      <c r="AD118" s="52"/>
      <c r="AE118" s="52"/>
      <c r="AF118" s="52"/>
      <c r="AG118" s="53"/>
      <c r="AK118" s="1" t="s">
        <v>3</v>
      </c>
      <c r="AL118" s="52" t="s">
        <v>4</v>
      </c>
      <c r="AM118" s="52"/>
      <c r="AN118" s="52"/>
      <c r="AO118" s="52"/>
      <c r="AP118" s="52"/>
      <c r="AQ118" s="52"/>
      <c r="AR118" s="52"/>
      <c r="AS118" s="52"/>
      <c r="AT118" s="52"/>
      <c r="AU118" s="52"/>
      <c r="AV118" s="52"/>
      <c r="AW118" s="52"/>
      <c r="AX118" s="52"/>
      <c r="AY118" s="53"/>
    </row>
    <row r="119" spans="1:51" x14ac:dyDescent="0.3">
      <c r="A119" s="1"/>
      <c r="B119" s="2">
        <v>0.1</v>
      </c>
      <c r="C119" s="2">
        <v>0.2</v>
      </c>
      <c r="D119" s="2">
        <v>0.3</v>
      </c>
      <c r="E119" s="2">
        <v>0.4</v>
      </c>
      <c r="F119" s="2">
        <v>0.5</v>
      </c>
      <c r="G119" s="2">
        <v>0.6</v>
      </c>
      <c r="H119" s="2">
        <v>0.7</v>
      </c>
      <c r="I119" s="2">
        <v>0.8</v>
      </c>
      <c r="J119" s="2">
        <v>0.9</v>
      </c>
      <c r="K119" s="2">
        <v>1</v>
      </c>
      <c r="L119" s="2">
        <v>2</v>
      </c>
      <c r="M119" s="2">
        <v>3</v>
      </c>
      <c r="N119" s="2">
        <v>4</v>
      </c>
      <c r="O119" s="3">
        <v>5</v>
      </c>
      <c r="S119" s="1"/>
      <c r="T119" s="2">
        <v>0.1</v>
      </c>
      <c r="U119" s="2">
        <v>0.2</v>
      </c>
      <c r="V119" s="2">
        <v>0.3</v>
      </c>
      <c r="W119" s="2">
        <v>0.4</v>
      </c>
      <c r="X119" s="2">
        <v>0.5</v>
      </c>
      <c r="Y119" s="2">
        <v>0.6</v>
      </c>
      <c r="Z119" s="2">
        <v>0.7</v>
      </c>
      <c r="AA119" s="2">
        <v>0.8</v>
      </c>
      <c r="AB119" s="2">
        <v>0.9</v>
      </c>
      <c r="AC119" s="2">
        <v>1</v>
      </c>
      <c r="AD119" s="2">
        <v>2</v>
      </c>
      <c r="AE119" s="2">
        <v>3</v>
      </c>
      <c r="AF119" s="2">
        <v>4</v>
      </c>
      <c r="AG119" s="3">
        <v>5</v>
      </c>
      <c r="AK119" s="1"/>
      <c r="AL119" s="2">
        <v>0.1</v>
      </c>
      <c r="AM119" s="2">
        <v>0.2</v>
      </c>
      <c r="AN119" s="2">
        <v>0.3</v>
      </c>
      <c r="AO119" s="2">
        <v>0.4</v>
      </c>
      <c r="AP119" s="2">
        <v>0.5</v>
      </c>
      <c r="AQ119" s="2">
        <v>0.6</v>
      </c>
      <c r="AR119" s="2">
        <v>0.7</v>
      </c>
      <c r="AS119" s="2">
        <v>0.8</v>
      </c>
      <c r="AT119" s="2">
        <v>0.9</v>
      </c>
      <c r="AU119" s="2">
        <v>1</v>
      </c>
      <c r="AV119" s="2">
        <v>2</v>
      </c>
      <c r="AW119" s="2">
        <v>3</v>
      </c>
      <c r="AX119" s="2">
        <v>4</v>
      </c>
      <c r="AY119" s="3">
        <v>5</v>
      </c>
    </row>
    <row r="120" spans="1:51" x14ac:dyDescent="0.3">
      <c r="A120" s="1">
        <v>60</v>
      </c>
      <c r="B120" s="4" cm="1">
        <f t="array" ref="B120">RhoC(A120,$B$2,$B$119,$D$2,$E$2,$F$2)</f>
        <v>2.9155373317769574E-15</v>
      </c>
      <c r="C120" s="4" cm="1">
        <f t="array" ref="C120">RhoC(A120,$B$2,$C$119,$D$2,$E$2,$F$2)</f>
        <v>9.8144996773923596E-8</v>
      </c>
      <c r="D120" s="4" cm="1">
        <f t="array" ref="D120">RhoC(A120,$B$2,$D$119,$D$2,$E$2,$F$2)</f>
        <v>4.0745379654174123E-5</v>
      </c>
      <c r="E120" s="4" cm="1">
        <f t="array" ref="E120">RhoC(A120,$B$2,$E$119,$D$2,$E$2,$F$2)</f>
        <v>9.3629247971002423E-4</v>
      </c>
      <c r="F120" s="4" cm="1">
        <f t="array" ref="F120">RhoC(A120,$B$2,$F$119,$D$2,$E$2,$F$2)</f>
        <v>6.5886799235162358E-3</v>
      </c>
      <c r="G120" s="4" cm="1">
        <f t="array" ref="G120">RhoC(A120,$B$2,$G$119,$D$2,$E$2,$F$2)</f>
        <v>2.5336754690401989E-2</v>
      </c>
      <c r="H120" s="4" cm="1">
        <f t="array" ref="H120">RhoC(A120,$B$2,$H$119,$D$2,$E$2,$F$2)</f>
        <v>6.8496313647904108E-2</v>
      </c>
      <c r="I120" s="4" cm="1">
        <f t="array" ref="I120">RhoC(A120,$B$2,$I$119,$D$2,$E$2,$F$2)</f>
        <v>0.1479229983212314</v>
      </c>
      <c r="J120" s="4" cm="1">
        <f t="array" ref="J120">RhoC(A120,$B$2,$J$119,$D$2,$E$2,$F$2)</f>
        <v>0.27423139001812402</v>
      </c>
      <c r="K120" s="4" cm="1">
        <f t="array" ref="K120">RhoC(A120,$B$2,$K$119,$D$2,$E$2,$F$2)</f>
        <v>0.45595912570109309</v>
      </c>
      <c r="L120" s="4" cm="1">
        <f t="array" ref="L120">RhoC(A120,$B$2,$L$119,$D$2,$E$2,$F$2)</f>
        <v>5.9353081456012937</v>
      </c>
      <c r="M120" s="4" cm="1">
        <f t="array" ref="M120">RhoC(A120,$B$2,$M$119,$D$2,$E$2,$F$2)</f>
        <v>17.245259544138367</v>
      </c>
      <c r="N120" s="4" cm="1">
        <f t="array" ref="N120">RhoC(A120,$B$2,$N$119,$D$2,$E$2,$F$2)</f>
        <v>32.377152020462432</v>
      </c>
      <c r="O120" s="5" cm="1">
        <f t="array" ref="O120">RhoC(A120,$B$2,$O$119,$D$2,$E$2,$F$2)</f>
        <v>49.898150544272639</v>
      </c>
      <c r="S120" s="1">
        <v>60</v>
      </c>
      <c r="T120" s="4" cm="1">
        <f t="array" ref="T120">RhoC(S120,$B$2,$T$119,$D$2,$E$2,$F$3)</f>
        <v>2.9526232275500813E-7</v>
      </c>
      <c r="U120" s="4" cm="1">
        <f t="array" ref="U120">RhoC(S120,$B$2,$U$119,$D$2,$E$2,$F$3)</f>
        <v>1.1332530343148011E-3</v>
      </c>
      <c r="V120" s="4" cm="1">
        <f t="array" ref="V120">RhoC(S120,$B$2,$V$119,$D$2,$E$2,$F$3)</f>
        <v>2.2587447202926818E-2</v>
      </c>
      <c r="W120" s="4" cm="1">
        <f t="array" ref="W120">RhoC(S120,$B$2,$W$119,$D$2,$E$2,$F$3)</f>
        <v>0.11301837002767318</v>
      </c>
      <c r="X120" s="4" cm="1">
        <f t="array" ref="X120">RhoC(S120,$B$2,$X$119,$D$2,$E$2,$F$3)</f>
        <v>0.31727274899903907</v>
      </c>
      <c r="Y120" s="4" cm="1">
        <f t="array" ref="Y120">RhoC(S120,$B$2,$Y$119,$D$2,$E$2,$F$3)</f>
        <v>0.65908885371946324</v>
      </c>
      <c r="Z120" s="4" cm="1">
        <f t="array" ref="Z120">RhoC(S120,$B$2,$Z$119,$D$2,$E$2,$F$3)</f>
        <v>1.1449306418409966</v>
      </c>
      <c r="AA120" s="4" cm="1">
        <f t="array" ref="AA120">RhoC(S120,$B$2,$AA$119,$D$2,$E$2,$F$3)</f>
        <v>1.7711463627698014</v>
      </c>
      <c r="AB120" s="4" cm="1">
        <f t="array" ref="AB120">RhoC(S120,$B$2,$AB$119,$D$2,$E$2,$F$3)</f>
        <v>2.5290931687880014</v>
      </c>
      <c r="AC120" s="4" cm="1">
        <f t="array" ref="AC120">RhoC(S120,$B$2,$AC$119,$D$2,$E$2,$F$3)</f>
        <v>3.4081262074599135</v>
      </c>
      <c r="AD120" s="4" cm="1">
        <f t="array" ref="AD120">RhoC(S120,$B$2,$AD$119,$D$2,$E$2,$F$3)</f>
        <v>16.760740288014706</v>
      </c>
      <c r="AE120" s="4" cm="1">
        <f t="array" ref="AE120">RhoC(S120,$B$2,$AE$119,$D$2,$E$2,$F$3)</f>
        <v>34.347278354932754</v>
      </c>
      <c r="AF120" s="4" cm="1">
        <f t="array" ref="AF120">RhoC(S120,$B$2,$AF$119,$D$2,$E$2,$F$3)</f>
        <v>53.429576659871827</v>
      </c>
      <c r="AG120" s="5" cm="1">
        <f t="array" ref="AG120">RhoC(S120,$B$2,$AG$119,$D$2,$E$2,$F$3)</f>
        <v>72.913289318308614</v>
      </c>
      <c r="AK120" s="1">
        <v>60</v>
      </c>
      <c r="AL120" s="4" cm="1">
        <f t="array" ref="AL120">RhoC(AK120,$B$2,$AL$119,$D$2,$E$2,$F$4)</f>
        <v>6.8997547428964834E-58</v>
      </c>
      <c r="AM120" s="4" cm="1">
        <f t="array" ref="AM120">RhoC(AK120,$B$2,$AM$119,$D$2,$E$2,$F$4)</f>
        <v>4.1705600383653552E-29</v>
      </c>
      <c r="AN120" s="4" cm="1">
        <f t="array" ref="AN120">RhoC(AK120,$B$2,$AN$119,$D$2,$E$2,$F$4)</f>
        <v>2.1207973599216751E-19</v>
      </c>
      <c r="AO120" s="4" cm="1">
        <f t="array" ref="AO120">RhoC(AK120,$B$2,$AO$119,$D$2,$E$2,$F$4)</f>
        <v>1.7146657173941719E-14</v>
      </c>
      <c r="AP120" s="4" cm="1">
        <f t="array" ref="AP120">RhoC(AK120,$B$2,$AP$119,$D$2,$E$2,$F$4)</f>
        <v>1.6258128709111472E-11</v>
      </c>
      <c r="AQ120" s="4" cm="1">
        <f t="array" ref="AQ120">RhoC(AK120,$B$2,$AQ$119,$D$2,$E$2,$F$4)</f>
        <v>1.6481813086334282E-9</v>
      </c>
      <c r="AR120" s="4" cm="1">
        <f t="array" ref="AR120">RhoC(AK120,$B$2,$AR$119,$D$2,$E$2,$F$4)</f>
        <v>4.6233752509654261E-8</v>
      </c>
      <c r="AS120" s="4" cm="1">
        <f t="array" ref="AS120">RhoC(AK120,$B$2,$AS$119,$D$2,$E$2,$F$4)</f>
        <v>5.7838836856354668E-7</v>
      </c>
      <c r="AT120" s="4" cm="1">
        <f t="array" ref="AT120">RhoC(AK120,$B$2,$AT$119,$D$2,$E$2,$F$4)</f>
        <v>4.2109995631038558E-6</v>
      </c>
      <c r="AU120" s="4" cm="1">
        <f t="array" ref="AU120">RhoC(AK120,$B$2,$AU$119,$D$2,$E$2,$F$4)</f>
        <v>2.0944883154902441E-5</v>
      </c>
      <c r="AV120" s="4" cm="1">
        <f t="array" ref="AV120">RhoC(AK120,$B$2,$AV$119,$D$2,$E$2,$F$4)</f>
        <v>3.9017006065321998E-2</v>
      </c>
      <c r="AW120" s="4" cm="1">
        <f t="array" ref="AW120">RhoC(AK120,$B$2,$AW$119,$D$2,$E$2,$F$4)</f>
        <v>0.61154603756096471</v>
      </c>
      <c r="AX120" s="4" cm="1">
        <f t="array" ref="AX120">RhoC(AK120,$B$2,$AX$119,$D$2,$E$2,$F$4)</f>
        <v>2.7137815674117114</v>
      </c>
      <c r="AY120" s="5" cm="1">
        <f t="array" ref="AY120">RhoC(AK120,$B$2,$AY$119,$D$2,$E$2,$F$4)</f>
        <v>7.087739486564721</v>
      </c>
    </row>
    <row r="121" spans="1:51" x14ac:dyDescent="0.3">
      <c r="A121" s="1">
        <v>65</v>
      </c>
      <c r="B121" s="4" cm="1">
        <f t="array" ref="B121">RhoC(A121,$B$2,$B$119,$D$2,$E$2,$F$2)</f>
        <v>4.3284662987202277E-11</v>
      </c>
      <c r="C121" s="4" cm="1">
        <f t="array" ref="C121">RhoC(A121,$B$2,$C$119,$D$2,$E$2,$F$2)</f>
        <v>1.3045620291245922E-5</v>
      </c>
      <c r="D121" s="4" cm="1">
        <f t="array" ref="D121">RhoC(A121,$B$2,$D$119,$D$2,$E$2,$F$2)</f>
        <v>1.1214508890306986E-3</v>
      </c>
      <c r="E121" s="4" cm="1">
        <f t="array" ref="E121">RhoC(A121,$B$2,$E$119,$D$2,$E$2,$F$2)</f>
        <v>1.1705675325644333E-2</v>
      </c>
      <c r="F121" s="4" cm="1">
        <f t="array" ref="F121">RhoC(A121,$B$2,$F$119,$D$2,$E$2,$F$2)</f>
        <v>5.1241821470043636E-2</v>
      </c>
      <c r="G121" s="4" cm="1">
        <f t="array" ref="G121">RhoC(A121,$B$2,$G$119,$D$2,$E$2,$F$2)</f>
        <v>0.14346745368583744</v>
      </c>
      <c r="H121" s="4" cm="1">
        <f t="array" ref="H121">RhoC(A121,$B$2,$H$119,$D$2,$E$2,$F$2)</f>
        <v>0.30898154554743779</v>
      </c>
      <c r="I121" s="4" cm="1">
        <f t="array" ref="I121">RhoC(A121,$B$2,$I$119,$D$2,$E$2,$F$2)</f>
        <v>0.56236751489784886</v>
      </c>
      <c r="J121" s="4" cm="1">
        <f t="array" ref="J121">RhoC(A121,$B$2,$J$119,$D$2,$E$2,$F$2)</f>
        <v>0.91231525678742309</v>
      </c>
      <c r="K121" s="4" cm="1">
        <f t="array" ref="K121">RhoC(A121,$B$2,$K$119,$D$2,$E$2,$F$2)</f>
        <v>1.3628210187071796</v>
      </c>
      <c r="L121" s="4" cm="1">
        <f t="array" ref="L121">RhoC(A121,$B$2,$L$119,$D$2,$E$2,$F$2)</f>
        <v>10.87924313868019</v>
      </c>
      <c r="M121" s="4" cm="1">
        <f t="array" ref="M121">RhoC(A121,$B$2,$M$119,$D$2,$E$2,$F$2)</f>
        <v>26.706226544028677</v>
      </c>
      <c r="N121" s="4" cm="1">
        <f t="array" ref="N121">RhoC(A121,$B$2,$N$119,$D$2,$E$2,$F$2)</f>
        <v>45.966579050016691</v>
      </c>
      <c r="O121" s="5" cm="1">
        <f t="array" ref="O121">RhoC(A121,$B$2,$O$119,$D$2,$E$2,$F$2)</f>
        <v>67.144050131601432</v>
      </c>
      <c r="S121" s="1">
        <v>65</v>
      </c>
      <c r="T121" s="4" cm="1">
        <f t="array" ref="T121">RhoC(S121,$B$2,$T$119,$D$2,$E$2,$F$3)</f>
        <v>2.3477394326331545E-5</v>
      </c>
      <c r="U121" s="4" cm="1">
        <f t="array" ref="U121">RhoC(S121,$B$2,$U$119,$D$2,$E$2,$F$3)</f>
        <v>1.1000326823056614E-2</v>
      </c>
      <c r="V121" s="4" cm="1">
        <f t="array" ref="V121">RhoC(S121,$B$2,$V$119,$D$2,$E$2,$F$3)</f>
        <v>0.10828646304118206</v>
      </c>
      <c r="W121" s="4" cm="1">
        <f t="array" ref="W121">RhoC(S121,$B$2,$W$119,$D$2,$E$2,$F$3)</f>
        <v>0.37982446397381536</v>
      </c>
      <c r="X121" s="4" cm="1">
        <f t="array" ref="X121">RhoC(S121,$B$2,$X$119,$D$2,$E$2,$F$3)</f>
        <v>0.86022397763405956</v>
      </c>
      <c r="Y121" s="4" cm="1">
        <f t="array" ref="Y121">RhoC(S121,$B$2,$Y$119,$D$2,$E$2,$F$3)</f>
        <v>1.5469602201022621</v>
      </c>
      <c r="Z121" s="4" cm="1">
        <f t="array" ref="Z121">RhoC(S121,$B$2,$Z$119,$D$2,$E$2,$F$3)</f>
        <v>2.4222946495275677</v>
      </c>
      <c r="AA121" s="4" cm="1">
        <f t="array" ref="AA121">RhoC(S121,$B$2,$AA$119,$D$2,$E$2,$F$3)</f>
        <v>3.4644139974960209</v>
      </c>
      <c r="AB121" s="4" cm="1">
        <f t="array" ref="AB121">RhoC(S121,$B$2,$AB$119,$D$2,$E$2,$F$3)</f>
        <v>4.652006501990833</v>
      </c>
      <c r="AC121" s="4" cm="1">
        <f t="array" ref="AC121">RhoC(S121,$B$2,$AC$119,$D$2,$E$2,$F$3)</f>
        <v>5.9658621895937705</v>
      </c>
      <c r="AD121" s="4" cm="1">
        <f t="array" ref="AD121">RhoC(S121,$B$2,$AD$119,$D$2,$E$2,$F$3)</f>
        <v>23.314848276281694</v>
      </c>
      <c r="AE121" s="4" cm="1">
        <f t="array" ref="AE121">RhoC(S121,$B$2,$AE$119,$D$2,$E$2,$F$3)</f>
        <v>44.032078635685487</v>
      </c>
      <c r="AF121" s="4" cm="1">
        <f t="array" ref="AF121">RhoC(S121,$B$2,$AF$119,$D$2,$E$2,$F$3)</f>
        <v>65.612241719610552</v>
      </c>
      <c r="AG121" s="5" cm="1">
        <f t="array" ref="AG121">RhoC(S121,$B$2,$AG$119,$D$2,$E$2,$F$3)</f>
        <v>87.156514480259176</v>
      </c>
      <c r="AK121" s="1">
        <v>65</v>
      </c>
      <c r="AL121" s="4" cm="1">
        <f t="array" ref="AL121">RhoC(AK121,$B$2,$AL$119,$D$2,$E$2,$F$4)</f>
        <v>1.8240256915210587E-41</v>
      </c>
      <c r="AM121" s="4" cm="1">
        <f t="array" ref="AM121">RhoC(AK121,$B$2,$AM$119,$D$2,$E$2,$F$4)</f>
        <v>7.2236755311601065E-21</v>
      </c>
      <c r="AN121" s="4" cm="1">
        <f t="array" ref="AN121">RhoC(AK121,$B$2,$AN$119,$D$2,$E$2,$F$4)</f>
        <v>6.8680684372739574E-14</v>
      </c>
      <c r="AO121" s="4" cm="1">
        <f t="array" ref="AO121">RhoC(AK121,$B$2,$AO$119,$D$2,$E$2,$F$4)</f>
        <v>2.3996762916801387E-10</v>
      </c>
      <c r="AP121" s="4" cm="1">
        <f t="array" ref="AP121">RhoC(AK121,$B$2,$AP$119,$D$2,$E$2,$F$4)</f>
        <v>3.4533346751725237E-8</v>
      </c>
      <c r="AQ121" s="4" cm="1">
        <f t="array" ref="AQ121">RhoC(AK121,$B$2,$AQ$119,$D$2,$E$2,$F$4)</f>
        <v>9.9575989539411422E-7</v>
      </c>
      <c r="AR121" s="4" cm="1">
        <f t="array" ref="AR121">RhoC(AK121,$B$2,$AR$119,$D$2,$E$2,$F$4)</f>
        <v>1.1375608625566544E-5</v>
      </c>
      <c r="AS121" s="4" cm="1">
        <f t="array" ref="AS121">RhoC(AK121,$B$2,$AS$119,$D$2,$E$2,$F$4)</f>
        <v>7.2532656593866099E-5</v>
      </c>
      <c r="AT121" s="4" cm="1">
        <f t="array" ref="AT121">RhoC(AK121,$B$2,$AT$119,$D$2,$E$2,$F$4)</f>
        <v>3.1257694746679188E-4</v>
      </c>
      <c r="AU121" s="4" cm="1">
        <f t="array" ref="AU121">RhoC(AK121,$B$2,$AU$119,$D$2,$E$2,$F$4)</f>
        <v>1.0218383303882987E-3</v>
      </c>
      <c r="AV121" s="4" cm="1">
        <f t="array" ref="AV121">RhoC(AK121,$B$2,$AV$119,$D$2,$E$2,$F$4)</f>
        <v>0.28682719393543493</v>
      </c>
      <c r="AW121" s="4" cm="1">
        <f t="array" ref="AW121">RhoC(AK121,$B$2,$AW$119,$D$2,$E$2,$F$4)</f>
        <v>2.3831658067032904</v>
      </c>
      <c r="AX121" s="4" cm="1">
        <f t="array" ref="AX121">RhoC(AK121,$B$2,$AX$119,$D$2,$E$2,$F$4)</f>
        <v>7.6832332776932759</v>
      </c>
      <c r="AY121" s="5" cm="1">
        <f t="array" ref="AY121">RhoC(AK121,$B$2,$AY$119,$D$2,$E$2,$F$4)</f>
        <v>16.543665197834301</v>
      </c>
    </row>
    <row r="122" spans="1:51" x14ac:dyDescent="0.3">
      <c r="A122" s="1">
        <v>70</v>
      </c>
      <c r="B122" s="4" cm="1">
        <f t="array" ref="B122">RhoC(A122,$B$2,$B$119,$D$2,$E$2,$F$2)</f>
        <v>7.7692467200589755E-8</v>
      </c>
      <c r="C122" s="4" cm="1">
        <f t="array" ref="C122">RhoC(A122,$B$2,$C$119,$D$2,$E$2,$F$2)</f>
        <v>6.0569776566511083E-4</v>
      </c>
      <c r="D122" s="4" cm="1">
        <f t="array" ref="D122">RhoC(A122,$B$2,$D$119,$D$2,$E$2,$F$2)</f>
        <v>1.5340110803905882E-2</v>
      </c>
      <c r="E122" s="4" cm="1">
        <f t="array" ref="E122">RhoC(A122,$B$2,$E$119,$D$2,$E$2,$F$2)</f>
        <v>8.6710702538517648E-2</v>
      </c>
      <c r="F122" s="4" cm="1">
        <f t="array" ref="F122">RhoC(A122,$B$2,$F$119,$D$2,$E$2,$F$2)</f>
        <v>0.26230859396038009</v>
      </c>
      <c r="G122" s="4" cm="1">
        <f t="array" ref="G122">RhoC(A122,$B$2,$G$119,$D$2,$E$2,$F$2)</f>
        <v>0.57342650040421816</v>
      </c>
      <c r="H122" s="4" cm="1">
        <f t="array" ref="H122">RhoC(A122,$B$2,$H$119,$D$2,$E$2,$F$2)</f>
        <v>1.0340638105047844</v>
      </c>
      <c r="I122" s="4" cm="1">
        <f t="array" ref="I122">RhoC(A122,$B$2,$I$119,$D$2,$E$2,$F$2)</f>
        <v>1.6463949579291828</v>
      </c>
      <c r="J122" s="4" cm="1">
        <f t="array" ref="J122">RhoC(A122,$B$2,$J$119,$D$2,$E$2,$F$2)</f>
        <v>2.405785146566469</v>
      </c>
      <c r="K122" s="4" cm="1">
        <f t="array" ref="K122">RhoC(A122,$B$2,$K$119,$D$2,$E$2,$F$2)</f>
        <v>3.3041361033821035</v>
      </c>
      <c r="L122" s="4" cm="1">
        <f t="array" ref="L122">RhoC(A122,$B$2,$L$119,$D$2,$E$2,$F$2)</f>
        <v>17.932080685197075</v>
      </c>
      <c r="M122" s="4" cm="1">
        <f t="array" ref="M122">RhoC(A122,$B$2,$M$119,$D$2,$E$2,$F$2)</f>
        <v>38.476487533043759</v>
      </c>
      <c r="N122" s="4" cm="1">
        <f t="array" ref="N122">RhoC(A122,$B$2,$N$119,$D$2,$E$2,$F$2)</f>
        <v>61.749948584880109</v>
      </c>
      <c r="O122" s="5" cm="1">
        <f t="array" ref="O122">RhoC(A122,$B$2,$O$119,$D$2,$E$2,$F$2)</f>
        <v>86.363051145805372</v>
      </c>
      <c r="S122" s="1">
        <v>70</v>
      </c>
      <c r="T122" s="4" cm="1">
        <f t="array" ref="T122">RhoC(S122,$B$2,$T$119,$D$2,$E$2,$F$3)</f>
        <v>7.3280508906908512E-4</v>
      </c>
      <c r="U122" s="4" cm="1">
        <f t="array" ref="U122">RhoC(S122,$B$2,$U$119,$D$2,$E$2,$F$3)</f>
        <v>6.7012653150436682E-2</v>
      </c>
      <c r="V122" s="4" cm="1">
        <f t="array" ref="V122">RhoC(S122,$B$2,$V$119,$D$2,$E$2,$F$3)</f>
        <v>0.38055475002660877</v>
      </c>
      <c r="W122" s="4" cm="1">
        <f t="array" ref="W122">RhoC(S122,$B$2,$W$119,$D$2,$E$2,$F$3)</f>
        <v>1.0108518694220894</v>
      </c>
      <c r="X122" s="4" cm="1">
        <f t="array" ref="X122">RhoC(S122,$B$2,$X$119,$D$2,$E$2,$F$3)</f>
        <v>1.9341199007049987</v>
      </c>
      <c r="Y122" s="4" cm="1">
        <f t="array" ref="Y122">RhoC(S122,$B$2,$Y$119,$D$2,$E$2,$F$3)</f>
        <v>3.1045688556190534</v>
      </c>
      <c r="Z122" s="4" cm="1">
        <f t="array" ref="Z122">RhoC(S122,$B$2,$Z$119,$D$2,$E$2,$F$3)</f>
        <v>4.4784244022574073</v>
      </c>
      <c r="AA122" s="4" cm="1">
        <f t="array" ref="AA122">RhoC(S122,$B$2,$AA$119,$D$2,$E$2,$F$3)</f>
        <v>6.0191244882771686</v>
      </c>
      <c r="AB122" s="4" cm="1">
        <f t="array" ref="AB122">RhoC(S122,$B$2,$AB$119,$D$2,$E$2,$F$3)</f>
        <v>7.6972593895436292</v>
      </c>
      <c r="AC122" s="4" cm="1">
        <f t="array" ref="AC122">RhoC(S122,$B$2,$AC$119,$D$2,$E$2,$F$3)</f>
        <v>9.4893482029156058</v>
      </c>
      <c r="AD122" s="4" cm="1">
        <f t="array" ref="AD122">RhoC(S122,$B$2,$AD$119,$D$2,$E$2,$F$3)</f>
        <v>30.833945975697684</v>
      </c>
      <c r="AE122" s="4" cm="1">
        <f t="array" ref="AE122">RhoC(S122,$B$2,$AE$119,$D$2,$E$2,$F$3)</f>
        <v>54.482049449278385</v>
      </c>
      <c r="AF122" s="4" cm="1">
        <f t="array" ref="AF122">RhoC(S122,$B$2,$AF$119,$D$2,$E$2,$F$3)</f>
        <v>78.359786030381173</v>
      </c>
      <c r="AG122" s="5" cm="1">
        <f t="array" ref="AG122">RhoC(S122,$B$2,$AG$119,$D$2,$E$2,$F$3)</f>
        <v>101.78771687584245</v>
      </c>
      <c r="AK122" s="1">
        <v>70</v>
      </c>
      <c r="AL122" s="4" cm="1">
        <f t="array" ref="AL122">RhoC(AK122,$B$2,$AL$119,$D$2,$E$2,$F$4)</f>
        <v>9.9546668867391585E-29</v>
      </c>
      <c r="AM122" s="4" cm="1">
        <f t="array" ref="AM122">RhoC(AK122,$B$2,$AM$119,$D$2,$E$2,$F$4)</f>
        <v>1.8148881916339139E-14</v>
      </c>
      <c r="AN122" s="4" cm="1">
        <f t="array" ref="AN122">RhoC(AK122,$B$2,$AN$119,$D$2,$E$2,$F$4)</f>
        <v>1.3307124507183836E-9</v>
      </c>
      <c r="AO122" s="4" cm="1">
        <f t="array" ref="AO122">RhoC(AK122,$B$2,$AO$119,$D$2,$E$2,$F$4)</f>
        <v>4.0794980511215175E-7</v>
      </c>
      <c r="AP122" s="4" cm="1">
        <f t="array" ref="AP122">RhoC(AK122,$B$2,$AP$119,$D$2,$E$2,$F$4)</f>
        <v>1.3625021969122365E-5</v>
      </c>
      <c r="AQ122" s="4" cm="1">
        <f t="array" ref="AQ122">RhoC(AK122,$B$2,$AQ$119,$D$2,$E$2,$F$4)</f>
        <v>1.4829729609667369E-4</v>
      </c>
      <c r="AR122" s="4" cm="1">
        <f t="array" ref="AR122">RhoC(AK122,$B$2,$AR$119,$D$2,$E$2,$F$4)</f>
        <v>8.444056427330352E-4</v>
      </c>
      <c r="AS122" s="4" cm="1">
        <f t="array" ref="AS122">RhoC(AK122,$B$2,$AS$119,$D$2,$E$2,$F$4)</f>
        <v>3.1927561083099211E-3</v>
      </c>
      <c r="AT122" s="4" cm="1">
        <f t="array" ref="AT122">RhoC(AK122,$B$2,$AT$119,$D$2,$E$2,$F$4)</f>
        <v>9.161303121259309E-3</v>
      </c>
      <c r="AU122" s="4" cm="1">
        <f t="array" ref="AU122">RhoC(AK122,$B$2,$AU$119,$D$2,$E$2,$F$4)</f>
        <v>2.1625953663559377E-2</v>
      </c>
      <c r="AV122" s="4" cm="1">
        <f t="array" ref="AV122">RhoC(AK122,$B$2,$AV$119,$D$2,$E$2,$F$4)</f>
        <v>1.3949867109230143</v>
      </c>
      <c r="AW122" s="4" cm="1">
        <f t="array" ref="AW122">RhoC(AK122,$B$2,$AW$119,$D$2,$E$2,$F$4)</f>
        <v>7.064965905954832</v>
      </c>
      <c r="AX122" s="4" cm="1">
        <f t="array" ref="AX122">RhoC(AK122,$B$2,$AX$119,$D$2,$E$2,$F$4)</f>
        <v>17.736667658110342</v>
      </c>
      <c r="AY122" s="5" cm="1">
        <f t="array" ref="AY122">RhoC(AK122,$B$2,$AY$119,$D$2,$E$2,$F$4)</f>
        <v>32.816447931472723</v>
      </c>
    </row>
    <row r="123" spans="1:51" x14ac:dyDescent="0.3">
      <c r="A123" s="1">
        <v>75</v>
      </c>
      <c r="B123" s="4" cm="1">
        <f t="array" ref="B123">RhoC(A123,$B$2,$B$119,$D$2,$E$2,$F$2)</f>
        <v>2.5013539023405381E-5</v>
      </c>
      <c r="C123" s="4" cm="1">
        <f t="array" ref="C123">RhoC(A123,$B$2,$C$119,$D$2,$E$2,$F$2)</f>
        <v>1.1981739309242229E-2</v>
      </c>
      <c r="D123" s="4" cm="1">
        <f t="array" ref="D123">RhoC(A123,$B$2,$D$119,$D$2,$E$2,$F$2)</f>
        <v>0.11911631216126904</v>
      </c>
      <c r="E123" s="4" cm="1">
        <f t="array" ref="E123">RhoC(A123,$B$2,$E$119,$D$2,$E$2,$F$2)</f>
        <v>0.42058365657656555</v>
      </c>
      <c r="F123" s="4" cm="1">
        <f t="array" ref="F123">RhoC(A123,$B$2,$F$119,$D$2,$E$2,$F$2)</f>
        <v>0.95750502791312742</v>
      </c>
      <c r="G123" s="4" cm="1">
        <f t="array" ref="G123">RhoC(A123,$B$2,$G$119,$D$2,$E$2,$F$2)</f>
        <v>1.7295450873604499</v>
      </c>
      <c r="H123" s="4" cm="1">
        <f t="array" ref="H123">RhoC(A123,$B$2,$H$119,$D$2,$E$2,$F$2)</f>
        <v>2.7188766452768531</v>
      </c>
      <c r="I123" s="4" cm="1">
        <f t="array" ref="I123">RhoC(A123,$B$2,$I$119,$D$2,$E$2,$F$2)</f>
        <v>3.902596571002467</v>
      </c>
      <c r="J123" s="4" cm="1">
        <f t="array" ref="J123">RhoC(A123,$B$2,$J$119,$D$2,$E$2,$F$2)</f>
        <v>5.2579361449743294</v>
      </c>
      <c r="K123" s="4" cm="1">
        <f t="array" ref="K123">RhoC(A123,$B$2,$K$119,$D$2,$E$2,$F$2)</f>
        <v>6.7641543932963435</v>
      </c>
      <c r="L123" s="4" cm="1">
        <f t="array" ref="L123">RhoC(A123,$B$2,$L$119,$D$2,$E$2,$F$2)</f>
        <v>27.119588189475021</v>
      </c>
      <c r="M123" s="4" cm="1">
        <f t="array" ref="M123">RhoC(A123,$B$2,$M$119,$D$2,$E$2,$F$2)</f>
        <v>52.273981099216769</v>
      </c>
      <c r="N123" s="4" cm="1">
        <f t="array" ref="N123">RhoC(A123,$B$2,$N$119,$D$2,$E$2,$F$2)</f>
        <v>79.297672467890507</v>
      </c>
      <c r="O123" s="5" cm="1">
        <f t="array" ref="O123">RhoC(A123,$B$2,$O$119,$D$2,$E$2,$F$2)</f>
        <v>107.06109558869031</v>
      </c>
      <c r="S123" s="1">
        <v>75</v>
      </c>
      <c r="T123" s="4" cm="1">
        <f t="array" ref="T123">RhoC(S123,$B$2,$T$119,$D$2,$E$2,$F$3)</f>
        <v>1.0716304021740694E-2</v>
      </c>
      <c r="U123" s="4" cm="1">
        <f t="array" ref="U123">RhoC(S123,$B$2,$U$119,$D$2,$E$2,$F$3)</f>
        <v>0.28005079404176503</v>
      </c>
      <c r="V123" s="4" cm="1">
        <f t="array" ref="V123">RhoC(S123,$B$2,$V$119,$D$2,$E$2,$F$3)</f>
        <v>1.0404743079329288</v>
      </c>
      <c r="W123" s="4" cm="1">
        <f t="array" ref="W123">RhoC(S123,$B$2,$W$119,$D$2,$E$2,$F$3)</f>
        <v>2.2277486403587079</v>
      </c>
      <c r="X123" s="4" cm="1">
        <f t="array" ref="X123">RhoC(S123,$B$2,$X$119,$D$2,$E$2,$F$3)</f>
        <v>3.7375642733991832</v>
      </c>
      <c r="Y123" s="4" cm="1">
        <f t="array" ref="Y123">RhoC(S123,$B$2,$Y$119,$D$2,$E$2,$F$3)</f>
        <v>5.488782757526657</v>
      </c>
      <c r="Z123" s="4" cm="1">
        <f t="array" ref="Z123">RhoC(S123,$B$2,$Z$119,$D$2,$E$2,$F$3)</f>
        <v>7.423390125050302</v>
      </c>
      <c r="AA123" s="4" cm="1">
        <f t="array" ref="AA123">RhoC(S123,$B$2,$AA$119,$D$2,$E$2,$F$3)</f>
        <v>9.4998591027931845</v>
      </c>
      <c r="AB123" s="4" cm="1">
        <f t="array" ref="AB123">RhoC(S123,$B$2,$AB$119,$D$2,$E$2,$F$3)</f>
        <v>11.687876444341773</v>
      </c>
      <c r="AC123" s="4" cm="1">
        <f t="array" ref="AC123">RhoC(S123,$B$2,$AC$119,$D$2,$E$2,$F$3)</f>
        <v>13.964806192115638</v>
      </c>
      <c r="AD123" s="4" cm="1">
        <f t="array" ref="AD123">RhoC(S123,$B$2,$AD$119,$D$2,$E$2,$F$3)</f>
        <v>39.12877070729931</v>
      </c>
      <c r="AE123" s="4" cm="1">
        <f t="array" ref="AE123">RhoC(S123,$B$2,$AE$119,$D$2,$E$2,$F$3)</f>
        <v>65.478709737318354</v>
      </c>
      <c r="AF123" s="4" cm="1">
        <f t="array" ref="AF123">RhoC(S123,$B$2,$AF$119,$D$2,$E$2,$F$3)</f>
        <v>91.460887943075662</v>
      </c>
      <c r="AG123" s="5" cm="1">
        <f t="array" ref="AG123">RhoC(S123,$B$2,$AG$119,$D$2,$E$2,$F$3)</f>
        <v>116.61280707499485</v>
      </c>
      <c r="AK123" s="1">
        <v>75</v>
      </c>
      <c r="AL123" s="4" cm="1">
        <f t="array" ref="AL123">RhoC(AK123,$B$2,$AL$119,$D$2,$E$2,$F$4)</f>
        <v>5.3493516241294035E-19</v>
      </c>
      <c r="AM123" s="4" cm="1">
        <f t="array" ref="AM123">RhoC(AK123,$B$2,$AM$119,$D$2,$E$2,$F$4)</f>
        <v>1.4484262281308252E-9</v>
      </c>
      <c r="AN123" s="4" cm="1">
        <f t="array" ref="AN123">RhoC(AK123,$B$2,$AN$119,$D$2,$E$2,$F$4)</f>
        <v>2.6052631871411219E-6</v>
      </c>
      <c r="AO123" s="4" cm="1">
        <f t="array" ref="AO123">RhoC(AK123,$B$2,$AO$119,$D$2,$E$2,$F$4)</f>
        <v>1.2492523960331802E-4</v>
      </c>
      <c r="AP123" s="4" cm="1">
        <f t="array" ref="AP123">RhoC(AK123,$B$2,$AP$119,$D$2,$E$2,$F$4)</f>
        <v>1.3693783854780402E-3</v>
      </c>
      <c r="AQ123" s="4" cm="1">
        <f t="array" ref="AQ123">RhoC(AK123,$B$2,$AQ$119,$D$2,$E$2,$F$4)</f>
        <v>7.0864177060534416E-3</v>
      </c>
      <c r="AR123" s="4" cm="1">
        <f t="array" ref="AR123">RhoC(AK123,$B$2,$AR$119,$D$2,$E$2,$F$4)</f>
        <v>2.371123779218293E-2</v>
      </c>
      <c r="AS123" s="4" cm="1">
        <f t="array" ref="AS123">RhoC(AK123,$B$2,$AS$119,$D$2,$E$2,$F$4)</f>
        <v>6.0144636736595494E-2</v>
      </c>
      <c r="AT123" s="4" cm="1">
        <f t="array" ref="AT123">RhoC(AK123,$B$2,$AT$119,$D$2,$E$2,$F$4)</f>
        <v>0.12646643565367435</v>
      </c>
      <c r="AU123" s="4" cm="1">
        <f t="array" ref="AU123">RhoC(AK123,$B$2,$AU$119,$D$2,$E$2,$F$4)</f>
        <v>0.23272427909089094</v>
      </c>
      <c r="AV123" s="4" cm="1">
        <f t="array" ref="AV123">RhoC(AK123,$B$2,$AV$119,$D$2,$E$2,$F$4)</f>
        <v>4.8605196983075762</v>
      </c>
      <c r="AW123" s="4" cm="1">
        <f t="array" ref="AW123">RhoC(AK123,$B$2,$AW$119,$D$2,$E$2,$F$4)</f>
        <v>16.800016425945095</v>
      </c>
      <c r="AX123" s="4" cm="1">
        <f t="array" ref="AX123">RhoC(AK123,$B$2,$AX$119,$D$2,$E$2,$F$4)</f>
        <v>34.734979174896125</v>
      </c>
      <c r="AY123" s="5" cm="1">
        <f t="array" ref="AY123">RhoC(AK123,$B$2,$AY$119,$D$2,$E$2,$F$4)</f>
        <v>57.09630314178446</v>
      </c>
    </row>
    <row r="124" spans="1:51" x14ac:dyDescent="0.3">
      <c r="A124" s="1">
        <v>80</v>
      </c>
      <c r="B124" s="4" cm="1">
        <f t="array" ref="B124">RhoC(A124,$B$2,$B$119,$D$2,$E$2,$F$2)</f>
        <v>1.9684019476440403E-3</v>
      </c>
      <c r="C124" s="4" cm="1">
        <f t="array" ref="C124">RhoC(A124,$B$2,$C$119,$D$2,$E$2,$F$2)</f>
        <v>0.11806153679816479</v>
      </c>
      <c r="D124" s="4" cm="1">
        <f t="array" ref="D124">RhoC(A124,$B$2,$D$119,$D$2,$E$2,$F$2)</f>
        <v>0.58294742224800944</v>
      </c>
      <c r="E124" s="4" cm="1">
        <f t="array" ref="E124">RhoC(A124,$B$2,$E$119,$D$2,$E$2,$F$2)</f>
        <v>1.4449660567580991</v>
      </c>
      <c r="F124" s="4" cm="1">
        <f t="array" ref="F124">RhoC(A124,$B$2,$F$119,$D$2,$E$2,$F$2)</f>
        <v>2.6541221761137002</v>
      </c>
      <c r="G124" s="4" cm="1">
        <f t="array" ref="G124">RhoC(A124,$B$2,$G$119,$D$2,$E$2,$F$2)</f>
        <v>4.1483206002554978</v>
      </c>
      <c r="H124" s="4" cm="1">
        <f t="array" ref="H124">RhoC(A124,$B$2,$H$119,$D$2,$E$2,$F$2)</f>
        <v>5.8743138124230629</v>
      </c>
      <c r="I124" s="4" cm="1">
        <f t="array" ref="I124">RhoC(A124,$B$2,$I$119,$D$2,$E$2,$F$2)</f>
        <v>7.7898920427139711</v>
      </c>
      <c r="J124" s="4" cm="1">
        <f t="array" ref="J124">RhoC(A124,$B$2,$J$119,$D$2,$E$2,$F$2)</f>
        <v>9.8621140558168054</v>
      </c>
      <c r="K124" s="4" cm="1">
        <f t="array" ref="K124">RhoC(A124,$B$2,$K$119,$D$2,$E$2,$F$2)</f>
        <v>12.065171933845738</v>
      </c>
      <c r="L124" s="4" cm="1">
        <f t="array" ref="L124">RhoC(A124,$B$2,$L$119,$D$2,$E$2,$F$2)</f>
        <v>38.22640213674083</v>
      </c>
      <c r="M124" s="4" cm="1">
        <f t="array" ref="M124">RhoC(A124,$B$2,$M$119,$D$2,$E$2,$F$2)</f>
        <v>67.677547849775834</v>
      </c>
      <c r="N124" s="4" cm="1">
        <f t="array" ref="N124">RhoC(A124,$B$2,$N$119,$D$2,$E$2,$F$2)</f>
        <v>98.121354844747401</v>
      </c>
      <c r="O124" s="5" cm="1">
        <f t="array" ref="O124">RhoC(A124,$B$2,$O$119,$D$2,$E$2,$F$2)</f>
        <v>128.73783982233832</v>
      </c>
      <c r="S124" s="1">
        <v>80</v>
      </c>
      <c r="T124" s="4" cm="1">
        <f t="array" ref="T124">RhoC(S124,$B$2,$T$119,$D$2,$E$2,$F$3)</f>
        <v>8.4379549560306411E-2</v>
      </c>
      <c r="U124" s="4" cm="1">
        <f t="array" ref="U124">RhoC(S124,$B$2,$U$119,$D$2,$E$2,$F$3)</f>
        <v>0.86101600896775732</v>
      </c>
      <c r="V124" s="4" cm="1">
        <f t="array" ref="V124">RhoC(S124,$B$2,$V$119,$D$2,$E$2,$F$3)</f>
        <v>2.3188215227327134</v>
      </c>
      <c r="W124" s="4" cm="1">
        <f t="array" ref="W124">RhoC(S124,$B$2,$W$119,$D$2,$E$2,$F$3)</f>
        <v>4.2101668239852943</v>
      </c>
      <c r="X124" s="4" cm="1">
        <f t="array" ref="X124">RhoC(S124,$B$2,$X$119,$D$2,$E$2,$F$3)</f>
        <v>6.3836239230238867</v>
      </c>
      <c r="Y124" s="4" cm="1">
        <f t="array" ref="Y124">RhoC(S124,$B$2,$Y$119,$D$2,$E$2,$F$3)</f>
        <v>8.7502447732684363</v>
      </c>
      <c r="Z124" s="4" cm="1">
        <f t="array" ref="Z124">RhoC(S124,$B$2,$Z$119,$D$2,$E$2,$F$3)</f>
        <v>11.254687988484211</v>
      </c>
      <c r="AA124" s="4" cm="1">
        <f t="array" ref="AA124">RhoC(S124,$B$2,$AA$119,$D$2,$E$2,$F$3)</f>
        <v>13.860489518231892</v>
      </c>
      <c r="AB124" s="4" cm="1">
        <f t="array" ref="AB124">RhoC(S124,$B$2,$AB$119,$D$2,$E$2,$F$3)</f>
        <v>16.542451185364438</v>
      </c>
      <c r="AC124" s="4" cm="1">
        <f t="array" ref="AC124">RhoC(S124,$B$2,$AC$119,$D$2,$E$2,$F$3)</f>
        <v>19.282474296583743</v>
      </c>
      <c r="AD124" s="4" cm="1">
        <f t="array" ref="AD124">RhoC(S124,$B$2,$AD$119,$D$2,$E$2,$F$3)</f>
        <v>47.990477205189997</v>
      </c>
      <c r="AE124" s="4" cm="1">
        <f t="array" ref="AE124">RhoC(S124,$B$2,$AE$119,$D$2,$E$2,$F$3)</f>
        <v>76.81640811264738</v>
      </c>
      <c r="AF124" s="4" cm="1">
        <f t="array" ref="AF124">RhoC(S124,$B$2,$AF$119,$D$2,$E$2,$F$3)</f>
        <v>104.72989940256033</v>
      </c>
      <c r="AG124" s="5" cm="1">
        <f t="array" ref="AG124">RhoC(S124,$B$2,$AG$119,$D$2,$E$2,$F$3)</f>
        <v>131.46822164902673</v>
      </c>
      <c r="AK124" s="1">
        <v>80</v>
      </c>
      <c r="AL124" s="4" cm="1">
        <f t="array" ref="AL124">RhoC(AK124,$B$2,$AL$119,$D$2,$E$2,$F$4)</f>
        <v>9.5606229748062578E-12</v>
      </c>
      <c r="AM124" s="4" cm="1">
        <f t="array" ref="AM124">RhoC(AK124,$B$2,$AM$119,$D$2,$E$2,$F$4)</f>
        <v>6.7762571900260917E-6</v>
      </c>
      <c r="AN124" s="4" cm="1">
        <f t="array" ref="AN124">RhoC(AK124,$B$2,$AN$119,$D$2,$E$2,$F$4)</f>
        <v>7.770392227479004E-4</v>
      </c>
      <c r="AO124" s="4" cm="1">
        <f t="array" ref="AO124">RhoC(AK124,$B$2,$AO$119,$D$2,$E$2,$F$4)</f>
        <v>9.3874067121779408E-3</v>
      </c>
      <c r="AP124" s="4" cm="1">
        <f t="array" ref="AP124">RhoC(AK124,$B$2,$AP$119,$D$2,$E$2,$F$4)</f>
        <v>4.4930628022144245E-2</v>
      </c>
      <c r="AQ124" s="4" cm="1">
        <f t="array" ref="AQ124">RhoC(AK124,$B$2,$AQ$119,$D$2,$E$2,$F$4)</f>
        <v>0.13367272087027193</v>
      </c>
      <c r="AR124" s="4" cm="1">
        <f t="array" ref="AR124">RhoC(AK124,$B$2,$AR$119,$D$2,$E$2,$F$4)</f>
        <v>0.30094142404680357</v>
      </c>
      <c r="AS124" s="4" cm="1">
        <f t="array" ref="AS124">RhoC(AK124,$B$2,$AS$119,$D$2,$E$2,$F$4)</f>
        <v>0.56671524536186413</v>
      </c>
      <c r="AT124" s="4" cm="1">
        <f t="array" ref="AT124">RhoC(AK124,$B$2,$AT$119,$D$2,$E$2,$F$4)</f>
        <v>0.94469788357844986</v>
      </c>
      <c r="AU124" s="4" cm="1">
        <f t="array" ref="AU124">RhoC(AK124,$B$2,$AU$119,$D$2,$E$2,$F$4)</f>
        <v>1.4430579922614029</v>
      </c>
      <c r="AV124" s="4" cm="1">
        <f t="array" ref="AV124">RhoC(AK124,$B$2,$AV$119,$D$2,$E$2,$F$4)</f>
        <v>12.916231918414782</v>
      </c>
      <c r="AW124" s="4" cm="1">
        <f t="array" ref="AW124">RhoC(AK124,$B$2,$AW$119,$D$2,$E$2,$F$4)</f>
        <v>33.403665227840925</v>
      </c>
      <c r="AX124" s="4" cm="1">
        <f t="array" ref="AX124">RhoC(AK124,$B$2,$AX$119,$D$2,$E$2,$F$4)</f>
        <v>59.523559431171975</v>
      </c>
      <c r="AY124" s="5" cm="1">
        <f t="array" ref="AY124">RhoC(AK124,$B$2,$AY$119,$D$2,$E$2,$F$4)</f>
        <v>89.308606477141765</v>
      </c>
    </row>
    <row r="125" spans="1:51" x14ac:dyDescent="0.3">
      <c r="A125" s="1">
        <v>85</v>
      </c>
      <c r="B125" s="4" cm="1">
        <f t="array" ref="B125">RhoC(A125,$B$2,$B$119,$D$2,$E$2,$F$2)</f>
        <v>4.8575796157643812E-2</v>
      </c>
      <c r="C125" s="4" cm="1">
        <f t="array" ref="C125">RhoC(A125,$B$2,$C$119,$D$2,$E$2,$F$2)</f>
        <v>0.65728086131009644</v>
      </c>
      <c r="D125" s="4" cm="1">
        <f t="array" ref="D125">RhoC(A125,$B$2,$D$119,$D$2,$E$2,$F$2)</f>
        <v>1.9560484482833893</v>
      </c>
      <c r="E125" s="4" cm="1">
        <f t="array" ref="E125">RhoC(A125,$B$2,$E$119,$D$2,$E$2,$F$2)</f>
        <v>3.7454643863001102</v>
      </c>
      <c r="F125" s="4" cm="1">
        <f t="array" ref="F125">RhoC(A125,$B$2,$F$119,$D$2,$E$2,$F$2)</f>
        <v>5.8755556011287497</v>
      </c>
      <c r="G125" s="4" cm="1">
        <f t="array" ref="G125">RhoC(A125,$B$2,$G$119,$D$2,$E$2,$F$2)</f>
        <v>8.2510457333700931</v>
      </c>
      <c r="H125" s="4" cm="1">
        <f t="array" ref="H125">RhoC(A125,$B$2,$H$119,$D$2,$E$2,$F$2)</f>
        <v>10.810010394461257</v>
      </c>
      <c r="I125" s="4" cm="1">
        <f t="array" ref="I125">RhoC(A125,$B$2,$I$119,$D$2,$E$2,$F$2)</f>
        <v>13.510429218050067</v>
      </c>
      <c r="J125" s="4" cm="1">
        <f t="array" ref="J125">RhoC(A125,$B$2,$J$119,$D$2,$E$2,$F$2)</f>
        <v>16.322605204399807</v>
      </c>
      <c r="K125" s="4" cm="1">
        <f t="array" ref="K125">RhoC(A125,$B$2,$K$119,$D$2,$E$2,$F$2)</f>
        <v>19.224806199408722</v>
      </c>
      <c r="L125" s="4" cm="1">
        <f t="array" ref="L125">RhoC(A125,$B$2,$L$119,$D$2,$E$2,$F$2)</f>
        <v>50.84600116043957</v>
      </c>
      <c r="M125" s="4" cm="1">
        <f t="array" ref="M125">RhoC(A125,$B$2,$M$119,$D$2,$E$2,$F$2)</f>
        <v>84.192775036698535</v>
      </c>
      <c r="N125" s="4" cm="1">
        <f t="array" ref="N125">RhoC(A125,$B$2,$N$119,$D$2,$E$2,$F$2)</f>
        <v>117.72513441976243</v>
      </c>
      <c r="O125" s="5" cm="1">
        <f t="array" ref="O125">RhoC(A125,$B$2,$O$119,$D$2,$E$2,$F$2)</f>
        <v>150.92196539513881</v>
      </c>
      <c r="S125" s="1">
        <v>85</v>
      </c>
      <c r="T125" s="4" cm="1">
        <f t="array" ref="T125">RhoC(S125,$B$2,$T$119,$D$2,$E$2,$F$3)</f>
        <v>0.40019706155343387</v>
      </c>
      <c r="U125" s="4" cm="1">
        <f t="array" ref="U125">RhoC(S125,$B$2,$U$119,$D$2,$E$2,$F$3)</f>
        <v>2.0599015086440065</v>
      </c>
      <c r="V125" s="4" cm="1">
        <f t="array" ref="V125">RhoC(S125,$B$2,$V$119,$D$2,$E$2,$F$3)</f>
        <v>4.3722556636840153</v>
      </c>
      <c r="W125" s="4" cm="1">
        <f t="array" ref="W125">RhoC(S125,$B$2,$W$119,$D$2,$E$2,$F$3)</f>
        <v>7.015818789635345</v>
      </c>
      <c r="X125" s="4" cm="1">
        <f t="array" ref="X125">RhoC(S125,$B$2,$X$119,$D$2,$E$2,$F$3)</f>
        <v>9.852967725997944</v>
      </c>
      <c r="Y125" s="4" cm="1">
        <f t="array" ref="Y125">RhoC(S125,$B$2,$Y$119,$D$2,$E$2,$F$3)</f>
        <v>12.81328269794542</v>
      </c>
      <c r="Z125" s="4" cm="1">
        <f t="array" ref="Z125">RhoC(S125,$B$2,$Z$119,$D$2,$E$2,$F$3)</f>
        <v>15.855986685171217</v>
      </c>
      <c r="AA125" s="4" cm="1">
        <f t="array" ref="AA125">RhoC(S125,$B$2,$AA$119,$D$2,$E$2,$F$3)</f>
        <v>18.95536543143395</v>
      </c>
      <c r="AB125" s="4" cm="1">
        <f t="array" ref="AB125">RhoC(S125,$B$2,$AB$119,$D$2,$E$2,$F$3)</f>
        <v>22.094174145759741</v>
      </c>
      <c r="AC125" s="4" cm="1">
        <f t="array" ref="AC125">RhoC(S125,$B$2,$AC$119,$D$2,$E$2,$F$3)</f>
        <v>25.26030113898759</v>
      </c>
      <c r="AD125" s="4" cm="1">
        <f t="array" ref="AD125">RhoC(S125,$B$2,$AD$119,$D$2,$E$2,$F$3)</f>
        <v>57.209878012749975</v>
      </c>
      <c r="AE125" s="4" cm="1">
        <f t="array" ref="AE125">RhoC(S125,$B$2,$AE$119,$D$2,$E$2,$F$3)</f>
        <v>88.310233648812414</v>
      </c>
      <c r="AF125" s="4" cm="1">
        <f t="array" ref="AF125">RhoC(S125,$B$2,$AF$119,$D$2,$E$2,$F$3)</f>
        <v>118.00840446744411</v>
      </c>
      <c r="AG125" s="5" cm="1">
        <f t="array" ref="AG125">RhoC(S125,$B$2,$AG$119,$D$2,$E$2,$F$3)</f>
        <v>146.2190337198065</v>
      </c>
      <c r="AK125" s="1">
        <v>85</v>
      </c>
      <c r="AL125" s="4" cm="1">
        <f t="array" ref="AL125">RhoC(AK125,$B$2,$AL$119,$D$2,$E$2,$F$4)</f>
        <v>1.4981715104281291E-6</v>
      </c>
      <c r="AM125" s="4" cm="1">
        <f t="array" ref="AM125">RhoC(AK125,$B$2,$AM$119,$D$2,$E$2,$F$4)</f>
        <v>3.0362011070892195E-3</v>
      </c>
      <c r="AN125" s="4" cm="1">
        <f t="array" ref="AN125">RhoC(AK125,$B$2,$AN$119,$D$2,$E$2,$F$4)</f>
        <v>4.9117640802576266E-2</v>
      </c>
      <c r="AO125" s="4" cm="1">
        <f t="array" ref="AO125">RhoC(AK125,$B$2,$AO$119,$D$2,$E$2,$F$4)</f>
        <v>0.22206863454671463</v>
      </c>
      <c r="AP125" s="4" cm="1">
        <f t="array" ref="AP125">RhoC(AK125,$B$2,$AP$119,$D$2,$E$2,$F$4)</f>
        <v>0.58793072579454853</v>
      </c>
      <c r="AQ125" s="4" cm="1">
        <f t="array" ref="AQ125">RhoC(AK125,$B$2,$AQ$119,$D$2,$E$2,$F$4)</f>
        <v>1.1766528591399656</v>
      </c>
      <c r="AR125" s="4" cm="1">
        <f t="array" ref="AR125">RhoC(AK125,$B$2,$AR$119,$D$2,$E$2,$F$4)</f>
        <v>1.9932210842367937</v>
      </c>
      <c r="AS125" s="4" cm="1">
        <f t="array" ref="AS125">RhoC(AK125,$B$2,$AS$119,$D$2,$E$2,$F$4)</f>
        <v>3.0294875417979759</v>
      </c>
      <c r="AT125" s="4" cm="1">
        <f t="array" ref="AT125">RhoC(AK125,$B$2,$AT$119,$D$2,$E$2,$F$4)</f>
        <v>4.2714832976975066</v>
      </c>
      <c r="AU125" s="4" cm="1">
        <f t="array" ref="AU125">RhoC(AK125,$B$2,$AU$119,$D$2,$E$2,$F$4)</f>
        <v>5.7033185664748594</v>
      </c>
      <c r="AV125" s="4" cm="1">
        <f t="array" ref="AV125">RhoC(AK125,$B$2,$AV$119,$D$2,$E$2,$F$4)</f>
        <v>27.526263359416991</v>
      </c>
      <c r="AW125" s="4" cm="1">
        <f t="array" ref="AW125">RhoC(AK125,$B$2,$AW$119,$D$2,$E$2,$F$4)</f>
        <v>57.408661084024153</v>
      </c>
      <c r="AX125" s="4" cm="1">
        <f t="array" ref="AX125">RhoC(AK125,$B$2,$AX$119,$D$2,$E$2,$F$4)</f>
        <v>91.485721832214878</v>
      </c>
      <c r="AY125" s="5" cm="1">
        <f t="array" ref="AY125">RhoC(AK125,$B$2,$AY$119,$D$2,$E$2,$F$4)</f>
        <v>128.07174822131722</v>
      </c>
    </row>
    <row r="126" spans="1:51" x14ac:dyDescent="0.3">
      <c r="A126" s="1">
        <v>90</v>
      </c>
      <c r="B126" s="4" cm="1">
        <f t="array" ref="B126">RhoC(A126,$B$2,$B$119,$D$2,$E$2,$F$2)</f>
        <v>0.46266505291057575</v>
      </c>
      <c r="C126" s="4" cm="1">
        <f t="array" ref="C126">RhoC(A126,$B$2,$C$119,$D$2,$E$2,$F$2)</f>
        <v>2.2955278113909654</v>
      </c>
      <c r="D126" s="4" cm="1">
        <f t="array" ref="D126">RhoC(A126,$B$2,$D$119,$D$2,$E$2,$F$2)</f>
        <v>4.8240469025865851</v>
      </c>
      <c r="E126" s="4" cm="1">
        <f t="array" ref="E126">RhoC(A126,$B$2,$E$119,$D$2,$E$2,$F$2)</f>
        <v>7.7145681524544081</v>
      </c>
      <c r="F126" s="4" cm="1">
        <f t="array" ref="F126">RhoC(A126,$B$2,$F$119,$D$2,$E$2,$F$2)</f>
        <v>10.82511559814913</v>
      </c>
      <c r="G126" s="4" cm="1">
        <f t="array" ref="G126">RhoC(A126,$B$2,$G$119,$D$2,$E$2,$F$2)</f>
        <v>14.082638092999998</v>
      </c>
      <c r="H126" s="4" cm="1">
        <f t="array" ref="H126">RhoC(A126,$B$2,$H$119,$D$2,$E$2,$F$2)</f>
        <v>17.444422479079943</v>
      </c>
      <c r="I126" s="4" cm="1">
        <f t="array" ref="I126">RhoC(A126,$B$2,$I$119,$D$2,$E$2,$F$2)</f>
        <v>20.883210534016246</v>
      </c>
      <c r="J126" s="4" cm="1">
        <f t="array" ref="J126">RhoC(A126,$B$2,$J$119,$D$2,$E$2,$F$2)</f>
        <v>24.380474754909535</v>
      </c>
      <c r="K126" s="4" cm="1">
        <f t="array" ref="K126">RhoC(A126,$B$2,$K$119,$D$2,$E$2,$F$2)</f>
        <v>27.923010462044491</v>
      </c>
      <c r="L126" s="4" cm="1">
        <f t="array" ref="L126">RhoC(A126,$B$2,$L$119,$D$2,$E$2,$F$2)</f>
        <v>64.458771564347103</v>
      </c>
      <c r="M126" s="4" cm="1">
        <f t="array" ref="M126">RhoC(A126,$B$2,$M$119,$D$2,$E$2,$F$2)</f>
        <v>101.31166738002779</v>
      </c>
      <c r="N126" s="4" cm="1">
        <f t="array" ref="N126">RhoC(A126,$B$2,$N$119,$D$2,$E$2,$F$2)</f>
        <v>137.64368253482539</v>
      </c>
      <c r="O126" s="5" cm="1">
        <f t="array" ref="O126">RhoC(A126,$B$2,$O$119,$D$2,$E$2,$F$2)</f>
        <v>173.19351169097621</v>
      </c>
      <c r="S126" s="1">
        <v>90</v>
      </c>
      <c r="T126" s="4" cm="1">
        <f t="array" ref="T126">RhoC(S126,$B$2,$T$119,$D$2,$E$2,$F$3)</f>
        <v>1.2546393350198692</v>
      </c>
      <c r="U126" s="4" cm="1">
        <f t="array" ref="U126">RhoC(S126,$B$2,$U$119,$D$2,$E$2,$F$3)</f>
        <v>4.0151569990777833</v>
      </c>
      <c r="V126" s="4" cm="1">
        <f t="array" ref="V126">RhoC(S126,$B$2,$V$119,$D$2,$E$2,$F$3)</f>
        <v>7.1895756392573711</v>
      </c>
      <c r="W126" s="4" cm="1">
        <f t="array" ref="W126">RhoC(S126,$B$2,$W$119,$D$2,$E$2,$F$3)</f>
        <v>10.543607299579147</v>
      </c>
      <c r="X126" s="4" cm="1">
        <f t="array" ref="X126">RhoC(S126,$B$2,$X$119,$D$2,$E$2,$F$3)</f>
        <v>13.991727530535455</v>
      </c>
      <c r="Y126" s="4" cm="1">
        <f t="array" ref="Y126">RhoC(S126,$B$2,$Y$119,$D$2,$E$2,$F$3)</f>
        <v>17.49273970506767</v>
      </c>
      <c r="Z126" s="4" cm="1">
        <f t="array" ref="Z126">RhoC(S126,$B$2,$Z$119,$D$2,$E$2,$F$3)</f>
        <v>21.023581921994065</v>
      </c>
      <c r="AA126" s="4" cm="1">
        <f t="array" ref="AA126">RhoC(S126,$B$2,$AA$119,$D$2,$E$2,$F$3)</f>
        <v>24.570063770440541</v>
      </c>
      <c r="AB126" s="4" cm="1">
        <f t="array" ref="AB126">RhoC(S126,$B$2,$AB$119,$D$2,$E$2,$F$3)</f>
        <v>28.122869505264237</v>
      </c>
      <c r="AC126" s="4" cm="1">
        <f t="array" ref="AC126">RhoC(S126,$B$2,$AC$119,$D$2,$E$2,$F$3)</f>
        <v>31.675590666078804</v>
      </c>
      <c r="AD126" s="4" cm="1">
        <f t="array" ref="AD126">RhoC(S126,$B$2,$AD$119,$D$2,$E$2,$F$3)</f>
        <v>66.591346159028802</v>
      </c>
      <c r="AE126" s="4" cm="1">
        <f t="array" ref="AE126">RhoC(S126,$B$2,$AE$119,$D$2,$E$2,$F$3)</f>
        <v>99.800015811264572</v>
      </c>
      <c r="AF126" s="4" cm="1">
        <f t="array" ref="AF126">RhoC(S126,$B$2,$AF$119,$D$2,$E$2,$F$3)</f>
        <v>131.16465975777294</v>
      </c>
      <c r="AG126" s="5" cm="1">
        <f t="array" ref="AG126">RhoC(S126,$B$2,$AG$119,$D$2,$E$2,$F$3)</f>
        <v>160.75618888968964</v>
      </c>
      <c r="AK126" s="1">
        <v>90</v>
      </c>
      <c r="AL126" s="4" cm="1">
        <f t="array" ref="AL126">RhoC(AK126,$B$2,$AL$119,$D$2,$E$2,$F$4)</f>
        <v>4.5615435801455873E-3</v>
      </c>
      <c r="AM126" s="4" cm="1">
        <f t="array" ref="AM126">RhoC(AK126,$B$2,$AM$119,$D$2,$E$2,$F$4)</f>
        <v>0.19578943327318746</v>
      </c>
      <c r="AN126" s="4" cm="1">
        <f t="array" ref="AN126">RhoC(AK126,$B$2,$AN$119,$D$2,$E$2,$F$4)</f>
        <v>0.86635170446754073</v>
      </c>
      <c r="AO126" s="4" cm="1">
        <f t="array" ref="AO126">RhoC(AK126,$B$2,$AO$119,$D$2,$E$2,$F$4)</f>
        <v>2.0358699772475957</v>
      </c>
      <c r="AP126" s="4" cm="1">
        <f t="array" ref="AP126">RhoC(AK126,$B$2,$AP$119,$D$2,$E$2,$F$4)</f>
        <v>3.6258596069978886</v>
      </c>
      <c r="AQ126" s="4" cm="1">
        <f t="array" ref="AQ126">RhoC(AK126,$B$2,$AQ$119,$D$2,$E$2,$F$4)</f>
        <v>5.5569135148285991</v>
      </c>
      <c r="AR126" s="4" cm="1">
        <f t="array" ref="AR126">RhoC(AK126,$B$2,$AR$119,$D$2,$E$2,$F$4)</f>
        <v>7.7653949825830599</v>
      </c>
      <c r="AS126" s="4" cm="1">
        <f t="array" ref="AS126">RhoC(AK126,$B$2,$AS$119,$D$2,$E$2,$F$4)</f>
        <v>10.202507574836329</v>
      </c>
      <c r="AT126" s="4" cm="1">
        <f t="array" ref="AT126">RhoC(AK126,$B$2,$AT$119,$D$2,$E$2,$F$4)</f>
        <v>12.830859013377559</v>
      </c>
      <c r="AU126" s="4" cm="1">
        <f t="array" ref="AU126">RhoC(AK126,$B$2,$AU$119,$D$2,$E$2,$F$4)</f>
        <v>15.62145021961441</v>
      </c>
      <c r="AV126" s="4" cm="1">
        <f t="array" ref="AV126">RhoC(AK126,$B$2,$AV$119,$D$2,$E$2,$F$4)</f>
        <v>49.021713340295129</v>
      </c>
      <c r="AW126" s="4" cm="1">
        <f t="array" ref="AW126">RhoC(AK126,$B$2,$AW$119,$D$2,$E$2,$F$4)</f>
        <v>87.613987301824238</v>
      </c>
      <c r="AX126" s="4" cm="1">
        <f t="array" ref="AX126">RhoC(AK126,$B$2,$AX$119,$D$2,$E$2,$F$4)</f>
        <v>128.6541502080531</v>
      </c>
      <c r="AY126" s="5" cm="1">
        <f t="array" ref="AY126">RhoC(AK126,$B$2,$AY$119,$D$2,$E$2,$F$4)</f>
        <v>171.05684720072716</v>
      </c>
    </row>
    <row r="127" spans="1:51" x14ac:dyDescent="0.3">
      <c r="A127" s="1">
        <v>95</v>
      </c>
      <c r="B127" s="4" cm="1">
        <f t="array" ref="B127">RhoC(A127,$B$2,$B$119,$D$2,$E$2,$F$2)</f>
        <v>2.0396276517295933</v>
      </c>
      <c r="C127" s="4" cm="1">
        <f t="array" ref="C127">RhoC(A127,$B$2,$C$119,$D$2,$E$2,$F$2)</f>
        <v>5.5018256030450017</v>
      </c>
      <c r="D127" s="4" cm="1">
        <f t="array" ref="D127">RhoC(A127,$B$2,$D$119,$D$2,$E$2,$F$2)</f>
        <v>9.2744913252504038</v>
      </c>
      <c r="E127" s="4" cm="1">
        <f t="array" ref="E127">RhoC(A127,$B$2,$E$119,$D$2,$E$2,$F$2)</f>
        <v>13.18745877873687</v>
      </c>
      <c r="F127" s="4" cm="1">
        <f t="array" ref="F127">RhoC(A127,$B$2,$F$119,$D$2,$E$2,$F$2)</f>
        <v>17.178656648502809</v>
      </c>
      <c r="G127" s="4" cm="1">
        <f t="array" ref="G127">RhoC(A127,$B$2,$G$119,$D$2,$E$2,$F$2)</f>
        <v>21.217661617090137</v>
      </c>
      <c r="H127" s="4" cm="1">
        <f t="array" ref="H127">RhoC(A127,$B$2,$H$119,$D$2,$E$2,$F$2)</f>
        <v>25.287075576346904</v>
      </c>
      <c r="I127" s="4" cm="1">
        <f t="array" ref="I127">RhoC(A127,$B$2,$I$119,$D$2,$E$2,$F$2)</f>
        <v>29.375944234947266</v>
      </c>
      <c r="J127" s="4" cm="1">
        <f t="array" ref="J127">RhoC(A127,$B$2,$J$119,$D$2,$E$2,$F$2)</f>
        <v>33.476899762460484</v>
      </c>
      <c r="K127" s="4" cm="1">
        <f t="array" ref="K127">RhoC(A127,$B$2,$K$119,$D$2,$E$2,$F$2)</f>
        <v>37.584742260070186</v>
      </c>
      <c r="L127" s="4" cm="1">
        <f t="array" ref="L127">RhoC(A127,$B$2,$L$119,$D$2,$E$2,$F$2)</f>
        <v>78.513403617493836</v>
      </c>
      <c r="M127" s="4" cm="1">
        <f t="array" ref="M127">RhoC(A127,$B$2,$M$119,$D$2,$E$2,$F$2)</f>
        <v>118.55867137549207</v>
      </c>
      <c r="N127" s="4" cm="1">
        <f t="array" ref="N127">RhoC(A127,$B$2,$N$119,$D$2,$E$2,$F$2)</f>
        <v>157.46664906933412</v>
      </c>
      <c r="O127" s="5" cm="1">
        <f t="array" ref="O127">RhoC(A127,$B$2,$O$119,$D$2,$E$2,$F$2)</f>
        <v>195.1955064989242</v>
      </c>
      <c r="S127" s="1">
        <v>95</v>
      </c>
      <c r="T127" s="4" cm="1">
        <f t="array" ref="T127">RhoC(S127,$B$2,$T$119,$D$2,$E$2,$F$3)</f>
        <v>2.8149490988691559</v>
      </c>
      <c r="U127" s="4" cm="1">
        <f t="array" ref="U127">RhoC(S127,$B$2,$U$119,$D$2,$E$2,$F$3)</f>
        <v>6.6260425961542984</v>
      </c>
      <c r="V127" s="4" cm="1">
        <f t="array" ref="V127">RhoC(S127,$B$2,$V$119,$D$2,$E$2,$F$3)</f>
        <v>10.571300384455705</v>
      </c>
      <c r="W127" s="4" cm="1">
        <f t="array" ref="W127">RhoC(S127,$B$2,$W$119,$D$2,$E$2,$F$3)</f>
        <v>14.556689094577388</v>
      </c>
      <c r="X127" s="4" cm="1">
        <f t="array" ref="X127">RhoC(S127,$B$2,$X$119,$D$2,$E$2,$F$3)</f>
        <v>18.549891582551311</v>
      </c>
      <c r="Y127" s="4" cm="1">
        <f t="array" ref="Y127">RhoC(S127,$B$2,$Y$119,$D$2,$E$2,$F$3)</f>
        <v>22.536096616038257</v>
      </c>
      <c r="Z127" s="4" cm="1">
        <f t="array" ref="Z127">RhoC(S127,$B$2,$Z$119,$D$2,$E$2,$F$3)</f>
        <v>26.507480350440918</v>
      </c>
      <c r="AA127" s="4" cm="1">
        <f t="array" ref="AA127">RhoC(S127,$B$2,$AA$119,$D$2,$E$2,$F$3)</f>
        <v>30.459559705270866</v>
      </c>
      <c r="AB127" s="4" cm="1">
        <f t="array" ref="AB127">RhoC(S127,$B$2,$AB$119,$D$2,$E$2,$F$3)</f>
        <v>34.389641378661537</v>
      </c>
      <c r="AC127" s="4" cm="1">
        <f t="array" ref="AC127">RhoC(S127,$B$2,$AC$119,$D$2,$E$2,$F$3)</f>
        <v>38.296069087442106</v>
      </c>
      <c r="AD127" s="4" cm="1">
        <f t="array" ref="AD127">RhoC(S127,$B$2,$AD$119,$D$2,$E$2,$F$3)</f>
        <v>75.961631172955663</v>
      </c>
      <c r="AE127" s="4" cm="1">
        <f t="array" ref="AE127">RhoC(S127,$B$2,$AE$119,$D$2,$E$2,$F$3)</f>
        <v>111.1515180755335</v>
      </c>
      <c r="AF127" s="4" cm="1">
        <f t="array" ref="AF127">RhoC(S127,$B$2,$AF$119,$D$2,$E$2,$F$3)</f>
        <v>144.09177804367718</v>
      </c>
      <c r="AG127" s="5" cm="1">
        <f t="array" ref="AG127">RhoC(S127,$B$2,$AG$119,$D$2,$E$2,$F$3)</f>
        <v>174.99340189075156</v>
      </c>
      <c r="AK127" s="1">
        <v>95</v>
      </c>
      <c r="AL127" s="4" cm="1">
        <f t="array" ref="AL127">RhoC(AK127,$B$2,$AL$119,$D$2,$E$2,$F$4)</f>
        <v>0.54058155808872665</v>
      </c>
      <c r="AM127" s="4" cm="1">
        <f t="array" ref="AM127">RhoC(AK127,$B$2,$AM$119,$D$2,$E$2,$F$4)</f>
        <v>2.6024085650062818</v>
      </c>
      <c r="AN127" s="4" cm="1">
        <f t="array" ref="AN127">RhoC(AK127,$B$2,$AN$119,$D$2,$E$2,$F$4)</f>
        <v>5.4331597927515309</v>
      </c>
      <c r="AO127" s="4" cm="1">
        <f t="array" ref="AO127">RhoC(AK127,$B$2,$AO$119,$D$2,$E$2,$F$4)</f>
        <v>8.6801463209930212</v>
      </c>
      <c r="AP127" s="4" cm="1">
        <f t="array" ref="AP127">RhoC(AK127,$B$2,$AP$119,$D$2,$E$2,$F$4)</f>
        <v>12.193085930105976</v>
      </c>
      <c r="AQ127" s="4" cm="1">
        <f t="array" ref="AQ127">RhoC(AK127,$B$2,$AQ$119,$D$2,$E$2,$F$4)</f>
        <v>15.893745368596148</v>
      </c>
      <c r="AR127" s="4" cm="1">
        <f t="array" ref="AR127">RhoC(AK127,$B$2,$AR$119,$D$2,$E$2,$F$4)</f>
        <v>19.735680124144061</v>
      </c>
      <c r="AS127" s="4" cm="1">
        <f t="array" ref="AS127">RhoC(AK127,$B$2,$AS$119,$D$2,$E$2,$F$4)</f>
        <v>23.688743774384431</v>
      </c>
      <c r="AT127" s="4" cm="1">
        <f t="array" ref="AT127">RhoC(AK127,$B$2,$AT$119,$D$2,$E$2,$F$4)</f>
        <v>27.732073358297111</v>
      </c>
      <c r="AU127" s="4" cm="1">
        <f t="array" ref="AU127">RhoC(AK127,$B$2,$AU$119,$D$2,$E$2,$F$4)</f>
        <v>31.850518608360616</v>
      </c>
      <c r="AV127" s="4" cm="1">
        <f t="array" ref="AV127">RhoC(AK127,$B$2,$AV$119,$D$2,$E$2,$F$4)</f>
        <v>75.504315646173964</v>
      </c>
      <c r="AW127" s="4" cm="1">
        <f t="array" ref="AW127">RhoC(AK127,$B$2,$AW$119,$D$2,$E$2,$F$4)</f>
        <v>121.40668920003027</v>
      </c>
      <c r="AX127" s="4" cm="1">
        <f t="array" ref="AX127">RhoC(AK127,$B$2,$AX$119,$D$2,$E$2,$F$4)</f>
        <v>168.26600318585682</v>
      </c>
      <c r="AY127" s="5" cm="1">
        <f t="array" ref="AY127">RhoC(AK127,$B$2,$AY$119,$D$2,$E$2,$F$4)</f>
        <v>215.54734091941634</v>
      </c>
    </row>
    <row r="128" spans="1:51" x14ac:dyDescent="0.3">
      <c r="A128" s="1">
        <v>100</v>
      </c>
      <c r="B128" s="4" cm="1">
        <f t="array" ref="B128">RhoC(A128,$B$2,$B$119,$D$2,$E$2,$F$2)</f>
        <v>4.9319898584384116</v>
      </c>
      <c r="C128" s="4" cm="1">
        <f t="array" ref="C128">RhoC(A128,$B$2,$C$119,$D$2,$E$2,$F$2)</f>
        <v>9.8019788801767227</v>
      </c>
      <c r="D128" s="4" cm="1">
        <f t="array" ref="D128">RhoC(A128,$B$2,$D$119,$D$2,$E$2,$F$2)</f>
        <v>14.628325566737619</v>
      </c>
      <c r="E128" s="4" cm="1">
        <f t="array" ref="E128">RhoC(A128,$B$2,$E$119,$D$2,$E$2,$F$2)</f>
        <v>19.417631512966548</v>
      </c>
      <c r="F128" s="4" cm="1">
        <f t="array" ref="F128">RhoC(A128,$B$2,$F$119,$D$2,$E$2,$F$2)</f>
        <v>24.173738548666901</v>
      </c>
      <c r="G128" s="4" cm="1">
        <f t="array" ref="G128">RhoC(A128,$B$2,$G$119,$D$2,$E$2,$F$2)</f>
        <v>28.899256857821801</v>
      </c>
      <c r="H128" s="4" cm="1">
        <f t="array" ref="H128">RhoC(A128,$B$2,$H$119,$D$2,$E$2,$F$2)</f>
        <v>33.596116095735589</v>
      </c>
      <c r="I128" s="4" cm="1">
        <f t="array" ref="I128">RhoC(A128,$B$2,$I$119,$D$2,$E$2,$F$2)</f>
        <v>38.265821976803807</v>
      </c>
      <c r="J128" s="4" cm="1">
        <f t="array" ref="J128">RhoC(A128,$B$2,$J$119,$D$2,$E$2,$F$2)</f>
        <v>42.909594584950781</v>
      </c>
      <c r="K128" s="4" cm="1">
        <f t="array" ref="K128">RhoC(A128,$B$2,$K$119,$D$2,$E$2,$F$2)</f>
        <v>47.528450546914641</v>
      </c>
      <c r="L128" s="4" cm="1">
        <f t="array" ref="L128">RhoC(A128,$B$2,$L$119,$D$2,$E$2,$F$2)</f>
        <v>92.494293545844172</v>
      </c>
      <c r="M128" s="4" cm="1">
        <f t="array" ref="M128">RhoC(A128,$B$2,$M$119,$D$2,$E$2,$F$2)</f>
        <v>135.52089139551933</v>
      </c>
      <c r="N128" s="4" cm="1">
        <f t="array" ref="N128">RhoC(A128,$B$2,$N$119,$D$2,$E$2,$F$2)</f>
        <v>176.85142165444597</v>
      </c>
      <c r="O128" s="5" cm="1">
        <f t="array" ref="O128">RhoC(A128,$B$2,$O$119,$D$2,$E$2,$F$2)</f>
        <v>216.63757703673949</v>
      </c>
      <c r="S128" s="1">
        <v>100</v>
      </c>
      <c r="T128" s="4" cm="1">
        <f t="array" ref="T128">RhoC(S128,$B$2,$T$119,$D$2,$E$2,$F$3)</f>
        <v>4.8480002263733493</v>
      </c>
      <c r="U128" s="4" cm="1">
        <f t="array" ref="U128">RhoC(S128,$B$2,$U$119,$D$2,$E$2,$F$3)</f>
        <v>9.5647445393394914</v>
      </c>
      <c r="V128" s="4" cm="1">
        <f t="array" ref="V128">RhoC(S128,$B$2,$V$119,$D$2,$E$2,$F$3)</f>
        <v>14.193093045907348</v>
      </c>
      <c r="W128" s="4" cm="1">
        <f t="array" ref="W128">RhoC(S128,$B$2,$W$119,$D$2,$E$2,$F$3)</f>
        <v>18.748461687370579</v>
      </c>
      <c r="X128" s="4" cm="1">
        <f t="array" ref="X128">RhoC(S128,$B$2,$X$119,$D$2,$E$2,$F$3)</f>
        <v>23.239821537606058</v>
      </c>
      <c r="Y128" s="4" cm="1">
        <f t="array" ref="Y128">RhoC(S128,$B$2,$Y$119,$D$2,$E$2,$F$3)</f>
        <v>27.673266418213814</v>
      </c>
      <c r="Z128" s="4" cm="1">
        <f t="array" ref="Z128">RhoC(S128,$B$2,$Z$119,$D$2,$E$2,$F$3)</f>
        <v>32.053299834482402</v>
      </c>
      <c r="AA128" s="4" cm="1">
        <f t="array" ref="AA128">RhoC(S128,$B$2,$AA$119,$D$2,$E$2,$F$3)</f>
        <v>36.383434264921355</v>
      </c>
      <c r="AB128" s="4" cm="1">
        <f t="array" ref="AB128">RhoC(S128,$B$2,$AB$119,$D$2,$E$2,$F$3)</f>
        <v>40.666514264759975</v>
      </c>
      <c r="AC128" s="4" cm="1">
        <f t="array" ref="AC128">RhoC(S128,$B$2,$AC$119,$D$2,$E$2,$F$3)</f>
        <v>44.904908466519977</v>
      </c>
      <c r="AD128" s="4" cm="1">
        <f t="array" ref="AD128">RhoC(S128,$B$2,$AD$119,$D$2,$E$2,$F$3)</f>
        <v>85.174423276303955</v>
      </c>
      <c r="AE128" s="4" cm="1">
        <f t="array" ref="AE128">RhoC(S128,$B$2,$AE$119,$D$2,$E$2,$F$3)</f>
        <v>122.25575387364285</v>
      </c>
      <c r="AF128" s="4" cm="1">
        <f t="array" ref="AF128">RhoC(S128,$B$2,$AF$119,$D$2,$E$2,$F$3)</f>
        <v>156.7052526385645</v>
      </c>
      <c r="AG128" s="5" cm="1">
        <f t="array" ref="AG128">RhoC(S128,$B$2,$AG$119,$D$2,$E$2,$F$3)</f>
        <v>188.86403749573628</v>
      </c>
      <c r="AK128" s="1">
        <v>100</v>
      </c>
      <c r="AL128" s="4" cm="1">
        <f t="array" ref="AL128">RhoC(AK128,$B$2,$AL$119,$D$2,$E$2,$F$4)</f>
        <v>5.058015139895339</v>
      </c>
      <c r="AM128" s="4" cm="1">
        <f t="array" ref="AM128">RhoC(AK128,$B$2,$AM$119,$D$2,$E$2,$F$4)</f>
        <v>10.158061093169938</v>
      </c>
      <c r="AN128" s="4" cm="1">
        <f t="array" ref="AN128">RhoC(AK128,$B$2,$AN$119,$D$2,$E$2,$F$4)</f>
        <v>15.281809298363573</v>
      </c>
      <c r="AO128" s="4" cm="1">
        <f t="array" ref="AO128">RhoC(AK128,$B$2,$AO$119,$D$2,$E$2,$F$4)</f>
        <v>20.42268806079311</v>
      </c>
      <c r="AP128" s="4" cm="1">
        <f t="array" ref="AP128">RhoC(AK128,$B$2,$AP$119,$D$2,$E$2,$F$4)</f>
        <v>25.576885410967218</v>
      </c>
      <c r="AQ128" s="4" cm="1">
        <f t="array" ref="AQ128">RhoC(AK128,$B$2,$AQ$119,$D$2,$E$2,$F$4)</f>
        <v>30.741820985414318</v>
      </c>
      <c r="AR128" s="4" cm="1">
        <f t="array" ref="AR128">RhoC(AK128,$B$2,$AR$119,$D$2,$E$2,$F$4)</f>
        <v>35.915594909590865</v>
      </c>
      <c r="AS128" s="4" cm="1">
        <f t="array" ref="AS128">RhoC(AK128,$B$2,$AS$119,$D$2,$E$2,$F$4)</f>
        <v>41.096731210161039</v>
      </c>
      <c r="AT128" s="4" cm="1">
        <f t="array" ref="AT128">RhoC(AK128,$B$2,$AT$119,$D$2,$E$2,$F$4)</f>
        <v>46.284039504608735</v>
      </c>
      <c r="AU128" s="4" cm="1">
        <f t="array" ref="AU128">RhoC(AK128,$B$2,$AU$119,$D$2,$E$2,$F$4)</f>
        <v>51.476532828002163</v>
      </c>
      <c r="AV128" s="4" cm="1">
        <f t="array" ref="AV128">RhoC(AK128,$B$2,$AV$119,$D$2,$E$2,$F$4)</f>
        <v>103.54544111550688</v>
      </c>
      <c r="AW128" s="4" cm="1">
        <f t="array" ref="AW128">RhoC(AK128,$B$2,$AW$119,$D$2,$E$2,$F$4)</f>
        <v>155.6127686690331</v>
      </c>
      <c r="AX128" s="4" cm="1">
        <f t="array" ref="AX128">RhoC(AK128,$B$2,$AX$119,$D$2,$E$2,$F$4)</f>
        <v>207.46435400648329</v>
      </c>
      <c r="AY128" s="5" cm="1">
        <f t="array" ref="AY128">RhoC(AK128,$B$2,$AY$119,$D$2,$E$2,$F$4)</f>
        <v>258.97713521361754</v>
      </c>
    </row>
    <row r="129" spans="1:51" x14ac:dyDescent="0.3">
      <c r="A129" s="1">
        <v>105</v>
      </c>
      <c r="B129" s="4" cm="1">
        <f t="array" ref="B129">RhoC(A129,$B$2,$B$119,$D$2,$E$2,$F$2)</f>
        <v>7.7428944428213189</v>
      </c>
      <c r="C129" s="4" cm="1">
        <f t="array" ref="C129">RhoC(A129,$B$2,$C$119,$D$2,$E$2,$F$2)</f>
        <v>13.963207315360485</v>
      </c>
      <c r="D129" s="4" cm="1">
        <f t="array" ref="D129">RhoC(A129,$B$2,$D$119,$D$2,$E$2,$F$2)</f>
        <v>19.801355879149483</v>
      </c>
      <c r="E129" s="4" cm="1">
        <f t="array" ref="E129">RhoC(A129,$B$2,$E$119,$D$2,$E$2,$F$2)</f>
        <v>25.432746553601696</v>
      </c>
      <c r="F129" s="4" cm="1">
        <f t="array" ref="F129">RhoC(A129,$B$2,$F$119,$D$2,$E$2,$F$2)</f>
        <v>30.924184743469112</v>
      </c>
      <c r="G129" s="4" cm="1">
        <f t="array" ref="G129">RhoC(A129,$B$2,$G$119,$D$2,$E$2,$F$2)</f>
        <v>36.309866980005239</v>
      </c>
      <c r="H129" s="4" cm="1">
        <f t="array" ref="H129">RhoC(A129,$B$2,$H$119,$D$2,$E$2,$F$2)</f>
        <v>41.610220083116076</v>
      </c>
      <c r="I129" s="4" cm="1">
        <f t="array" ref="I129">RhoC(A129,$B$2,$I$119,$D$2,$E$2,$F$2)</f>
        <v>46.838682825452466</v>
      </c>
      <c r="J129" s="4" cm="1">
        <f t="array" ref="J129">RhoC(A129,$B$2,$J$119,$D$2,$E$2,$F$2)</f>
        <v>52.004704799454153</v>
      </c>
      <c r="K129" s="4" cm="1">
        <f t="array" ref="K129">RhoC(A129,$B$2,$K$119,$D$2,$E$2,$F$2)</f>
        <v>57.1152625744216</v>
      </c>
      <c r="L129" s="4" cm="1">
        <f t="array" ref="L129">RhoC(A129,$B$2,$L$119,$D$2,$E$2,$F$2)</f>
        <v>105.96687970369521</v>
      </c>
      <c r="M129" s="4" cm="1">
        <f t="array" ref="M129">RhoC(A129,$B$2,$M$119,$D$2,$E$2,$F$2)</f>
        <v>151.86376940705389</v>
      </c>
      <c r="N129" s="4" cm="1">
        <f t="array" ref="N129">RhoC(A129,$B$2,$N$119,$D$2,$E$2,$F$2)</f>
        <v>195.52688246325391</v>
      </c>
      <c r="O129" s="5" cm="1">
        <f t="array" ref="O129">RhoC(A129,$B$2,$O$119,$D$2,$E$2,$F$2)</f>
        <v>237.29405021947213</v>
      </c>
      <c r="S129" s="1">
        <v>105</v>
      </c>
      <c r="T129" s="4" cm="1">
        <f t="array" ref="T129">RhoC(S129,$B$2,$T$119,$D$2,$E$2,$F$3)</f>
        <v>6.8277831133797173</v>
      </c>
      <c r="U129" s="4" cm="1">
        <f t="array" ref="U129">RhoC(S129,$B$2,$U$119,$D$2,$E$2,$F$3)</f>
        <v>12.420817808937203</v>
      </c>
      <c r="V129" s="4" cm="1">
        <f t="array" ref="V129">RhoC(S129,$B$2,$V$119,$D$2,$E$2,$F$3)</f>
        <v>17.710675985594914</v>
      </c>
      <c r="W129" s="4" cm="1">
        <f t="array" ref="W129">RhoC(S129,$B$2,$W$119,$D$2,$E$2,$F$3)</f>
        <v>22.818237236294163</v>
      </c>
      <c r="X129" s="4" cm="1">
        <f t="array" ref="X129">RhoC(S129,$B$2,$X$119,$D$2,$E$2,$F$3)</f>
        <v>27.792320019220721</v>
      </c>
      <c r="Y129" s="4" cm="1">
        <f t="array" ref="Y129">RhoC(S129,$B$2,$Y$119,$D$2,$E$2,$F$3)</f>
        <v>32.659213280179173</v>
      </c>
      <c r="Z129" s="4" cm="1">
        <f t="array" ref="Z129">RhoC(S129,$B$2,$Z$119,$D$2,$E$2,$F$3)</f>
        <v>37.435336997194241</v>
      </c>
      <c r="AA129" s="4" cm="1">
        <f t="array" ref="AA129">RhoC(S129,$B$2,$AA$119,$D$2,$E$2,$F$3)</f>
        <v>42.131936325461389</v>
      </c>
      <c r="AB129" s="4" cm="1">
        <f t="array" ref="AB129">RhoC(S129,$B$2,$AB$119,$D$2,$E$2,$F$3)</f>
        <v>46.757213487895108</v>
      </c>
      <c r="AC129" s="4" cm="1">
        <f t="array" ref="AC129">RhoC(S129,$B$2,$AC$119,$D$2,$E$2,$F$3)</f>
        <v>51.317432142978923</v>
      </c>
      <c r="AD129" s="4" cm="1">
        <f t="array" ref="AD129">RhoC(S129,$B$2,$AD$119,$D$2,$E$2,$F$3)</f>
        <v>94.111689131219805</v>
      </c>
      <c r="AE129" s="4" cm="1">
        <f t="array" ref="AE129">RhoC(S129,$B$2,$AE$119,$D$2,$E$2,$F$3)</f>
        <v>133.0271469421086</v>
      </c>
      <c r="AF129" s="4" cm="1">
        <f t="array" ref="AF129">RhoC(S129,$B$2,$AF$119,$D$2,$E$2,$F$3)</f>
        <v>168.94022005404264</v>
      </c>
      <c r="AG129" s="5" cm="1">
        <f t="array" ref="AG129">RhoC(S129,$B$2,$AG$119,$D$2,$E$2,$F$3)</f>
        <v>202.3181596575734</v>
      </c>
      <c r="AK129" s="1">
        <v>105</v>
      </c>
      <c r="AL129" s="4" cm="1">
        <f t="array" ref="AL129">RhoC(AK129,$B$2,$AL$119,$D$2,$E$2,$F$4)</f>
        <v>9.3952533892679782</v>
      </c>
      <c r="AM129" s="4" cm="1">
        <f t="array" ref="AM129">RhoC(AK129,$B$2,$AM$119,$D$2,$E$2,$F$4)</f>
        <v>17.309729794666577</v>
      </c>
      <c r="AN129" s="4" cm="1">
        <f t="array" ref="AN129">RhoC(AK129,$B$2,$AN$119,$D$2,$E$2,$F$4)</f>
        <v>24.548285319545805</v>
      </c>
      <c r="AO129" s="4" cm="1">
        <f t="array" ref="AO129">RhoC(AK129,$B$2,$AO$119,$D$2,$E$2,$F$4)</f>
        <v>31.435240865969416</v>
      </c>
      <c r="AP129" s="4" cm="1">
        <f t="array" ref="AP129">RhoC(AK129,$B$2,$AP$119,$D$2,$E$2,$F$4)</f>
        <v>38.103111573428784</v>
      </c>
      <c r="AQ129" s="4" cm="1">
        <f t="array" ref="AQ129">RhoC(AK129,$B$2,$AQ$119,$D$2,$E$2,$F$4)</f>
        <v>44.619116273382176</v>
      </c>
      <c r="AR129" s="4" cm="1">
        <f t="array" ref="AR129">RhoC(AK129,$B$2,$AR$119,$D$2,$E$2,$F$4)</f>
        <v>51.022305279995173</v>
      </c>
      <c r="AS129" s="4" cm="1">
        <f t="array" ref="AS129">RhoC(AK129,$B$2,$AS$119,$D$2,$E$2,$F$4)</f>
        <v>57.337518442883201</v>
      </c>
      <c r="AT129" s="4" cm="1">
        <f t="array" ref="AT129">RhoC(AK129,$B$2,$AT$119,$D$2,$E$2,$F$4)</f>
        <v>63.581611101087546</v>
      </c>
      <c r="AU129" s="4" cm="1">
        <f t="array" ref="AU129">RhoC(AK129,$B$2,$AU$119,$D$2,$E$2,$F$4)</f>
        <v>69.766586400827933</v>
      </c>
      <c r="AV129" s="4" cm="1">
        <f t="array" ref="AV129">RhoC(AK129,$B$2,$AV$119,$D$2,$E$2,$F$4)</f>
        <v>129.61923957799161</v>
      </c>
      <c r="AW129" s="4" cm="1">
        <f t="array" ref="AW129">RhoC(AK129,$B$2,$AW$119,$D$2,$E$2,$F$4)</f>
        <v>187.3947298368312</v>
      </c>
      <c r="AX129" s="4" cm="1">
        <f t="array" ref="AX129">RhoC(AK129,$B$2,$AX$119,$D$2,$E$2,$F$4)</f>
        <v>243.87078999118199</v>
      </c>
      <c r="AY129" s="5" cm="1">
        <f t="array" ref="AY129">RhoC(AK129,$B$2,$AY$119,$D$2,$E$2,$F$4)</f>
        <v>299.30428387344614</v>
      </c>
    </row>
    <row r="130" spans="1:51" x14ac:dyDescent="0.3">
      <c r="A130" s="1">
        <v>110</v>
      </c>
      <c r="B130" s="4" cm="1">
        <f t="array" ref="B130">RhoC(A130,$B$2,$B$119,$D$2,$E$2,$F$2)</f>
        <v>9.3111062933054924</v>
      </c>
      <c r="C130" s="4" cm="1">
        <f t="array" ref="C130">RhoC(A130,$B$2,$C$119,$D$2,$E$2,$F$2)</f>
        <v>16.997597069863819</v>
      </c>
      <c r="D130" s="4" cm="1">
        <f t="array" ref="D130">RhoC(A130,$B$2,$D$119,$D$2,$E$2,$F$2)</f>
        <v>23.936909463006028</v>
      </c>
      <c r="E130" s="4" cm="1">
        <f t="array" ref="E130">RhoC(A130,$B$2,$E$119,$D$2,$E$2,$F$2)</f>
        <v>30.47039056162674</v>
      </c>
      <c r="F130" s="4" cm="1">
        <f t="array" ref="F130">RhoC(A130,$B$2,$F$119,$D$2,$E$2,$F$2)</f>
        <v>36.738595144398111</v>
      </c>
      <c r="G130" s="4" cm="1">
        <f t="array" ref="G130">RhoC(A130,$B$2,$G$119,$D$2,$E$2,$F$2)</f>
        <v>42.813919395874585</v>
      </c>
      <c r="H130" s="4" cm="1">
        <f t="array" ref="H130">RhoC(A130,$B$2,$H$119,$D$2,$E$2,$F$2)</f>
        <v>48.739182226438395</v>
      </c>
      <c r="I130" s="4" cm="1">
        <f t="array" ref="I130">RhoC(A130,$B$2,$I$119,$D$2,$E$2,$F$2)</f>
        <v>54.542150099630135</v>
      </c>
      <c r="J130" s="4" cm="1">
        <f t="array" ref="J130">RhoC(A130,$B$2,$J$119,$D$2,$E$2,$F$2)</f>
        <v>60.242046033683735</v>
      </c>
      <c r="K130" s="4" cm="1">
        <f t="array" ref="K130">RhoC(A130,$B$2,$K$119,$D$2,$E$2,$F$2)</f>
        <v>65.852844532273394</v>
      </c>
      <c r="L130" s="4" cm="1">
        <f t="array" ref="L130">RhoC(A130,$B$2,$L$119,$D$2,$E$2,$F$2)</f>
        <v>118.60034685036835</v>
      </c>
      <c r="M130" s="4" cm="1">
        <f t="array" ref="M130">RhoC(A130,$B$2,$M$119,$D$2,$E$2,$F$2)</f>
        <v>167.33520389609637</v>
      </c>
      <c r="N130" s="4" cm="1">
        <f t="array" ref="N130">RhoC(A130,$B$2,$N$119,$D$2,$E$2,$F$2)</f>
        <v>213.29088821197067</v>
      </c>
      <c r="O130" s="5" cm="1">
        <f t="array" ref="O130">RhoC(A130,$B$2,$O$119,$D$2,$E$2,$F$2)</f>
        <v>256.9986224415502</v>
      </c>
      <c r="S130" s="1">
        <v>110</v>
      </c>
      <c r="T130" s="4" cm="1">
        <f t="array" ref="T130">RhoC(S130,$B$2,$T$119,$D$2,$E$2,$F$3)</f>
        <v>8.3258594130054373</v>
      </c>
      <c r="U130" s="4" cm="1">
        <f t="array" ref="U130">RhoC(S130,$B$2,$U$119,$D$2,$E$2,$F$3)</f>
        <v>14.866303408782125</v>
      </c>
      <c r="V130" s="4" cm="1">
        <f t="array" ref="V130">RhoC(S130,$B$2,$V$119,$D$2,$E$2,$F$3)</f>
        <v>20.850986007567908</v>
      </c>
      <c r="W130" s="4" cm="1">
        <f t="array" ref="W130">RhoC(S130,$B$2,$W$119,$D$2,$E$2,$F$3)</f>
        <v>26.528546066729881</v>
      </c>
      <c r="X130" s="4" cm="1">
        <f t="array" ref="X130">RhoC(S130,$B$2,$X$119,$D$2,$E$2,$F$3)</f>
        <v>31.995430199928425</v>
      </c>
      <c r="Y130" s="4" cm="1">
        <f t="array" ref="Y130">RhoC(S130,$B$2,$Y$119,$D$2,$E$2,$F$3)</f>
        <v>37.301467373776582</v>
      </c>
      <c r="Z130" s="4" cm="1">
        <f t="array" ref="Z130">RhoC(S130,$B$2,$Z$119,$D$2,$E$2,$F$3)</f>
        <v>42.476670407640107</v>
      </c>
      <c r="AA130" s="4" cm="1">
        <f t="array" ref="AA130">RhoC(S130,$B$2,$AA$119,$D$2,$E$2,$F$3)</f>
        <v>47.540950801739896</v>
      </c>
      <c r="AB130" s="4" cm="1">
        <f t="array" ref="AB130">RhoC(S130,$B$2,$AB$119,$D$2,$E$2,$F$3)</f>
        <v>52.50842960081301</v>
      </c>
      <c r="AC130" s="4" cm="1">
        <f t="array" ref="AC130">RhoC(S130,$B$2,$AC$119,$D$2,$E$2,$F$3)</f>
        <v>57.389622642331112</v>
      </c>
      <c r="AD130" s="4" cm="1">
        <f t="array" ref="AD130">RhoC(S130,$B$2,$AD$119,$D$2,$E$2,$F$3)</f>
        <v>102.68276202708793</v>
      </c>
      <c r="AE130" s="4" cm="1">
        <f t="array" ref="AE130">RhoC(S130,$B$2,$AE$119,$D$2,$E$2,$F$3)</f>
        <v>143.4010659252173</v>
      </c>
      <c r="AF130" s="4" cm="1">
        <f t="array" ref="AF130">RhoC(S130,$B$2,$AF$119,$D$2,$E$2,$F$3)</f>
        <v>180.74871324670511</v>
      </c>
      <c r="AG130" s="5" cm="1">
        <f t="array" ref="AG130">RhoC(S130,$B$2,$AG$119,$D$2,$E$2,$F$3)</f>
        <v>215.31984323949447</v>
      </c>
      <c r="AK130" s="1">
        <v>110</v>
      </c>
      <c r="AL130" s="4" cm="1">
        <f t="array" ref="AL130">RhoC(AK130,$B$2,$AL$119,$D$2,$E$2,$F$4)</f>
        <v>9.9777807903598905</v>
      </c>
      <c r="AM130" s="4" cm="1">
        <f t="array" ref="AM130">RhoC(AK130,$B$2,$AM$119,$D$2,$E$2,$F$4)</f>
        <v>19.647918755774995</v>
      </c>
      <c r="AN130" s="4" cm="1">
        <f t="array" ref="AN130">RhoC(AK130,$B$2,$AN$119,$D$2,$E$2,$F$4)</f>
        <v>28.75644318056322</v>
      </c>
      <c r="AO130" s="4" cm="1">
        <f t="array" ref="AO130">RhoC(AK130,$B$2,$AO$119,$D$2,$E$2,$F$4)</f>
        <v>37.372216345157348</v>
      </c>
      <c r="AP130" s="4" cm="1">
        <f t="array" ref="AP130">RhoC(AK130,$B$2,$AP$119,$D$2,$E$2,$F$4)</f>
        <v>45.606650497595851</v>
      </c>
      <c r="AQ130" s="4" cm="1">
        <f t="array" ref="AQ130">RhoC(AK130,$B$2,$AQ$119,$D$2,$E$2,$F$4)</f>
        <v>53.546438342331996</v>
      </c>
      <c r="AR130" s="4" cm="1">
        <f t="array" ref="AR130">RhoC(AK130,$B$2,$AR$119,$D$2,$E$2,$F$4)</f>
        <v>61.253729163278905</v>
      </c>
      <c r="AS130" s="4" cm="1">
        <f t="array" ref="AS130">RhoC(AK130,$B$2,$AS$119,$D$2,$E$2,$F$4)</f>
        <v>68.773188516542405</v>
      </c>
      <c r="AT130" s="4" cm="1">
        <f t="array" ref="AT130">RhoC(AK130,$B$2,$AT$119,$D$2,$E$2,$F$4)</f>
        <v>76.137581768653774</v>
      </c>
      <c r="AU130" s="4" cm="1">
        <f t="array" ref="AU130">RhoC(AK130,$B$2,$AU$119,$D$2,$E$2,$F$4)</f>
        <v>83.371514981554554</v>
      </c>
      <c r="AV130" s="4" cm="1">
        <f t="array" ref="AV130">RhoC(AK130,$B$2,$AV$119,$D$2,$E$2,$F$4)</f>
        <v>151.29562033151717</v>
      </c>
      <c r="AW130" s="4" cm="1">
        <f t="array" ref="AW130">RhoC(AK130,$B$2,$AW$119,$D$2,$E$2,$F$4)</f>
        <v>214.82672152563936</v>
      </c>
      <c r="AX130" s="4" cm="1">
        <f t="array" ref="AX130">RhoC(AK130,$B$2,$AX$119,$D$2,$E$2,$F$4)</f>
        <v>275.89205627569038</v>
      </c>
      <c r="AY130" s="5" cm="1">
        <f t="array" ref="AY130">RhoC(AK130,$B$2,$AY$119,$D$2,$E$2,$F$4)</f>
        <v>335.17828422688217</v>
      </c>
    </row>
    <row r="131" spans="1:51" x14ac:dyDescent="0.3">
      <c r="A131" s="1">
        <v>115</v>
      </c>
      <c r="B131" s="4" cm="1">
        <f t="array" ref="B131">RhoC(A131,$B$2,$B$119,$D$2,$E$2,$F$2)</f>
        <v>9.8489758625579285</v>
      </c>
      <c r="C131" s="4" cm="1">
        <f t="array" ref="C131">RhoC(A131,$B$2,$C$119,$D$2,$E$2,$F$2)</f>
        <v>18.727453260072849</v>
      </c>
      <c r="D131" s="4" cm="1">
        <f t="array" ref="D131">RhoC(A131,$B$2,$D$119,$D$2,$E$2,$F$2)</f>
        <v>26.741714753531923</v>
      </c>
      <c r="E131" s="4" cm="1">
        <f t="array" ref="E131">RhoC(A131,$B$2,$E$119,$D$2,$E$2,$F$2)</f>
        <v>34.200126589648207</v>
      </c>
      <c r="F131" s="4" cm="1">
        <f t="array" ref="F131">RhoC(A131,$B$2,$F$119,$D$2,$E$2,$F$2)</f>
        <v>41.277215823472964</v>
      </c>
      <c r="G131" s="4" cm="1">
        <f t="array" ref="G131">RhoC(A131,$B$2,$G$119,$D$2,$E$2,$F$2)</f>
        <v>48.073652121744175</v>
      </c>
      <c r="H131" s="4" cm="1">
        <f t="array" ref="H131">RhoC(A131,$B$2,$H$119,$D$2,$E$2,$F$2)</f>
        <v>54.652113577166304</v>
      </c>
      <c r="I131" s="4" cm="1">
        <f t="array" ref="I131">RhoC(A131,$B$2,$I$119,$D$2,$E$2,$F$2)</f>
        <v>61.054291488019338</v>
      </c>
      <c r="J131" s="4" cm="1">
        <f t="array" ref="J131">RhoC(A131,$B$2,$J$119,$D$2,$E$2,$F$2)</f>
        <v>67.309416261096175</v>
      </c>
      <c r="K131" s="4" cm="1">
        <f t="array" ref="K131">RhoC(A131,$B$2,$K$119,$D$2,$E$2,$F$2)</f>
        <v>73.43885824101524</v>
      </c>
      <c r="L131" s="4" cm="1">
        <f t="array" ref="L131">RhoC(A131,$B$2,$L$119,$D$2,$E$2,$F$2)</f>
        <v>130.1716483822899</v>
      </c>
      <c r="M131" s="4" cm="1">
        <f t="array" ref="M131">RhoC(A131,$B$2,$M$119,$D$2,$E$2,$F$2)</f>
        <v>181.76154213669028</v>
      </c>
      <c r="N131" s="4" cm="1">
        <f t="array" ref="N131">RhoC(A131,$B$2,$N$119,$D$2,$E$2,$F$2)</f>
        <v>230.00383938445142</v>
      </c>
      <c r="O131" s="5" cm="1">
        <f t="array" ref="O131">RhoC(A131,$B$2,$O$119,$D$2,$E$2,$F$2)</f>
        <v>275.63718801831254</v>
      </c>
      <c r="S131" s="1">
        <v>115</v>
      </c>
      <c r="T131" s="4" cm="1">
        <f t="array" ref="T131">RhoC(S131,$B$2,$T$119,$D$2,$E$2,$F$3)</f>
        <v>9.2362125771932124</v>
      </c>
      <c r="U131" s="4" cm="1">
        <f t="array" ref="U131">RhoC(S131,$B$2,$U$119,$D$2,$E$2,$F$3)</f>
        <v>16.742535793708608</v>
      </c>
      <c r="V131" s="4" cm="1">
        <f t="array" ref="V131">RhoC(S131,$B$2,$V$119,$D$2,$E$2,$F$3)</f>
        <v>23.45733593243779</v>
      </c>
      <c r="W131" s="4" cm="1">
        <f t="array" ref="W131">RhoC(S131,$B$2,$W$119,$D$2,$E$2,$F$3)</f>
        <v>29.731963677583227</v>
      </c>
      <c r="X131" s="4" cm="1">
        <f t="array" ref="X131">RhoC(S131,$B$2,$X$119,$D$2,$E$2,$F$3)</f>
        <v>35.711501203565795</v>
      </c>
      <c r="Y131" s="4" cm="1">
        <f t="array" ref="Y131">RhoC(S131,$B$2,$Y$119,$D$2,$E$2,$F$3)</f>
        <v>41.471363169847443</v>
      </c>
      <c r="Z131" s="4" cm="1">
        <f t="array" ref="Z131">RhoC(S131,$B$2,$Z$119,$D$2,$E$2,$F$3)</f>
        <v>47.056644807114715</v>
      </c>
      <c r="AA131" s="4" cm="1">
        <f t="array" ref="AA131">RhoC(S131,$B$2,$AA$119,$D$2,$E$2,$F$3)</f>
        <v>52.496929542260922</v>
      </c>
      <c r="AB131" s="4" cm="1">
        <f t="array" ref="AB131">RhoC(S131,$B$2,$AB$119,$D$2,$E$2,$F$3)</f>
        <v>57.812941191026347</v>
      </c>
      <c r="AC131" s="4" cm="1">
        <f t="array" ref="AC131">RhoC(S131,$B$2,$AC$119,$D$2,$E$2,$F$3)</f>
        <v>63.019923944843072</v>
      </c>
      <c r="AD131" s="4" cm="1">
        <f t="array" ref="AD131">RhoC(S131,$B$2,$AD$119,$D$2,$E$2,$F$3)</f>
        <v>110.8220192638607</v>
      </c>
      <c r="AE131" s="4" cm="1">
        <f t="array" ref="AE131">RhoC(S131,$B$2,$AE$119,$D$2,$E$2,$F$3)</f>
        <v>153.33110283875411</v>
      </c>
      <c r="AF131" s="4" cm="1">
        <f t="array" ref="AF131">RhoC(S131,$B$2,$AF$119,$D$2,$E$2,$F$3)</f>
        <v>192.09705624827617</v>
      </c>
      <c r="AG131" s="5" cm="1">
        <f t="array" ref="AG131">RhoC(S131,$B$2,$AG$119,$D$2,$E$2,$F$3)</f>
        <v>227.84478679255173</v>
      </c>
      <c r="AK131" s="1">
        <v>115</v>
      </c>
      <c r="AL131" s="4" cm="1">
        <f t="array" ref="AL131">RhoC(AK131,$B$2,$AL$119,$D$2,$E$2,$F$4)</f>
        <v>9.9899591088745563</v>
      </c>
      <c r="AM131" s="4" cm="1">
        <f t="array" ref="AM131">RhoC(AK131,$B$2,$AM$119,$D$2,$E$2,$F$4)</f>
        <v>19.943607403579598</v>
      </c>
      <c r="AN131" s="4" cm="1">
        <f t="array" ref="AN131">RhoC(AK131,$B$2,$AN$119,$D$2,$E$2,$F$4)</f>
        <v>29.761983540617443</v>
      </c>
      <c r="AO131" s="4" cm="1">
        <f t="array" ref="AO131">RhoC(AK131,$B$2,$AO$119,$D$2,$E$2,$F$4)</f>
        <v>39.342380536091397</v>
      </c>
      <c r="AP131" s="4" cm="1">
        <f t="array" ref="AP131">RhoC(AK131,$B$2,$AP$119,$D$2,$E$2,$F$4)</f>
        <v>48.65034468115244</v>
      </c>
      <c r="AQ131" s="4" cm="1">
        <f t="array" ref="AQ131">RhoC(AK131,$B$2,$AQ$119,$D$2,$E$2,$F$4)</f>
        <v>57.693143792728854</v>
      </c>
      <c r="AR131" s="4" cm="1">
        <f t="array" ref="AR131">RhoC(AK131,$B$2,$AR$119,$D$2,$E$2,$F$4)</f>
        <v>66.49351340148327</v>
      </c>
      <c r="AS131" s="4" cm="1">
        <f t="array" ref="AS131">RhoC(AK131,$B$2,$AS$119,$D$2,$E$2,$F$4)</f>
        <v>75.077492898362252</v>
      </c>
      <c r="AT131" s="4" cm="1">
        <f t="array" ref="AT131">RhoC(AK131,$B$2,$AT$119,$D$2,$E$2,$F$4)</f>
        <v>83.469784716418218</v>
      </c>
      <c r="AU131" s="4" cm="1">
        <f t="array" ref="AU131">RhoC(AK131,$B$2,$AU$119,$D$2,$E$2,$F$4)</f>
        <v>91.692301259484637</v>
      </c>
      <c r="AV131" s="4" cm="1">
        <f t="array" ref="AV131">RhoC(AK131,$B$2,$AV$119,$D$2,$E$2,$F$4)</f>
        <v>167.65216924491807</v>
      </c>
      <c r="AW131" s="4" cm="1">
        <f t="array" ref="AW131">RhoC(AK131,$B$2,$AW$119,$D$2,$E$2,$F$4)</f>
        <v>237.04399931886559</v>
      </c>
      <c r="AX131" s="4" cm="1">
        <f t="array" ref="AX131">RhoC(AK131,$B$2,$AX$119,$D$2,$E$2,$F$4)</f>
        <v>302.76382235568667</v>
      </c>
      <c r="AY131" s="5" cm="1">
        <f t="array" ref="AY131">RhoC(AK131,$B$2,$AY$119,$D$2,$E$2,$F$4)</f>
        <v>365.93296824907293</v>
      </c>
    </row>
    <row r="132" spans="1:51" x14ac:dyDescent="0.3">
      <c r="A132" s="1">
        <v>120</v>
      </c>
      <c r="B132" s="4" cm="1">
        <f t="array" ref="B132">RhoC(A132,$B$2,$B$119,$D$2,$E$2,$F$2)</f>
        <v>9.9693029945287854</v>
      </c>
      <c r="C132" s="4" cm="1">
        <f t="array" ref="C132">RhoC(A132,$B$2,$C$119,$D$2,$E$2,$F$2)</f>
        <v>19.522974084010123</v>
      </c>
      <c r="D132" s="4" cm="1">
        <f t="array" ref="D132">RhoC(A132,$B$2,$D$119,$D$2,$E$2,$F$2)</f>
        <v>28.39016422301777</v>
      </c>
      <c r="E132" s="4" cm="1">
        <f t="array" ref="E132">RhoC(A132,$B$2,$E$119,$D$2,$E$2,$F$2)</f>
        <v>36.680746478076991</v>
      </c>
      <c r="F132" s="4" cm="1">
        <f t="array" ref="F132">RhoC(A132,$B$2,$F$119,$D$2,$E$2,$F$2)</f>
        <v>44.52940714583994</v>
      </c>
      <c r="G132" s="4" cm="1">
        <f t="array" ref="G132">RhoC(A132,$B$2,$G$119,$D$2,$E$2,$F$2)</f>
        <v>52.035124616342841</v>
      </c>
      <c r="H132" s="4" cm="1">
        <f t="array" ref="H132">RhoC(A132,$B$2,$H$119,$D$2,$E$2,$F$2)</f>
        <v>59.267237553388959</v>
      </c>
      <c r="I132" s="4" cm="1">
        <f t="array" ref="I132">RhoC(A132,$B$2,$I$119,$D$2,$E$2,$F$2)</f>
        <v>66.275083755870497</v>
      </c>
      <c r="J132" s="4" cm="1">
        <f t="array" ref="J132">RhoC(A132,$B$2,$J$119,$D$2,$E$2,$F$2)</f>
        <v>73.094735333031409</v>
      </c>
      <c r="K132" s="4" cm="1">
        <f t="array" ref="K132">RhoC(A132,$B$2,$K$119,$D$2,$E$2,$F$2)</f>
        <v>79.753296736124057</v>
      </c>
      <c r="L132" s="4" cm="1">
        <f t="array" ref="L132">RhoC(A132,$B$2,$L$119,$D$2,$E$2,$F$2)</f>
        <v>140.55657274099252</v>
      </c>
      <c r="M132" s="4" cm="1">
        <f t="array" ref="M132">RhoC(A132,$B$2,$M$119,$D$2,$E$2,$F$2)</f>
        <v>195.03860096125629</v>
      </c>
      <c r="N132" s="4" cm="1">
        <f t="array" ref="N132">RhoC(A132,$B$2,$N$119,$D$2,$E$2,$F$2)</f>
        <v>245.58019526519709</v>
      </c>
      <c r="O132" s="5" cm="1">
        <f t="array" ref="O132">RhoC(A132,$B$2,$O$119,$D$2,$E$2,$F$2)</f>
        <v>293.13996071778939</v>
      </c>
      <c r="S132" s="1">
        <v>120</v>
      </c>
      <c r="T132" s="4" cm="1">
        <f t="array" ref="T132">RhoC(S132,$B$2,$T$119,$D$2,$E$2,$F$3)</f>
        <v>9.693115524377264</v>
      </c>
      <c r="U132" s="4" cm="1">
        <f t="array" ref="U132">RhoC(S132,$B$2,$U$119,$D$2,$E$2,$F$3)</f>
        <v>18.050952682701794</v>
      </c>
      <c r="V132" s="4" cm="1">
        <f t="array" ref="V132">RhoC(S132,$B$2,$V$119,$D$2,$E$2,$F$3)</f>
        <v>25.487739366774992</v>
      </c>
      <c r="W132" s="4" cm="1">
        <f t="array" ref="W132">RhoC(S132,$B$2,$W$119,$D$2,$E$2,$F$3)</f>
        <v>32.370108870629927</v>
      </c>
      <c r="X132" s="4" cm="1">
        <f t="array" ref="X132">RhoC(S132,$B$2,$X$119,$D$2,$E$2,$F$3)</f>
        <v>38.875814895490308</v>
      </c>
      <c r="Y132" s="4" cm="1">
        <f t="array" ref="Y132">RhoC(S132,$B$2,$Y$119,$D$2,$E$2,$F$3)</f>
        <v>45.102197776462987</v>
      </c>
      <c r="Z132" s="4" cm="1">
        <f t="array" ref="Z132">RhoC(S132,$B$2,$Z$119,$D$2,$E$2,$F$3)</f>
        <v>51.108637489139326</v>
      </c>
      <c r="AA132" s="4" cm="1">
        <f t="array" ref="AA132">RhoC(S132,$B$2,$AA$119,$D$2,$E$2,$F$3)</f>
        <v>56.934359886945309</v>
      </c>
      <c r="AB132" s="4" cm="1">
        <f t="array" ref="AB132">RhoC(S132,$B$2,$AB$119,$D$2,$E$2,$F$3)</f>
        <v>62.606865589008969</v>
      </c>
      <c r="AC132" s="4" cm="1">
        <f t="array" ref="AC132">RhoC(S132,$B$2,$AC$119,$D$2,$E$2,$F$3)</f>
        <v>68.146336615181539</v>
      </c>
      <c r="AD132" s="4" cm="1">
        <f t="array" ref="AD132">RhoC(S132,$B$2,$AD$119,$D$2,$E$2,$F$3)</f>
        <v>118.48579476912981</v>
      </c>
      <c r="AE132" s="4" cm="1">
        <f t="array" ref="AE132">RhoC(S132,$B$2,$AE$119,$D$2,$E$2,$F$3)</f>
        <v>162.78634009613049</v>
      </c>
      <c r="AF132" s="4" cm="1">
        <f t="array" ref="AF132">RhoC(S132,$B$2,$AF$119,$D$2,$E$2,$F$3)</f>
        <v>202.9634820928915</v>
      </c>
      <c r="AG132" s="5" cm="1">
        <f t="array" ref="AG132">RhoC(S132,$B$2,$AG$119,$D$2,$E$2,$F$3)</f>
        <v>239.87823120714447</v>
      </c>
      <c r="AK132" s="1">
        <v>120</v>
      </c>
      <c r="AL132" s="4" cm="1">
        <f t="array" ref="AL132">RhoC(AK132,$B$2,$AL$119,$D$2,$E$2,$F$4)</f>
        <v>9.9900049613135682</v>
      </c>
      <c r="AM132" s="4" cm="1">
        <f t="array" ref="AM132">RhoC(AK132,$B$2,$AM$119,$D$2,$E$2,$F$4)</f>
        <v>19.959626211406121</v>
      </c>
      <c r="AN132" s="4" cm="1">
        <f t="array" ref="AN132">RhoC(AK132,$B$2,$AN$119,$D$2,$E$2,$F$4)</f>
        <v>29.898313191089137</v>
      </c>
      <c r="AO132" s="4" cm="1">
        <f t="array" ref="AO132">RhoC(AK132,$B$2,$AO$119,$D$2,$E$2,$F$4)</f>
        <v>39.769324894937867</v>
      </c>
      <c r="AP132" s="4" cm="1">
        <f t="array" ref="AP132">RhoC(AK132,$B$2,$AP$119,$D$2,$E$2,$F$4)</f>
        <v>49.527868282183348</v>
      </c>
      <c r="AQ132" s="4" cm="1">
        <f t="array" ref="AQ132">RhoC(AK132,$B$2,$AQ$119,$D$2,$E$2,$F$4)</f>
        <v>59.142047882605851</v>
      </c>
      <c r="AR132" s="4" cm="1">
        <f t="array" ref="AR132">RhoC(AK132,$B$2,$AR$119,$D$2,$E$2,$F$4)</f>
        <v>68.595842929360387</v>
      </c>
      <c r="AS132" s="4" cm="1">
        <f t="array" ref="AS132">RhoC(AK132,$B$2,$AS$119,$D$2,$E$2,$F$4)</f>
        <v>77.88487736033106</v>
      </c>
      <c r="AT132" s="4" cm="1">
        <f t="array" ref="AT132">RhoC(AK132,$B$2,$AT$119,$D$2,$E$2,$F$4)</f>
        <v>87.011875244291346</v>
      </c>
      <c r="AU132" s="4" cm="1">
        <f t="array" ref="AU132">RhoC(AK132,$B$2,$AU$119,$D$2,$E$2,$F$4)</f>
        <v>95.983419426964204</v>
      </c>
      <c r="AV132" s="4" cm="1">
        <f t="array" ref="AV132">RhoC(AK132,$B$2,$AV$119,$D$2,$E$2,$F$4)</f>
        <v>178.99842881670318</v>
      </c>
      <c r="AW132" s="4" cm="1">
        <f t="array" ref="AW132">RhoC(AK132,$B$2,$AW$119,$D$2,$E$2,$F$4)</f>
        <v>254.07168875355401</v>
      </c>
      <c r="AX132" s="4" cm="1">
        <f t="array" ref="AX132">RhoC(AK132,$B$2,$AX$119,$D$2,$E$2,$F$4)</f>
        <v>324.41523843363723</v>
      </c>
      <c r="AY132" s="5" cm="1">
        <f t="array" ref="AY132">RhoC(AK132,$B$2,$AY$119,$D$2,$E$2,$F$4)</f>
        <v>391.46939051629636</v>
      </c>
    </row>
    <row r="133" spans="1:51" x14ac:dyDescent="0.3">
      <c r="A133" s="1">
        <v>125</v>
      </c>
      <c r="B133" s="4" cm="1">
        <f t="array" ref="B133">RhoC(A133,$B$2,$B$119,$D$2,$E$2,$F$2)</f>
        <v>9.9877868050641503</v>
      </c>
      <c r="C133" s="4" cm="1">
        <f t="array" ref="C133">RhoC(A133,$B$2,$C$119,$D$2,$E$2,$F$2)</f>
        <v>19.826121374631196</v>
      </c>
      <c r="D133" s="4" cm="1">
        <f t="array" ref="D133">RhoC(A133,$B$2,$D$119,$D$2,$E$2,$F$2)</f>
        <v>29.245072006046918</v>
      </c>
      <c r="E133" s="4" cm="1">
        <f t="array" ref="E133">RhoC(A133,$B$2,$E$119,$D$2,$E$2,$F$2)</f>
        <v>38.183205335550987</v>
      </c>
      <c r="F133" s="4" cm="1">
        <f t="array" ref="F133">RhoC(A133,$B$2,$F$119,$D$2,$E$2,$F$2)</f>
        <v>46.692198548977835</v>
      </c>
      <c r="G133" s="4" cm="1">
        <f t="array" ref="G133">RhoC(A133,$B$2,$G$119,$D$2,$E$2,$F$2)</f>
        <v>54.839430840815325</v>
      </c>
      <c r="H133" s="4" cm="1">
        <f t="array" ref="H133">RhoC(A133,$B$2,$H$119,$D$2,$E$2,$F$2)</f>
        <v>62.68359645053561</v>
      </c>
      <c r="I133" s="4" cm="1">
        <f t="array" ref="I133">RhoC(A133,$B$2,$I$119,$D$2,$E$2,$F$2)</f>
        <v>70.271704194040638</v>
      </c>
      <c r="J133" s="4" cm="1">
        <f t="array" ref="J133">RhoC(A133,$B$2,$J$119,$D$2,$E$2,$F$2)</f>
        <v>77.640758146235598</v>
      </c>
      <c r="K133" s="4" cm="1">
        <f t="array" ref="K133">RhoC(A133,$B$2,$K$119,$D$2,$E$2,$F$2)</f>
        <v>84.819982584634872</v>
      </c>
      <c r="L133" s="4" cm="1">
        <f t="array" ref="L133">RhoC(A133,$B$2,$L$119,$D$2,$E$2,$F$2)</f>
        <v>149.71347861958171</v>
      </c>
      <c r="M133" s="4" cm="1">
        <f t="array" ref="M133">RhoC(A133,$B$2,$M$119,$D$2,$E$2,$F$2)</f>
        <v>207.12025200276011</v>
      </c>
      <c r="N133" s="4" cm="1">
        <f t="array" ref="N133">RhoC(A133,$B$2,$N$119,$D$2,$E$2,$F$2)</f>
        <v>259.97927799092867</v>
      </c>
      <c r="O133" s="5" cm="1">
        <f t="array" ref="O133">RhoC(A133,$B$2,$O$119,$D$2,$E$2,$F$2)</f>
        <v>309.47364560622191</v>
      </c>
      <c r="S133" s="1">
        <v>125</v>
      </c>
      <c r="T133" s="4" cm="1">
        <f t="array" ref="T133">RhoC(S133,$B$2,$T$119,$D$2,$E$2,$F$3)</f>
        <v>9.8871106655175343</v>
      </c>
      <c r="U133" s="4" cm="1">
        <f t="array" ref="U133">RhoC(S133,$B$2,$U$119,$D$2,$E$2,$F$3)</f>
        <v>18.890468841237468</v>
      </c>
      <c r="V133" s="4" cm="1">
        <f t="array" ref="V133">RhoC(S133,$B$2,$V$119,$D$2,$E$2,$F$3)</f>
        <v>26.984500276398514</v>
      </c>
      <c r="W133" s="4" cm="1">
        <f t="array" ref="W133">RhoC(S133,$B$2,$W$119,$D$2,$E$2,$F$3)</f>
        <v>34.455132914714234</v>
      </c>
      <c r="X133" s="4" cm="1">
        <f t="array" ref="X133">RhoC(S133,$B$2,$X$119,$D$2,$E$2,$F$3)</f>
        <v>41.483583425713469</v>
      </c>
      <c r="Y133" s="4" cm="1">
        <f t="array" ref="Y133">RhoC(S133,$B$2,$Y$119,$D$2,$E$2,$F$3)</f>
        <v>48.179196650195983</v>
      </c>
      <c r="Z133" s="4" cm="1">
        <f t="array" ref="Z133">RhoC(S133,$B$2,$Z$119,$D$2,$E$2,$F$3)</f>
        <v>54.6118081175238</v>
      </c>
      <c r="AA133" s="4" cm="1">
        <f t="array" ref="AA133">RhoC(S133,$B$2,$AA$119,$D$2,$E$2,$F$3)</f>
        <v>60.828679358443949</v>
      </c>
      <c r="AB133" s="4" cm="1">
        <f t="array" ref="AB133">RhoC(S133,$B$2,$AB$119,$D$2,$E$2,$F$3)</f>
        <v>66.863385045386053</v>
      </c>
      <c r="AC133" s="4" cm="1">
        <f t="array" ref="AC133">RhoC(S133,$B$2,$AC$119,$D$2,$E$2,$F$3)</f>
        <v>72.740739426895161</v>
      </c>
      <c r="AD133" s="4" cm="1">
        <f t="array" ref="AD133">RhoC(S133,$B$2,$AD$119,$D$2,$E$2,$F$3)</f>
        <v>125.64899717066402</v>
      </c>
      <c r="AE133" s="4" cm="1">
        <f t="array" ref="AE133">RhoC(S133,$B$2,$AE$119,$D$2,$E$2,$F$3)</f>
        <v>171.74875805075749</v>
      </c>
      <c r="AF133" s="4" cm="1">
        <f t="array" ref="AF133">RhoC(S133,$B$2,$AF$119,$D$2,$E$2,$F$3)</f>
        <v>213.3360106715098</v>
      </c>
      <c r="AG133" s="5" cm="1">
        <f t="array" ref="AG133">RhoC(S133,$B$2,$AG$119,$D$2,$E$2,$F$3)</f>
        <v>251.41316989180638</v>
      </c>
      <c r="AK133" s="1">
        <v>125</v>
      </c>
      <c r="AL133" s="4" cm="1">
        <f t="array" ref="AL133">RhoC(AK133,$B$2,$AL$119,$D$2,$E$2,$F$4)</f>
        <v>9.9900049983261354</v>
      </c>
      <c r="AM133" s="4" cm="1">
        <f t="array" ref="AM133">RhoC(AK133,$B$2,$AM$119,$D$2,$E$2,$F$4)</f>
        <v>19.960034597449695</v>
      </c>
      <c r="AN133" s="4" cm="1">
        <f t="array" ref="AN133">RhoC(AK133,$B$2,$AN$119,$D$2,$E$2,$F$4)</f>
        <v>29.90952075345907</v>
      </c>
      <c r="AO133" s="4" cm="1">
        <f t="array" ref="AO133">RhoC(AK133,$B$2,$AO$119,$D$2,$E$2,$F$4)</f>
        <v>39.832927362661067</v>
      </c>
      <c r="AP133" s="4" cm="1">
        <f t="array" ref="AP133">RhoC(AK133,$B$2,$AP$119,$D$2,$E$2,$F$4)</f>
        <v>49.715365396356191</v>
      </c>
      <c r="AQ133" s="4" cm="1">
        <f t="array" ref="AQ133">RhoC(AK133,$B$2,$AQ$119,$D$2,$E$2,$F$4)</f>
        <v>59.536529236320241</v>
      </c>
      <c r="AR133" s="4" cm="1">
        <f t="array" ref="AR133">RhoC(AK133,$B$2,$AR$119,$D$2,$E$2,$F$4)</f>
        <v>69.277091810376731</v>
      </c>
      <c r="AS133" s="4" cm="1">
        <f t="array" ref="AS133">RhoC(AK133,$B$2,$AS$119,$D$2,$E$2,$F$4)</f>
        <v>78.922100210084153</v>
      </c>
      <c r="AT133" s="4" cm="1">
        <f t="array" ref="AT133">RhoC(AK133,$B$2,$AT$119,$D$2,$E$2,$F$4)</f>
        <v>88.461614166740546</v>
      </c>
      <c r="AU133" s="4" cm="1">
        <f t="array" ref="AU133">RhoC(AK133,$B$2,$AU$119,$D$2,$E$2,$F$4)</f>
        <v>97.890054170176683</v>
      </c>
      <c r="AV133" s="4" cm="1">
        <f t="array" ref="AV133">RhoC(AK133,$B$2,$AV$119,$D$2,$E$2,$F$4)</f>
        <v>186.31273632495481</v>
      </c>
      <c r="AW133" s="4" cm="1">
        <f t="array" ref="AW133">RhoC(AK133,$B$2,$AW$119,$D$2,$E$2,$F$4)</f>
        <v>266.51023114110518</v>
      </c>
      <c r="AX133" s="4" cm="1">
        <f t="array" ref="AX133">RhoC(AK133,$B$2,$AX$119,$D$2,$E$2,$F$4)</f>
        <v>341.25464232347827</v>
      </c>
      <c r="AY133" s="5" cm="1">
        <f t="array" ref="AY133">RhoC(AK133,$B$2,$AY$119,$D$2,$E$2,$F$4)</f>
        <v>412.0928812959383</v>
      </c>
    </row>
    <row r="134" spans="1:51" x14ac:dyDescent="0.3">
      <c r="A134" s="1">
        <v>130</v>
      </c>
      <c r="B134" s="4" cm="1">
        <f t="array" ref="B134">RhoC(A134,$B$2,$B$119,$D$2,$E$2,$F$2)</f>
        <v>9.989825783141761</v>
      </c>
      <c r="C134" s="4" cm="1">
        <f t="array" ref="C134">RhoC(A134,$B$2,$C$119,$D$2,$E$2,$F$2)</f>
        <v>19.924080062887658</v>
      </c>
      <c r="D134" s="4" cm="1">
        <f t="array" ref="D134">RhoC(A134,$B$2,$D$119,$D$2,$E$2,$F$2)</f>
        <v>29.642425234579132</v>
      </c>
      <c r="E134" s="4" cm="1">
        <f t="array" ref="E134">RhoC(A134,$B$2,$E$119,$D$2,$E$2,$F$2)</f>
        <v>39.021658405667154</v>
      </c>
      <c r="F134" s="4" cm="1">
        <f t="array" ref="F134">RhoC(A134,$B$2,$F$119,$D$2,$E$2,$F$2)</f>
        <v>48.039616695751533</v>
      </c>
      <c r="G134" s="4" cm="1">
        <f t="array" ref="G134">RhoC(A134,$B$2,$G$119,$D$2,$E$2,$F$2)</f>
        <v>56.719853041525752</v>
      </c>
      <c r="H134" s="4" cm="1">
        <f t="array" ref="H134">RhoC(A134,$B$2,$H$119,$D$2,$E$2,$F$2)</f>
        <v>65.098182663181063</v>
      </c>
      <c r="I134" s="4" cm="1">
        <f t="array" ref="I134">RhoC(A134,$B$2,$I$119,$D$2,$E$2,$F$2)</f>
        <v>73.210216289147127</v>
      </c>
      <c r="J134" s="4" cm="1">
        <f t="array" ref="J134">RhoC(A134,$B$2,$J$119,$D$2,$E$2,$F$2)</f>
        <v>81.087590504535044</v>
      </c>
      <c r="K134" s="4" cm="1">
        <f t="array" ref="K134">RhoC(A134,$B$2,$K$119,$D$2,$E$2,$F$2)</f>
        <v>88.757319713568378</v>
      </c>
      <c r="L134" s="4" cm="1">
        <f t="array" ref="L134">RhoC(A134,$B$2,$L$119,$D$2,$E$2,$F$2)</f>
        <v>157.6642413734192</v>
      </c>
      <c r="M134" s="4" cm="1">
        <f t="array" ref="M134">RhoC(A134,$B$2,$M$119,$D$2,$E$2,$F$2)</f>
        <v>218.00640774968917</v>
      </c>
      <c r="N134" s="4" cm="1">
        <f t="array" ref="N134">RhoC(A134,$B$2,$N$119,$D$2,$E$2,$F$2)</f>
        <v>273.19626305478522</v>
      </c>
      <c r="O134" s="5" cm="1">
        <f t="array" ref="O134">RhoC(A134,$B$2,$O$119,$D$2,$E$2,$F$2)</f>
        <v>324.63412741759055</v>
      </c>
      <c r="S134" s="1">
        <v>130</v>
      </c>
      <c r="T134" s="4" cm="1">
        <f t="array" ref="T134">RhoC(S134,$B$2,$T$119,$D$2,$E$2,$F$3)</f>
        <v>9.9582415229851868</v>
      </c>
      <c r="U134" s="4" cm="1">
        <f t="array" ref="U134">RhoC(S134,$B$2,$U$119,$D$2,$E$2,$F$3)</f>
        <v>19.391259558754662</v>
      </c>
      <c r="V134" s="4" cm="1">
        <f t="array" ref="V134">RhoC(S134,$B$2,$V$119,$D$2,$E$2,$F$3)</f>
        <v>28.035878249676891</v>
      </c>
      <c r="W134" s="4" cm="1">
        <f t="array" ref="W134">RhoC(S134,$B$2,$W$119,$D$2,$E$2,$F$3)</f>
        <v>36.044808482034149</v>
      </c>
      <c r="X134" s="4" cm="1">
        <f t="array" ref="X134">RhoC(S134,$B$2,$X$119,$D$2,$E$2,$F$3)</f>
        <v>43.572176068814954</v>
      </c>
      <c r="Y134" s="4" cm="1">
        <f t="array" ref="Y134">RhoC(S134,$B$2,$Y$119,$D$2,$E$2,$F$3)</f>
        <v>50.725932380965368</v>
      </c>
      <c r="Z134" s="4" cm="1">
        <f t="array" ref="Z134">RhoC(S134,$B$2,$Z$119,$D$2,$E$2,$F$3)</f>
        <v>57.580182729458606</v>
      </c>
      <c r="AA134" s="4" cm="1">
        <f t="array" ref="AA134">RhoC(S134,$B$2,$AA$119,$D$2,$E$2,$F$3)</f>
        <v>64.187163619302936</v>
      </c>
      <c r="AB134" s="4" cm="1">
        <f t="array" ref="AB134">RhoC(S134,$B$2,$AB$119,$D$2,$E$2,$F$3)</f>
        <v>70.584918287508259</v>
      </c>
      <c r="AC134" s="4" cm="1">
        <f t="array" ref="AC134">RhoC(S134,$B$2,$AC$119,$D$2,$E$2,$F$3)</f>
        <v>76.802012118301121</v>
      </c>
      <c r="AD134" s="4" cm="1">
        <f t="array" ref="AD134">RhoC(S134,$B$2,$AD$119,$D$2,$E$2,$F$3)</f>
        <v>132.30175184925787</v>
      </c>
      <c r="AE134" s="4" cm="1">
        <f t="array" ref="AE134">RhoC(S134,$B$2,$AE$119,$D$2,$E$2,$F$3)</f>
        <v>180.210868841131</v>
      </c>
      <c r="AF134" s="4" cm="1">
        <f t="array" ref="AF134">RhoC(S134,$B$2,$AF$119,$D$2,$E$2,$F$3)</f>
        <v>223.21059443947863</v>
      </c>
      <c r="AG134" s="5" cm="1">
        <f t="array" ref="AG134">RhoC(S134,$B$2,$AG$119,$D$2,$E$2,$F$3)</f>
        <v>262.44882616154143</v>
      </c>
      <c r="AK134" s="1">
        <v>130</v>
      </c>
      <c r="AL134" s="4" cm="1">
        <f t="array" ref="AL134">RhoC(AK134,$B$2,$AL$119,$D$2,$E$2,$F$4)</f>
        <v>9.9900049983337507</v>
      </c>
      <c r="AM134" s="4" cm="1">
        <f t="array" ref="AM134">RhoC(AK134,$B$2,$AM$119,$D$2,$E$2,$F$4)</f>
        <v>19.960039934571277</v>
      </c>
      <c r="AN134" s="4" cm="1">
        <f t="array" ref="AN134">RhoC(AK134,$B$2,$AN$119,$D$2,$E$2,$F$4)</f>
        <v>29.910113123062104</v>
      </c>
      <c r="AO134" s="4" cm="1">
        <f t="array" ref="AO134">RhoC(AK134,$B$2,$AO$119,$D$2,$E$2,$F$4)</f>
        <v>39.839738796252945</v>
      </c>
      <c r="AP134" s="4" cm="1">
        <f t="array" ref="AP134">RhoC(AK134,$B$2,$AP$119,$D$2,$E$2,$F$4)</f>
        <v>49.746149929550427</v>
      </c>
      <c r="AQ134" s="4" cm="1">
        <f t="array" ref="AQ134">RhoC(AK134,$B$2,$AQ$119,$D$2,$E$2,$F$4)</f>
        <v>59.622800656168437</v>
      </c>
      <c r="AR134" s="4" cm="1">
        <f t="array" ref="AR134">RhoC(AK134,$B$2,$AR$119,$D$2,$E$2,$F$4)</f>
        <v>69.460114005190704</v>
      </c>
      <c r="AS134" s="4" cm="1">
        <f t="array" ref="AS134">RhoC(AK134,$B$2,$AS$119,$D$2,$E$2,$F$4)</f>
        <v>79.247439679380349</v>
      </c>
      <c r="AT134" s="4" cm="1">
        <f t="array" ref="AT134">RhoC(AK134,$B$2,$AT$119,$D$2,$E$2,$F$4)</f>
        <v>88.974743056024749</v>
      </c>
      <c r="AU134" s="4" cm="1">
        <f t="array" ref="AU134">RhoC(AK134,$B$2,$AU$119,$D$2,$E$2,$F$4)</f>
        <v>98.633554504316649</v>
      </c>
      <c r="AV134" s="4" cm="1">
        <f t="array" ref="AV134">RhoC(AK134,$B$2,$AV$119,$D$2,$E$2,$F$4)</f>
        <v>190.73528277688422</v>
      </c>
      <c r="AW134" s="4" cm="1">
        <f t="array" ref="AW134">RhoC(AK134,$B$2,$AW$119,$D$2,$E$2,$F$4)</f>
        <v>275.2237193552665</v>
      </c>
      <c r="AX134" s="4" cm="1">
        <f t="array" ref="AX134">RhoC(AK134,$B$2,$AX$119,$D$2,$E$2,$F$4)</f>
        <v>353.95433389541915</v>
      </c>
      <c r="AY134" s="5" cm="1">
        <f t="array" ref="AY134">RhoC(AK134,$B$2,$AY$119,$D$2,$E$2,$F$4)</f>
        <v>428.35141810001801</v>
      </c>
    </row>
    <row r="135" spans="1:51" x14ac:dyDescent="0.3">
      <c r="A135" s="1">
        <v>135</v>
      </c>
      <c r="B135" s="4" cm="1">
        <f t="array" ref="B135">RhoC(A135,$B$2,$B$119,$D$2,$E$2,$F$2)</f>
        <v>9.9899937425487071</v>
      </c>
      <c r="C135" s="4" cm="1">
        <f t="array" ref="C135">RhoC(A135,$B$2,$C$119,$D$2,$E$2,$F$2)</f>
        <v>19.95146289139338</v>
      </c>
      <c r="D135" s="4" cm="1">
        <f t="array" ref="D135">RhoC(A135,$B$2,$D$119,$D$2,$E$2,$F$2)</f>
        <v>29.81017221563636</v>
      </c>
      <c r="E135" s="4" cm="1">
        <f t="array" ref="E135">RhoC(A135,$B$2,$E$119,$D$2,$E$2,$F$2)</f>
        <v>39.457121776080648</v>
      </c>
      <c r="F135" s="4" cm="1">
        <f t="array" ref="F135">RhoC(A135,$B$2,$F$119,$D$2,$E$2,$F$2)</f>
        <v>48.832355634235022</v>
      </c>
      <c r="G135" s="4" cm="1">
        <f t="array" ref="G135">RhoC(A135,$B$2,$G$119,$D$2,$E$2,$F$2)</f>
        <v>57.922265459566475</v>
      </c>
      <c r="H135" s="4" cm="1">
        <f t="array" ref="H135">RhoC(A135,$B$2,$H$119,$D$2,$E$2,$F$2)</f>
        <v>66.73692184392155</v>
      </c>
      <c r="I135" s="4" cm="1">
        <f t="array" ref="I135">RhoC(A135,$B$2,$I$119,$D$2,$E$2,$F$2)</f>
        <v>75.2957374231259</v>
      </c>
      <c r="J135" s="4" cm="1">
        <f t="array" ref="J135">RhoC(A135,$B$2,$J$119,$D$2,$E$2,$F$2)</f>
        <v>83.62051674627169</v>
      </c>
      <c r="K135" s="4" cm="1">
        <f t="array" ref="K135">RhoC(A135,$B$2,$K$119,$D$2,$E$2,$F$2)</f>
        <v>91.732436651684779</v>
      </c>
      <c r="L135" s="4" cm="1">
        <f t="array" ref="L135">RhoC(A135,$B$2,$L$119,$D$2,$E$2,$F$2)</f>
        <v>164.47556479755494</v>
      </c>
      <c r="M135" s="4" cm="1">
        <f t="array" ref="M135">RhoC(A135,$B$2,$M$119,$D$2,$E$2,$F$2)</f>
        <v>227.73160793645627</v>
      </c>
      <c r="N135" s="4" cm="1">
        <f t="array" ref="N135">RhoC(A135,$B$2,$N$119,$D$2,$E$2,$F$2)</f>
        <v>285.25390074635311</v>
      </c>
      <c r="O135" s="5" cm="1">
        <f t="array" ref="O135">RhoC(A135,$B$2,$O$119,$D$2,$E$2,$F$2)</f>
        <v>338.63992954318462</v>
      </c>
      <c r="S135" s="1">
        <v>135</v>
      </c>
      <c r="T135" s="4" cm="1">
        <f t="array" ref="T135">RhoC(S135,$B$2,$T$119,$D$2,$E$2,$F$3)</f>
        <v>9.981168420699019</v>
      </c>
      <c r="U135" s="4" cm="1">
        <f t="array" ref="U135">RhoC(S135,$B$2,$U$119,$D$2,$E$2,$F$3)</f>
        <v>19.671489079206417</v>
      </c>
      <c r="V135" s="4" cm="1">
        <f t="array" ref="V135">RhoC(S135,$B$2,$V$119,$D$2,$E$2,$F$3)</f>
        <v>28.743809080910765</v>
      </c>
      <c r="W135" s="4" cm="1">
        <f t="array" ref="W135">RhoC(S135,$B$2,$W$119,$D$2,$E$2,$F$3)</f>
        <v>37.219240872194902</v>
      </c>
      <c r="X135" s="4" cm="1">
        <f t="array" ref="X135">RhoC(S135,$B$2,$X$119,$D$2,$E$2,$F$3)</f>
        <v>45.203642785625419</v>
      </c>
      <c r="Y135" s="4" cm="1">
        <f t="array" ref="Y135">RhoC(S135,$B$2,$Y$119,$D$2,$E$2,$F$3)</f>
        <v>52.790639938914232</v>
      </c>
      <c r="Z135" s="4" cm="1">
        <f t="array" ref="Z135">RhoC(S135,$B$2,$Z$119,$D$2,$E$2,$F$3)</f>
        <v>60.051541964146772</v>
      </c>
      <c r="AA135" s="4" cm="1">
        <f t="array" ref="AA135">RhoC(S135,$B$2,$AA$119,$D$2,$E$2,$F$3)</f>
        <v>67.039633112636224</v>
      </c>
      <c r="AB135" s="4" cm="1">
        <f t="array" ref="AB135">RhoC(S135,$B$2,$AB$119,$D$2,$E$2,$F$3)</f>
        <v>73.795159861052298</v>
      </c>
      <c r="AC135" s="4" cm="1">
        <f t="array" ref="AC135">RhoC(S135,$B$2,$AC$119,$D$2,$E$2,$F$3)</f>
        <v>80.349082627409643</v>
      </c>
      <c r="AD135" s="4" cm="1">
        <f t="array" ref="AD135">RhoC(S135,$B$2,$AD$119,$D$2,$E$2,$F$3)</f>
        <v>138.44626580586129</v>
      </c>
      <c r="AE135" s="4" cm="1">
        <f t="array" ref="AE135">RhoC(S135,$B$2,$AE$119,$D$2,$E$2,$F$3)</f>
        <v>188.17361687331504</v>
      </c>
      <c r="AF135" s="4" cm="1">
        <f t="array" ref="AF135">RhoC(S135,$B$2,$AF$119,$D$2,$E$2,$F$3)</f>
        <v>232.58952257971575</v>
      </c>
      <c r="AG135" s="5" cm="1">
        <f t="array" ref="AG135">RhoC(S135,$B$2,$AG$119,$D$2,$E$2,$F$3)</f>
        <v>272.98936926815594</v>
      </c>
      <c r="AK135" s="1">
        <v>135</v>
      </c>
      <c r="AL135" s="4" cm="1">
        <f t="array" ref="AL135">RhoC(AK135,$B$2,$AL$119,$D$2,$E$2,$F$4)</f>
        <v>9.9900049983337507</v>
      </c>
      <c r="AM135" s="4" cm="1">
        <f t="array" ref="AM135">RhoC(AK135,$B$2,$AM$119,$D$2,$E$2,$F$4)</f>
        <v>19.960039973180681</v>
      </c>
      <c r="AN135" s="4" cm="1">
        <f t="array" ref="AN135">RhoC(AK135,$B$2,$AN$119,$D$2,$E$2,$F$4)</f>
        <v>29.910134317755119</v>
      </c>
      <c r="AO135" s="4" cm="1">
        <f t="array" ref="AO135">RhoC(AK135,$B$2,$AO$119,$D$2,$E$2,$F$4)</f>
        <v>39.840284075736399</v>
      </c>
      <c r="AP135" s="4" cm="1">
        <f t="array" ref="AP135">RhoC(AK135,$B$2,$AP$119,$D$2,$E$2,$F$4)</f>
        <v>49.750157959169577</v>
      </c>
      <c r="AQ135" s="4" cm="1">
        <f t="array" ref="AQ135">RhoC(AK135,$B$2,$AQ$119,$D$2,$E$2,$F$4)</f>
        <v>59.638360220830656</v>
      </c>
      <c r="AR135" s="4" cm="1">
        <f t="array" ref="AR135">RhoC(AK135,$B$2,$AR$119,$D$2,$E$2,$F$4)</f>
        <v>69.501813372831634</v>
      </c>
      <c r="AS135" s="4" cm="1">
        <f t="array" ref="AS135">RhoC(AK135,$B$2,$AS$119,$D$2,$E$2,$F$4)</f>
        <v>79.33581290678994</v>
      </c>
      <c r="AT135" s="4" cm="1">
        <f t="array" ref="AT135">RhoC(AK135,$B$2,$AT$119,$D$2,$E$2,$F$4)</f>
        <v>89.134605998743822</v>
      </c>
      <c r="AU135" s="4" cm="1">
        <f t="array" ref="AU135">RhoC(AK135,$B$2,$AU$119,$D$2,$E$2,$F$4)</f>
        <v>98.892095075464468</v>
      </c>
      <c r="AV135" s="4" cm="1">
        <f t="array" ref="AV135">RhoC(AK135,$B$2,$AV$119,$D$2,$E$2,$F$4)</f>
        <v>193.26342865983207</v>
      </c>
      <c r="AW135" s="4" cm="1">
        <f t="array" ref="AW135">RhoC(AK135,$B$2,$AW$119,$D$2,$E$2,$F$4)</f>
        <v>281.10815254143625</v>
      </c>
      <c r="AX135" s="4" cm="1">
        <f t="array" ref="AX135">RhoC(AK135,$B$2,$AX$119,$D$2,$E$2,$F$4)</f>
        <v>363.2778272031054</v>
      </c>
      <c r="AY135" s="5" cm="1">
        <f t="array" ref="AY135">RhoC(AK135,$B$2,$AY$119,$D$2,$E$2,$F$4)</f>
        <v>440.9018005705932</v>
      </c>
    </row>
    <row r="136" spans="1:51" x14ac:dyDescent="0.3">
      <c r="A136" s="6">
        <v>140</v>
      </c>
      <c r="B136" s="7" cm="1">
        <f t="array" ref="B136">RhoC(A136,$B$2,$B$119,$D$2,$E$2,$F$2)</f>
        <v>9.9900044333117659</v>
      </c>
      <c r="C136" s="7" cm="1">
        <f t="array" ref="C136">RhoC(A136,$B$2,$C$119,$D$2,$E$2,$F$2)</f>
        <v>19.958199888181856</v>
      </c>
      <c r="D136" s="7" cm="1">
        <f t="array" ref="D136">RhoC(A136,$B$2,$D$119,$D$2,$E$2,$F$2)</f>
        <v>29.875241343482667</v>
      </c>
      <c r="E136" s="7" cm="1">
        <f t="array" ref="E136">RhoC(A136,$B$2,$E$119,$D$2,$E$2,$F$2)</f>
        <v>39.669441320637574</v>
      </c>
      <c r="F136" s="7" cm="1">
        <f t="array" ref="F136">RhoC(A136,$B$2,$F$119,$D$2,$E$2,$F$2)</f>
        <v>49.275873716227721</v>
      </c>
      <c r="G136" s="7" cm="1">
        <f t="array" ref="G136">RhoC(A136,$B$2,$G$119,$D$2,$E$2,$F$2)</f>
        <v>58.659707295076835</v>
      </c>
      <c r="H136" s="7" cm="1">
        <f t="array" ref="H136">RhoC(A136,$B$2,$H$119,$D$2,$E$2,$F$2)</f>
        <v>67.810197543662682</v>
      </c>
      <c r="I136" s="7" cm="1">
        <f t="array" ref="I136">RhoC(A136,$B$2,$I$119,$D$2,$E$2,$F$2)</f>
        <v>76.730661853179058</v>
      </c>
      <c r="J136" s="7" cm="1">
        <f t="array" ref="J136">RhoC(A136,$B$2,$J$119,$D$2,$E$2,$F$2)</f>
        <v>85.431448147951741</v>
      </c>
      <c r="K136" s="7" cm="1">
        <f t="array" ref="K136">RhoC(A136,$B$2,$K$119,$D$2,$E$2,$F$2)</f>
        <v>93.925858365570519</v>
      </c>
      <c r="L136" s="7" cm="1">
        <f t="array" ref="L136">RhoC(A136,$B$2,$L$119,$D$2,$E$2,$F$2)</f>
        <v>170.24252108865093</v>
      </c>
      <c r="M136" s="7" cm="1">
        <f t="array" ref="M136">RhoC(A136,$B$2,$M$119,$D$2,$E$2,$F$2)</f>
        <v>236.35489328260059</v>
      </c>
      <c r="N136" s="7" cm="1">
        <f t="array" ref="N136">RhoC(A136,$B$2,$N$119,$D$2,$E$2,$F$2)</f>
        <v>296.19525249901477</v>
      </c>
      <c r="O136" s="8" cm="1">
        <f t="array" ref="O136">RhoC(A136,$B$2,$O$119,$D$2,$E$2,$F$2)</f>
        <v>351.52655093388364</v>
      </c>
      <c r="S136" s="6">
        <v>140</v>
      </c>
      <c r="T136" s="7" cm="1">
        <f t="array" ref="T136">RhoC(S136,$B$2,$T$119,$D$2,$E$2,$F$3)</f>
        <v>9.9877653195750877</v>
      </c>
      <c r="U136" s="7" cm="1">
        <f t="array" ref="U136">RhoC(S136,$B$2,$U$119,$D$2,$E$2,$F$3)</f>
        <v>19.819726458551735</v>
      </c>
      <c r="V136" s="7" cm="1">
        <f t="array" ref="V136">RhoC(S136,$B$2,$V$119,$D$2,$E$2,$F$3)</f>
        <v>29.203093523689748</v>
      </c>
      <c r="W136" s="7" cm="1">
        <f t="array" ref="W136">RhoC(S136,$B$2,$W$119,$D$2,$E$2,$F$3)</f>
        <v>38.063235204176131</v>
      </c>
      <c r="X136" s="7" cm="1">
        <f t="array" ref="X136">RhoC(S136,$B$2,$X$119,$D$2,$E$2,$F$3)</f>
        <v>46.450375839346556</v>
      </c>
      <c r="Y136" s="7" cm="1">
        <f t="array" ref="Y136">RhoC(S136,$B$2,$Y$119,$D$2,$E$2,$F$3)</f>
        <v>54.434466906661761</v>
      </c>
      <c r="Z136" s="7" cm="1">
        <f t="array" ref="Z136">RhoC(S136,$B$2,$Z$119,$D$2,$E$2,$F$3)</f>
        <v>62.077618313338995</v>
      </c>
      <c r="AA136" s="7" cm="1">
        <f t="array" ref="AA136">RhoC(S136,$B$2,$AA$119,$D$2,$E$2,$F$3)</f>
        <v>69.430119356071586</v>
      </c>
      <c r="AB136" s="7" cm="1">
        <f t="array" ref="AB136">RhoC(S136,$B$2,$AB$119,$D$2,$E$2,$F$3)</f>
        <v>76.53187239325608</v>
      </c>
      <c r="AC136" s="7" cm="1">
        <f t="array" ref="AC136">RhoC(S136,$B$2,$AC$119,$D$2,$E$2,$F$3)</f>
        <v>83.414598637936621</v>
      </c>
      <c r="AD136" s="7" cm="1">
        <f t="array" ref="AD136">RhoC(S136,$B$2,$AD$119,$D$2,$E$2,$F$3)</f>
        <v>144.09402526215996</v>
      </c>
      <c r="AE136" s="7" cm="1">
        <f t="array" ref="AE136">RhoC(S136,$B$2,$AE$119,$D$2,$E$2,$F$3)</f>
        <v>195.64455630771903</v>
      </c>
      <c r="AF136" s="7" cm="1">
        <f t="array" ref="AF136">RhoC(S136,$B$2,$AF$119,$D$2,$E$2,$F$3)</f>
        <v>241.48006453738211</v>
      </c>
      <c r="AG136" s="8" cm="1">
        <f t="array" ref="AG136">RhoC(S136,$B$2,$AG$119,$D$2,$E$2,$F$3)</f>
        <v>283.04283969966366</v>
      </c>
      <c r="AK136" s="6">
        <v>140</v>
      </c>
      <c r="AL136" s="7" cm="1">
        <f t="array" ref="AL136">RhoC(AK136,$B$2,$AL$119,$D$2,$E$2,$F$4)</f>
        <v>9.9900049983337507</v>
      </c>
      <c r="AM136" s="7" cm="1">
        <f t="array" ref="AM136">RhoC(AK136,$B$2,$AM$119,$D$2,$E$2,$F$4)</f>
        <v>19.960039973346213</v>
      </c>
      <c r="AN136" s="7" cm="1">
        <f t="array" ref="AN136">RhoC(AK136,$B$2,$AN$119,$D$2,$E$2,$F$4)</f>
        <v>29.91013485492066</v>
      </c>
      <c r="AO136" s="7" cm="1">
        <f t="array" ref="AO136">RhoC(AK136,$B$2,$AO$119,$D$2,$E$2,$F$4)</f>
        <v>39.840317838234107</v>
      </c>
      <c r="AP136" s="7" cm="1">
        <f t="array" ref="AP136">RhoC(AK136,$B$2,$AP$119,$D$2,$E$2,$F$4)</f>
        <v>49.750583249072633</v>
      </c>
      <c r="AQ136" s="7" cm="1">
        <f t="array" ref="AQ136">RhoC(AK136,$B$2,$AQ$119,$D$2,$E$2,$F$4)</f>
        <v>59.640728082054494</v>
      </c>
      <c r="AR136" s="7" cm="1">
        <f t="array" ref="AR136">RhoC(AK136,$B$2,$AR$119,$D$2,$E$2,$F$4)</f>
        <v>69.510030433566882</v>
      </c>
      <c r="AS136" s="7" cm="1">
        <f t="array" ref="AS136">RhoC(AK136,$B$2,$AS$119,$D$2,$E$2,$F$4)</f>
        <v>79.35696237284867</v>
      </c>
      <c r="AT136" s="7" cm="1">
        <f t="array" ref="AT136">RhoC(AK136,$B$2,$AT$119,$D$2,$E$2,$F$4)</f>
        <v>89.179120674511395</v>
      </c>
      <c r="AU136" s="7" cm="1">
        <f t="array" ref="AU136">RhoC(AK136,$B$2,$AU$119,$D$2,$E$2,$F$4)</f>
        <v>98.973377492216585</v>
      </c>
      <c r="AV136" s="7" cm="1">
        <f t="array" ref="AV136">RhoC(AK136,$B$2,$AV$119,$D$2,$E$2,$F$4)</f>
        <v>194.63918255910062</v>
      </c>
      <c r="AW136" s="7" cm="1">
        <f t="array" ref="AW136">RhoC(AK136,$B$2,$AW$119,$D$2,$E$2,$F$4)</f>
        <v>284.95648996149043</v>
      </c>
      <c r="AX136" s="7" cm="1">
        <f t="array" ref="AX136">RhoC(AK136,$B$2,$AX$119,$D$2,$E$2,$F$4)</f>
        <v>369.9634355255414</v>
      </c>
      <c r="AY136" s="8" cm="1">
        <f t="array" ref="AY136">RhoC(AK136,$B$2,$AY$119,$D$2,$E$2,$F$4)</f>
        <v>450.41312353967959</v>
      </c>
    </row>
  </sheetData>
  <mergeCells count="30">
    <mergeCell ref="AL70:AY70"/>
    <mergeCell ref="AK93:AY93"/>
    <mergeCell ref="AL94:AY94"/>
    <mergeCell ref="AK117:AY117"/>
    <mergeCell ref="AL118:AY118"/>
    <mergeCell ref="AK21:AY21"/>
    <mergeCell ref="AL22:AY22"/>
    <mergeCell ref="AK45:AY45"/>
    <mergeCell ref="AL46:AY46"/>
    <mergeCell ref="AK69:AY69"/>
    <mergeCell ref="T70:AG70"/>
    <mergeCell ref="B22:O22"/>
    <mergeCell ref="A21:O21"/>
    <mergeCell ref="B46:O46"/>
    <mergeCell ref="A45:O45"/>
    <mergeCell ref="A69:O69"/>
    <mergeCell ref="B70:O70"/>
    <mergeCell ref="T22:AG22"/>
    <mergeCell ref="S21:AG21"/>
    <mergeCell ref="S45:AG45"/>
    <mergeCell ref="T46:AG46"/>
    <mergeCell ref="S69:AG69"/>
    <mergeCell ref="S93:AG93"/>
    <mergeCell ref="T94:AG94"/>
    <mergeCell ref="S117:AG117"/>
    <mergeCell ref="T118:AG118"/>
    <mergeCell ref="A93:O93"/>
    <mergeCell ref="B94:O94"/>
    <mergeCell ref="A117:O117"/>
    <mergeCell ref="B118:O118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766D9-06E1-4859-A2A8-2BFB79F180F6}">
  <sheetPr codeName="Foglio2"/>
  <dimension ref="A1:AG50"/>
  <sheetViews>
    <sheetView workbookViewId="0">
      <selection activeCell="P2" sqref="P2"/>
    </sheetView>
  </sheetViews>
  <sheetFormatPr defaultRowHeight="14.4" x14ac:dyDescent="0.3"/>
  <cols>
    <col min="1" max="2" width="8.88671875" customWidth="1"/>
    <col min="13" max="13" width="11.33203125" customWidth="1"/>
    <col min="18" max="18" width="10.6640625" customWidth="1"/>
    <col min="19" max="19" width="10.88671875" customWidth="1"/>
    <col min="25" max="25" width="12.21875" customWidth="1"/>
    <col min="26" max="26" width="9.33203125" customWidth="1"/>
    <col min="31" max="31" width="9.21875" bestFit="1" customWidth="1"/>
  </cols>
  <sheetData>
    <row r="1" spans="1:33" ht="43.8" thickBot="1" x14ac:dyDescent="0.35">
      <c r="A1" s="21" t="s">
        <v>11</v>
      </c>
      <c r="B1" s="22" t="s">
        <v>12</v>
      </c>
      <c r="C1" s="32" t="s">
        <v>13</v>
      </c>
      <c r="D1" s="22" t="s">
        <v>14</v>
      </c>
      <c r="E1" s="22" t="s">
        <v>15</v>
      </c>
      <c r="F1" s="22" t="s">
        <v>16</v>
      </c>
      <c r="G1" s="22" t="s">
        <v>17</v>
      </c>
      <c r="H1" s="22" t="s">
        <v>18</v>
      </c>
      <c r="I1" s="22" t="s">
        <v>19</v>
      </c>
      <c r="J1" s="22" t="s">
        <v>20</v>
      </c>
      <c r="K1" s="22" t="s">
        <v>21</v>
      </c>
      <c r="L1" s="22" t="s">
        <v>116</v>
      </c>
      <c r="M1" t="s">
        <v>117</v>
      </c>
      <c r="N1" t="s">
        <v>3</v>
      </c>
      <c r="O1" s="22" t="s">
        <v>1582</v>
      </c>
      <c r="P1" t="s">
        <v>1581</v>
      </c>
      <c r="Q1" t="s">
        <v>167</v>
      </c>
      <c r="R1" t="s">
        <v>168</v>
      </c>
      <c r="S1" s="27" t="s">
        <v>119</v>
      </c>
      <c r="T1" s="28" t="s">
        <v>120</v>
      </c>
      <c r="U1" s="28" t="s">
        <v>121</v>
      </c>
      <c r="V1" s="28" t="s">
        <v>122</v>
      </c>
      <c r="W1" s="28" t="s">
        <v>123</v>
      </c>
      <c r="X1" s="29" t="s">
        <v>124</v>
      </c>
      <c r="Y1" s="28" t="s">
        <v>19</v>
      </c>
      <c r="Z1" s="28" t="s">
        <v>336</v>
      </c>
    </row>
    <row r="2" spans="1:33" ht="58.2" thickBot="1" x14ac:dyDescent="0.35">
      <c r="A2" s="17" t="s">
        <v>33</v>
      </c>
      <c r="B2" s="24" t="s">
        <v>34</v>
      </c>
      <c r="C2" s="18">
        <v>45</v>
      </c>
      <c r="D2" s="24">
        <v>68.099999999999994</v>
      </c>
      <c r="E2" s="24">
        <v>65.7</v>
      </c>
      <c r="F2" s="24">
        <v>67.900000000000006</v>
      </c>
      <c r="G2" s="24">
        <v>0</v>
      </c>
      <c r="H2" s="24" t="s">
        <v>22</v>
      </c>
      <c r="I2" s="24">
        <v>1</v>
      </c>
      <c r="J2" s="24">
        <v>1</v>
      </c>
      <c r="K2" s="33">
        <v>1.5995999999999999</v>
      </c>
      <c r="L2" s="19">
        <f t="shared" ref="L2:L33" si="0">AVERAGE(E2,F2)</f>
        <v>66.800000000000011</v>
      </c>
      <c r="M2">
        <f>1/12</f>
        <v>8.3333333333333329E-2</v>
      </c>
      <c r="N2">
        <v>110.9</v>
      </c>
      <c r="O2">
        <v>0.96167000000000002</v>
      </c>
      <c r="P2">
        <v>-0.41566999999999998</v>
      </c>
      <c r="Q2">
        <f>_xlfn.STDEV.S(Z3:Z22)</f>
        <v>8.2431416275682817E-2</v>
      </c>
      <c r="R2">
        <f>Q2*SQRT(252)</f>
        <v>1.3085581661057932</v>
      </c>
      <c r="S2" s="30" t="s">
        <v>125</v>
      </c>
      <c r="T2" s="31">
        <v>115.7</v>
      </c>
      <c r="U2" s="31">
        <v>118.22</v>
      </c>
      <c r="V2" s="31">
        <v>113.38</v>
      </c>
      <c r="W2" s="31">
        <v>117.5</v>
      </c>
      <c r="X2" s="31">
        <v>117.5</v>
      </c>
      <c r="Y2" s="31" t="s">
        <v>126</v>
      </c>
      <c r="Z2" s="19"/>
      <c r="AD2" s="46"/>
      <c r="AE2" s="46" t="s">
        <v>1583</v>
      </c>
      <c r="AF2" s="46" t="s">
        <v>1584</v>
      </c>
      <c r="AG2" s="46" t="s">
        <v>116</v>
      </c>
    </row>
    <row r="3" spans="1:33" ht="58.2" thickBot="1" x14ac:dyDescent="0.35">
      <c r="A3" s="17" t="s">
        <v>35</v>
      </c>
      <c r="B3" s="24" t="s">
        <v>36</v>
      </c>
      <c r="C3" s="18">
        <v>55</v>
      </c>
      <c r="D3" s="24">
        <v>61.4</v>
      </c>
      <c r="E3" s="24">
        <v>55.6</v>
      </c>
      <c r="F3" s="24">
        <v>57.8</v>
      </c>
      <c r="G3" s="24">
        <v>0</v>
      </c>
      <c r="H3" s="24" t="s">
        <v>22</v>
      </c>
      <c r="I3" s="24" t="s">
        <v>22</v>
      </c>
      <c r="J3" s="24">
        <v>2</v>
      </c>
      <c r="K3" s="33">
        <v>1.2070000000000001</v>
      </c>
      <c r="L3" s="19">
        <f t="shared" si="0"/>
        <v>56.7</v>
      </c>
      <c r="M3" s="20">
        <v>44687</v>
      </c>
      <c r="N3" s="34" t="s">
        <v>118</v>
      </c>
      <c r="R3">
        <f>$R$2</f>
        <v>1.3085581661057932</v>
      </c>
      <c r="S3" s="30" t="s">
        <v>127</v>
      </c>
      <c r="T3" s="31">
        <v>117.62</v>
      </c>
      <c r="U3" s="31">
        <v>118.95</v>
      </c>
      <c r="V3" s="31">
        <v>109.75</v>
      </c>
      <c r="W3" s="31">
        <v>110.2</v>
      </c>
      <c r="X3" s="31">
        <v>110.2</v>
      </c>
      <c r="Y3" s="31" t="s">
        <v>128</v>
      </c>
      <c r="Z3" s="19">
        <f>(X3-X2)/X2</f>
        <v>-6.2127659574468058E-2</v>
      </c>
      <c r="AD3" s="46" t="s">
        <v>1585</v>
      </c>
      <c r="AE3" s="46" cm="1">
        <f t="array" ref="AE3">BSCall($N$2,$C$21,O2,$R$2,$M$2)</f>
        <v>20.551050723145835</v>
      </c>
      <c r="AF3" s="46" cm="1">
        <f t="array" ref="AF3">BSCall($N$2,$C$21,P2,$R$2,$M$2)</f>
        <v>14.98205764130865</v>
      </c>
      <c r="AG3" s="59">
        <f>L21</f>
        <v>8.125</v>
      </c>
    </row>
    <row r="4" spans="1:33" ht="58.2" thickBot="1" x14ac:dyDescent="0.35">
      <c r="A4" s="17" t="s">
        <v>37</v>
      </c>
      <c r="B4" s="24" t="s">
        <v>38</v>
      </c>
      <c r="C4" s="18">
        <v>70</v>
      </c>
      <c r="D4" s="24">
        <v>48.8</v>
      </c>
      <c r="E4" s="24">
        <v>41.3</v>
      </c>
      <c r="F4" s="24">
        <v>42.45</v>
      </c>
      <c r="G4" s="24">
        <v>0</v>
      </c>
      <c r="H4" s="24" t="s">
        <v>22</v>
      </c>
      <c r="I4" s="24">
        <v>1</v>
      </c>
      <c r="J4" s="24">
        <v>0</v>
      </c>
      <c r="K4" s="33">
        <v>0.91800000000000004</v>
      </c>
      <c r="L4" s="19">
        <f t="shared" si="0"/>
        <v>41.875</v>
      </c>
      <c r="R4">
        <f>$R$2</f>
        <v>1.3085581661057932</v>
      </c>
      <c r="S4" s="30" t="s">
        <v>129</v>
      </c>
      <c r="T4" s="31">
        <v>115.03</v>
      </c>
      <c r="U4" s="31">
        <v>115.09</v>
      </c>
      <c r="V4" s="31">
        <v>108.71</v>
      </c>
      <c r="W4" s="31">
        <v>108.8</v>
      </c>
      <c r="X4" s="31">
        <v>108.8</v>
      </c>
      <c r="Y4" s="31" t="s">
        <v>130</v>
      </c>
      <c r="Z4" s="19">
        <f>(X4-X3)/X3</f>
        <v>-1.2704174228675187E-2</v>
      </c>
      <c r="AD4" s="46" t="s">
        <v>1586</v>
      </c>
      <c r="AE4" s="46" cm="1">
        <f t="array" ref="AE4">BSCall($N$2,$C$21,O2,$K$21,$M$2)</f>
        <v>12.36191999688667</v>
      </c>
      <c r="AF4" s="46" cm="1">
        <f t="array" ref="AF4">BSCall($N$2,$C$21,P2,$K$21,$M$2)</f>
        <v>5.9729157173338621</v>
      </c>
      <c r="AG4" s="59"/>
    </row>
    <row r="5" spans="1:33" ht="58.2" thickBot="1" x14ac:dyDescent="0.35">
      <c r="A5" s="17" t="s">
        <v>39</v>
      </c>
      <c r="B5" s="24" t="s">
        <v>40</v>
      </c>
      <c r="C5" s="18">
        <v>75</v>
      </c>
      <c r="D5" s="24">
        <v>36.76</v>
      </c>
      <c r="E5" s="24">
        <v>36.6</v>
      </c>
      <c r="F5" s="24">
        <v>37.700000000000003</v>
      </c>
      <c r="G5" s="24">
        <v>0</v>
      </c>
      <c r="H5" s="24" t="s">
        <v>22</v>
      </c>
      <c r="I5" s="24">
        <v>7</v>
      </c>
      <c r="J5" s="24">
        <v>6</v>
      </c>
      <c r="K5" s="33">
        <v>0.89059999999999995</v>
      </c>
      <c r="L5" s="19">
        <f t="shared" si="0"/>
        <v>37.150000000000006</v>
      </c>
      <c r="R5">
        <f t="shared" ref="R5:R50" si="1">$R$2</f>
        <v>1.3085581661057932</v>
      </c>
      <c r="S5" s="30" t="s">
        <v>131</v>
      </c>
      <c r="T5" s="31">
        <v>115.54</v>
      </c>
      <c r="U5" s="31">
        <v>120.1</v>
      </c>
      <c r="V5" s="31">
        <v>115.54</v>
      </c>
      <c r="W5" s="31">
        <v>116.58</v>
      </c>
      <c r="X5" s="31">
        <v>116.58</v>
      </c>
      <c r="Y5" s="31" t="s">
        <v>132</v>
      </c>
      <c r="Z5" s="19">
        <f t="shared" ref="Z4:Z22" si="2">(X5-X4)/X4</f>
        <v>7.150735294117648E-2</v>
      </c>
    </row>
    <row r="6" spans="1:33" ht="58.2" thickBot="1" x14ac:dyDescent="0.35">
      <c r="A6" s="17" t="s">
        <v>41</v>
      </c>
      <c r="B6" s="24" t="s">
        <v>42</v>
      </c>
      <c r="C6" s="18">
        <v>80</v>
      </c>
      <c r="D6" s="24">
        <v>34.840000000000003</v>
      </c>
      <c r="E6" s="24">
        <v>31.95</v>
      </c>
      <c r="F6" s="24">
        <v>32.65</v>
      </c>
      <c r="G6" s="24">
        <v>0</v>
      </c>
      <c r="H6" s="24" t="s">
        <v>22</v>
      </c>
      <c r="I6" s="24">
        <v>1</v>
      </c>
      <c r="J6" s="24">
        <v>20</v>
      </c>
      <c r="K6" s="33">
        <v>0.80759999999999998</v>
      </c>
      <c r="L6" s="19">
        <f t="shared" si="0"/>
        <v>32.299999999999997</v>
      </c>
      <c r="R6">
        <f t="shared" si="1"/>
        <v>1.3085581661057932</v>
      </c>
      <c r="S6" s="30" t="s">
        <v>133</v>
      </c>
      <c r="T6" s="31">
        <v>118.36</v>
      </c>
      <c r="U6" s="31">
        <v>119.6</v>
      </c>
      <c r="V6" s="31">
        <v>115.74</v>
      </c>
      <c r="W6" s="31">
        <v>116.71</v>
      </c>
      <c r="X6" s="31">
        <v>116.71</v>
      </c>
      <c r="Y6" s="31" t="s">
        <v>134</v>
      </c>
      <c r="Z6" s="19">
        <f t="shared" si="2"/>
        <v>1.1151140847486315E-3</v>
      </c>
    </row>
    <row r="7" spans="1:33" ht="58.2" thickBot="1" x14ac:dyDescent="0.35">
      <c r="A7" s="17" t="s">
        <v>43</v>
      </c>
      <c r="B7" s="24" t="s">
        <v>44</v>
      </c>
      <c r="C7" s="18">
        <v>85</v>
      </c>
      <c r="D7" s="24">
        <v>28.1</v>
      </c>
      <c r="E7" s="24">
        <v>27.1</v>
      </c>
      <c r="F7" s="24">
        <v>27.95</v>
      </c>
      <c r="G7" s="24">
        <v>-6.85</v>
      </c>
      <c r="H7" s="25">
        <v>-0.19600000000000001</v>
      </c>
      <c r="I7" s="24">
        <v>2</v>
      </c>
      <c r="J7" s="24">
        <v>1</v>
      </c>
      <c r="K7" s="33">
        <v>0.73409999999999997</v>
      </c>
      <c r="L7" s="19">
        <f t="shared" si="0"/>
        <v>27.524999999999999</v>
      </c>
      <c r="R7">
        <f t="shared" si="1"/>
        <v>1.3085581661057932</v>
      </c>
      <c r="S7" s="30" t="s">
        <v>135</v>
      </c>
      <c r="T7" s="31">
        <v>113.86</v>
      </c>
      <c r="U7" s="31">
        <v>116.23</v>
      </c>
      <c r="V7" s="31">
        <v>111.92</v>
      </c>
      <c r="W7" s="31">
        <v>115.09</v>
      </c>
      <c r="X7" s="31">
        <v>115.09</v>
      </c>
      <c r="Y7" s="31" t="s">
        <v>136</v>
      </c>
      <c r="Z7" s="19">
        <f t="shared" si="2"/>
        <v>-1.3880558649644336E-2</v>
      </c>
    </row>
    <row r="8" spans="1:33" ht="58.2" thickBot="1" x14ac:dyDescent="0.35">
      <c r="A8" s="17" t="s">
        <v>45</v>
      </c>
      <c r="B8" s="24" t="s">
        <v>46</v>
      </c>
      <c r="C8" s="18">
        <v>90</v>
      </c>
      <c r="D8" s="24">
        <v>23.1</v>
      </c>
      <c r="E8" s="24">
        <v>22.8</v>
      </c>
      <c r="F8" s="24">
        <v>23.45</v>
      </c>
      <c r="G8" s="24">
        <v>1.8</v>
      </c>
      <c r="H8" s="25">
        <v>8.4500000000000006E-2</v>
      </c>
      <c r="I8" s="24">
        <v>1</v>
      </c>
      <c r="J8" s="24">
        <v>7</v>
      </c>
      <c r="K8" s="33">
        <v>0.70750000000000002</v>
      </c>
      <c r="L8" s="19">
        <f t="shared" si="0"/>
        <v>23.125</v>
      </c>
      <c r="R8">
        <f t="shared" si="1"/>
        <v>1.3085581661057932</v>
      </c>
      <c r="S8" s="30" t="s">
        <v>137</v>
      </c>
      <c r="T8" s="31">
        <v>110.53</v>
      </c>
      <c r="U8" s="31">
        <v>113.86</v>
      </c>
      <c r="V8" s="31">
        <v>109.4</v>
      </c>
      <c r="W8" s="31">
        <v>112.99</v>
      </c>
      <c r="X8" s="31">
        <v>112.99</v>
      </c>
      <c r="Y8" s="31" t="s">
        <v>138</v>
      </c>
      <c r="Z8" s="19">
        <f t="shared" si="2"/>
        <v>-1.8246589625510543E-2</v>
      </c>
    </row>
    <row r="9" spans="1:33" ht="58.2" thickBot="1" x14ac:dyDescent="0.35">
      <c r="A9" s="17" t="s">
        <v>47</v>
      </c>
      <c r="B9" s="24" t="s">
        <v>26</v>
      </c>
      <c r="C9" s="18">
        <v>95</v>
      </c>
      <c r="D9" s="24">
        <v>19</v>
      </c>
      <c r="E9" s="24">
        <v>18.75</v>
      </c>
      <c r="F9" s="24">
        <v>19.649999999999999</v>
      </c>
      <c r="G9" s="24">
        <v>-3.55</v>
      </c>
      <c r="H9" s="25">
        <v>-0.15740000000000001</v>
      </c>
      <c r="I9" s="24">
        <v>1</v>
      </c>
      <c r="J9" s="24">
        <v>7</v>
      </c>
      <c r="K9" s="33">
        <v>0.70650000000000002</v>
      </c>
      <c r="L9" s="19">
        <f t="shared" si="0"/>
        <v>19.2</v>
      </c>
      <c r="R9">
        <f t="shared" si="1"/>
        <v>1.3085581661057932</v>
      </c>
      <c r="S9" s="30" t="s">
        <v>139</v>
      </c>
      <c r="T9" s="31">
        <v>112.86</v>
      </c>
      <c r="U9" s="31">
        <v>116.5</v>
      </c>
      <c r="V9" s="31">
        <v>110.82</v>
      </c>
      <c r="W9" s="31">
        <v>115.15</v>
      </c>
      <c r="X9" s="31">
        <v>115.15</v>
      </c>
      <c r="Y9" s="31" t="s">
        <v>140</v>
      </c>
      <c r="Z9" s="19">
        <f t="shared" si="2"/>
        <v>1.9116735994335877E-2</v>
      </c>
    </row>
    <row r="10" spans="1:33" ht="58.2" thickBot="1" x14ac:dyDescent="0.35">
      <c r="A10" s="17" t="s">
        <v>48</v>
      </c>
      <c r="B10" s="24" t="s">
        <v>49</v>
      </c>
      <c r="C10" s="18">
        <v>99</v>
      </c>
      <c r="D10" s="24">
        <v>21.7</v>
      </c>
      <c r="E10" s="24">
        <v>15.5</v>
      </c>
      <c r="F10" s="24">
        <v>16</v>
      </c>
      <c r="G10" s="24">
        <v>0</v>
      </c>
      <c r="H10" s="24" t="s">
        <v>22</v>
      </c>
      <c r="I10" s="24" t="s">
        <v>22</v>
      </c>
      <c r="J10" s="24">
        <v>2</v>
      </c>
      <c r="K10" s="33">
        <v>0.64829999999999999</v>
      </c>
      <c r="L10" s="19">
        <f t="shared" si="0"/>
        <v>15.75</v>
      </c>
      <c r="R10">
        <f t="shared" si="1"/>
        <v>1.3085581661057932</v>
      </c>
      <c r="S10" s="30" t="s">
        <v>141</v>
      </c>
      <c r="T10" s="31">
        <v>115.7</v>
      </c>
      <c r="U10" s="31">
        <v>124.11</v>
      </c>
      <c r="V10" s="31">
        <v>112.68</v>
      </c>
      <c r="W10" s="31">
        <v>117.24</v>
      </c>
      <c r="X10" s="31">
        <v>117.24</v>
      </c>
      <c r="Y10" s="31" t="s">
        <v>142</v>
      </c>
      <c r="Z10" s="19">
        <f t="shared" si="2"/>
        <v>1.8150238818931734E-2</v>
      </c>
    </row>
    <row r="11" spans="1:33" ht="58.2" thickBot="1" x14ac:dyDescent="0.35">
      <c r="A11" s="17" t="s">
        <v>50</v>
      </c>
      <c r="B11" s="24" t="s">
        <v>25</v>
      </c>
      <c r="C11" s="18">
        <v>100</v>
      </c>
      <c r="D11" s="24">
        <v>15.2</v>
      </c>
      <c r="E11" s="24">
        <v>14.6</v>
      </c>
      <c r="F11" s="24">
        <v>15.25</v>
      </c>
      <c r="G11" s="24">
        <v>-4.8</v>
      </c>
      <c r="H11" s="25">
        <v>-0.24</v>
      </c>
      <c r="I11" s="24">
        <v>1</v>
      </c>
      <c r="J11" s="24">
        <v>24</v>
      </c>
      <c r="K11" s="33">
        <v>0.63549999999999995</v>
      </c>
      <c r="L11" s="19">
        <f t="shared" si="0"/>
        <v>14.925000000000001</v>
      </c>
      <c r="R11">
        <f t="shared" si="1"/>
        <v>1.3085581661057932</v>
      </c>
      <c r="S11" s="30" t="s">
        <v>143</v>
      </c>
      <c r="T11" s="31">
        <v>114.01</v>
      </c>
      <c r="U11" s="31">
        <v>118.24</v>
      </c>
      <c r="V11" s="31">
        <v>112.37</v>
      </c>
      <c r="W11" s="31">
        <v>114.99</v>
      </c>
      <c r="X11" s="31">
        <v>114.99</v>
      </c>
      <c r="Y11" s="31" t="s">
        <v>144</v>
      </c>
      <c r="Z11" s="19">
        <f t="shared" si="2"/>
        <v>-1.9191402251791199E-2</v>
      </c>
    </row>
    <row r="12" spans="1:33" ht="58.2" thickBot="1" x14ac:dyDescent="0.35">
      <c r="A12" s="17" t="s">
        <v>51</v>
      </c>
      <c r="B12" s="24" t="s">
        <v>52</v>
      </c>
      <c r="C12" s="18">
        <v>101</v>
      </c>
      <c r="D12" s="24">
        <v>13.61</v>
      </c>
      <c r="E12" s="24">
        <v>13.95</v>
      </c>
      <c r="F12" s="24">
        <v>14.6</v>
      </c>
      <c r="G12" s="24">
        <v>0</v>
      </c>
      <c r="H12" s="24" t="s">
        <v>22</v>
      </c>
      <c r="I12" s="24" t="s">
        <v>22</v>
      </c>
      <c r="J12" s="24">
        <v>3</v>
      </c>
      <c r="K12" s="33">
        <v>0.63780000000000003</v>
      </c>
      <c r="L12" s="19">
        <f t="shared" si="0"/>
        <v>14.274999999999999</v>
      </c>
      <c r="R12">
        <f t="shared" si="1"/>
        <v>1.3085581661057932</v>
      </c>
      <c r="S12" s="30" t="s">
        <v>145</v>
      </c>
      <c r="T12" s="31">
        <v>102.81</v>
      </c>
      <c r="U12" s="31">
        <v>105.68</v>
      </c>
      <c r="V12" s="31">
        <v>98.7</v>
      </c>
      <c r="W12" s="31">
        <v>103.59</v>
      </c>
      <c r="X12" s="31">
        <v>103.59</v>
      </c>
      <c r="Y12" s="31" t="s">
        <v>146</v>
      </c>
      <c r="Z12" s="19">
        <f t="shared" si="2"/>
        <v>-9.9139055570049497E-2</v>
      </c>
    </row>
    <row r="13" spans="1:33" ht="58.2" thickBot="1" x14ac:dyDescent="0.35">
      <c r="A13" s="17" t="s">
        <v>53</v>
      </c>
      <c r="B13" s="24" t="s">
        <v>54</v>
      </c>
      <c r="C13" s="18">
        <v>102</v>
      </c>
      <c r="D13" s="24">
        <v>18</v>
      </c>
      <c r="E13" s="24">
        <v>13.35</v>
      </c>
      <c r="F13" s="24">
        <v>13.9</v>
      </c>
      <c r="G13" s="24">
        <v>0</v>
      </c>
      <c r="H13" s="24" t="s">
        <v>22</v>
      </c>
      <c r="I13" s="24">
        <v>1</v>
      </c>
      <c r="J13" s="24">
        <v>2</v>
      </c>
      <c r="K13" s="33">
        <v>0.63839999999999997</v>
      </c>
      <c r="L13" s="19">
        <f t="shared" si="0"/>
        <v>13.625</v>
      </c>
      <c r="R13">
        <f t="shared" si="1"/>
        <v>1.3085581661057932</v>
      </c>
      <c r="S13" s="30" t="s">
        <v>147</v>
      </c>
      <c r="T13" s="31">
        <v>100.5</v>
      </c>
      <c r="U13" s="31">
        <v>111.74</v>
      </c>
      <c r="V13" s="31">
        <v>99.6</v>
      </c>
      <c r="W13" s="31">
        <v>108.3</v>
      </c>
      <c r="X13" s="31">
        <v>108.3</v>
      </c>
      <c r="Y13" s="31" t="s">
        <v>148</v>
      </c>
      <c r="Z13" s="19">
        <f t="shared" si="2"/>
        <v>4.5467709238343409E-2</v>
      </c>
    </row>
    <row r="14" spans="1:33" ht="58.2" thickBot="1" x14ac:dyDescent="0.35">
      <c r="A14" s="17" t="s">
        <v>55</v>
      </c>
      <c r="B14" s="24" t="s">
        <v>56</v>
      </c>
      <c r="C14" s="18">
        <v>103</v>
      </c>
      <c r="D14" s="24">
        <v>18.95</v>
      </c>
      <c r="E14" s="24">
        <v>12.7</v>
      </c>
      <c r="F14" s="24">
        <v>13.25</v>
      </c>
      <c r="G14" s="24">
        <v>0</v>
      </c>
      <c r="H14" s="24" t="s">
        <v>22</v>
      </c>
      <c r="I14" s="24" t="s">
        <v>22</v>
      </c>
      <c r="J14" s="24">
        <v>2</v>
      </c>
      <c r="K14" s="33">
        <v>0.63719999999999999</v>
      </c>
      <c r="L14" s="19">
        <f t="shared" si="0"/>
        <v>12.975</v>
      </c>
      <c r="R14">
        <f t="shared" si="1"/>
        <v>1.3085581661057932</v>
      </c>
      <c r="S14" s="30" t="s">
        <v>149</v>
      </c>
      <c r="T14" s="31">
        <v>99.14</v>
      </c>
      <c r="U14" s="31">
        <v>101.89</v>
      </c>
      <c r="V14" s="31">
        <v>95.77</v>
      </c>
      <c r="W14" s="31">
        <v>100.37</v>
      </c>
      <c r="X14" s="31">
        <v>100.37</v>
      </c>
      <c r="Y14" s="31" t="s">
        <v>150</v>
      </c>
      <c r="Z14" s="19">
        <f t="shared" si="2"/>
        <v>-7.3222530009233538E-2</v>
      </c>
    </row>
    <row r="15" spans="1:33" ht="58.2" thickBot="1" x14ac:dyDescent="0.35">
      <c r="A15" s="17" t="s">
        <v>57</v>
      </c>
      <c r="B15" s="24" t="s">
        <v>58</v>
      </c>
      <c r="C15" s="18">
        <v>104</v>
      </c>
      <c r="D15" s="24">
        <v>15.85</v>
      </c>
      <c r="E15" s="24">
        <v>11.8</v>
      </c>
      <c r="F15" s="24">
        <v>12.6</v>
      </c>
      <c r="G15" s="24">
        <v>0</v>
      </c>
      <c r="H15" s="24" t="s">
        <v>22</v>
      </c>
      <c r="I15" s="24" t="s">
        <v>22</v>
      </c>
      <c r="J15" s="24">
        <v>1</v>
      </c>
      <c r="K15" s="33">
        <v>0.62380000000000002</v>
      </c>
      <c r="L15" s="19">
        <f t="shared" si="0"/>
        <v>12.2</v>
      </c>
      <c r="R15">
        <f t="shared" si="1"/>
        <v>1.3085581661057932</v>
      </c>
      <c r="S15" s="30" t="s">
        <v>151</v>
      </c>
      <c r="T15" s="31">
        <v>92</v>
      </c>
      <c r="U15" s="31">
        <v>105.74</v>
      </c>
      <c r="V15" s="31">
        <v>87.12</v>
      </c>
      <c r="W15" s="31">
        <v>104.98</v>
      </c>
      <c r="X15" s="31">
        <v>104.98</v>
      </c>
      <c r="Y15" s="31" t="s">
        <v>152</v>
      </c>
      <c r="Z15" s="19">
        <f t="shared" si="2"/>
        <v>4.5930058782504724E-2</v>
      </c>
    </row>
    <row r="16" spans="1:33" ht="58.2" thickBot="1" x14ac:dyDescent="0.35">
      <c r="A16" s="17" t="s">
        <v>59</v>
      </c>
      <c r="B16" s="24" t="s">
        <v>31</v>
      </c>
      <c r="C16" s="18">
        <v>105</v>
      </c>
      <c r="D16" s="24">
        <v>12.15</v>
      </c>
      <c r="E16" s="24">
        <v>11.35</v>
      </c>
      <c r="F16" s="24">
        <v>11.9</v>
      </c>
      <c r="G16" s="24">
        <v>-0.96</v>
      </c>
      <c r="H16" s="25">
        <v>-7.3200000000000001E-2</v>
      </c>
      <c r="I16" s="24">
        <v>195</v>
      </c>
      <c r="J16" s="24">
        <v>9</v>
      </c>
      <c r="K16" s="33">
        <v>0.626</v>
      </c>
      <c r="L16" s="19">
        <f t="shared" si="0"/>
        <v>11.625</v>
      </c>
      <c r="R16">
        <f t="shared" si="1"/>
        <v>1.3085581661057932</v>
      </c>
      <c r="S16" s="30" t="s">
        <v>153</v>
      </c>
      <c r="T16" s="31">
        <v>75.099999999999994</v>
      </c>
      <c r="U16" s="31">
        <v>80.14</v>
      </c>
      <c r="V16" s="31">
        <v>73.28</v>
      </c>
      <c r="W16" s="31">
        <v>76.760000000000005</v>
      </c>
      <c r="X16" s="31">
        <v>76.760000000000005</v>
      </c>
      <c r="Y16" s="31" t="s">
        <v>154</v>
      </c>
      <c r="Z16" s="19">
        <f t="shared" si="2"/>
        <v>-0.26881310725852542</v>
      </c>
    </row>
    <row r="17" spans="1:26" ht="58.2" thickBot="1" x14ac:dyDescent="0.35">
      <c r="A17" s="17" t="s">
        <v>60</v>
      </c>
      <c r="B17" s="24" t="s">
        <v>61</v>
      </c>
      <c r="C17" s="18">
        <v>107</v>
      </c>
      <c r="D17" s="24">
        <v>14.17</v>
      </c>
      <c r="E17" s="24">
        <v>10.050000000000001</v>
      </c>
      <c r="F17" s="24">
        <v>10.7</v>
      </c>
      <c r="G17" s="24">
        <v>0</v>
      </c>
      <c r="H17" s="24" t="s">
        <v>22</v>
      </c>
      <c r="I17" s="24">
        <v>10</v>
      </c>
      <c r="J17" s="24">
        <v>11</v>
      </c>
      <c r="K17" s="33">
        <v>0.61729999999999996</v>
      </c>
      <c r="L17" s="19">
        <f t="shared" si="0"/>
        <v>10.375</v>
      </c>
      <c r="R17">
        <f t="shared" si="1"/>
        <v>1.3085581661057932</v>
      </c>
      <c r="S17" s="30" t="s">
        <v>155</v>
      </c>
      <c r="T17" s="31">
        <v>80.7</v>
      </c>
      <c r="U17" s="31">
        <v>82.45</v>
      </c>
      <c r="V17" s="31">
        <v>77.08</v>
      </c>
      <c r="W17" s="31">
        <v>77.760000000000005</v>
      </c>
      <c r="X17" s="31">
        <v>77.760000000000005</v>
      </c>
      <c r="Y17" s="31" t="s">
        <v>156</v>
      </c>
      <c r="Z17" s="19">
        <f t="shared" si="2"/>
        <v>1.3027618551328815E-2</v>
      </c>
    </row>
    <row r="18" spans="1:26" ht="58.2" thickBot="1" x14ac:dyDescent="0.35">
      <c r="A18" s="17" t="s">
        <v>62</v>
      </c>
      <c r="B18" s="24" t="s">
        <v>63</v>
      </c>
      <c r="C18" s="18">
        <v>108</v>
      </c>
      <c r="D18" s="24">
        <v>9.6</v>
      </c>
      <c r="E18" s="24">
        <v>9.5500000000000007</v>
      </c>
      <c r="F18" s="24">
        <v>10.1</v>
      </c>
      <c r="G18" s="24">
        <v>0.62</v>
      </c>
      <c r="H18" s="25">
        <v>6.9000000000000006E-2</v>
      </c>
      <c r="I18" s="24">
        <v>1</v>
      </c>
      <c r="J18" s="24">
        <v>10</v>
      </c>
      <c r="K18" s="33">
        <v>0.61670000000000003</v>
      </c>
      <c r="L18" s="19">
        <f t="shared" si="0"/>
        <v>9.8249999999999993</v>
      </c>
      <c r="R18">
        <f t="shared" si="1"/>
        <v>1.3085581661057932</v>
      </c>
      <c r="S18" s="30" t="s">
        <v>157</v>
      </c>
      <c r="T18" s="31">
        <v>93.26</v>
      </c>
      <c r="U18" s="31">
        <v>93.95</v>
      </c>
      <c r="V18" s="31">
        <v>86.68</v>
      </c>
      <c r="W18" s="31">
        <v>86.71</v>
      </c>
      <c r="X18" s="31">
        <v>86.71</v>
      </c>
      <c r="Y18" s="31" t="s">
        <v>158</v>
      </c>
      <c r="Z18" s="19">
        <f t="shared" si="2"/>
        <v>0.11509773662551424</v>
      </c>
    </row>
    <row r="19" spans="1:26" ht="58.2" thickBot="1" x14ac:dyDescent="0.35">
      <c r="A19" s="17" t="s">
        <v>64</v>
      </c>
      <c r="B19" s="24" t="s">
        <v>32</v>
      </c>
      <c r="C19" s="18">
        <v>109</v>
      </c>
      <c r="D19" s="24">
        <v>9.5</v>
      </c>
      <c r="E19" s="24">
        <v>8.9499999999999993</v>
      </c>
      <c r="F19" s="24">
        <v>9.25</v>
      </c>
      <c r="G19" s="24">
        <v>-1.46</v>
      </c>
      <c r="H19" s="25">
        <v>-0.13320000000000001</v>
      </c>
      <c r="I19" s="24">
        <v>2</v>
      </c>
      <c r="J19" s="24">
        <v>56</v>
      </c>
      <c r="K19" s="33">
        <v>0.60099999999999998</v>
      </c>
      <c r="L19" s="19">
        <f t="shared" si="0"/>
        <v>9.1</v>
      </c>
      <c r="R19">
        <f t="shared" si="1"/>
        <v>1.3085581661057932</v>
      </c>
      <c r="S19" s="30" t="s">
        <v>159</v>
      </c>
      <c r="T19" s="31">
        <v>95.19</v>
      </c>
      <c r="U19" s="31">
        <v>95.7</v>
      </c>
      <c r="V19" s="31">
        <v>90.82</v>
      </c>
      <c r="W19" s="31">
        <v>92.92</v>
      </c>
      <c r="X19" s="31">
        <v>92.92</v>
      </c>
      <c r="Y19" s="31" t="s">
        <v>160</v>
      </c>
      <c r="Z19" s="19">
        <f t="shared" si="2"/>
        <v>7.1618037135278617E-2</v>
      </c>
    </row>
    <row r="20" spans="1:26" ht="58.2" thickBot="1" x14ac:dyDescent="0.35">
      <c r="A20" s="17" t="s">
        <v>65</v>
      </c>
      <c r="B20" s="24" t="s">
        <v>30</v>
      </c>
      <c r="C20" s="18">
        <v>110</v>
      </c>
      <c r="D20" s="24">
        <v>8.9</v>
      </c>
      <c r="E20" s="24">
        <v>8.4499999999999993</v>
      </c>
      <c r="F20" s="24">
        <v>8.9</v>
      </c>
      <c r="G20" s="24">
        <v>-2.69</v>
      </c>
      <c r="H20" s="25">
        <v>-0.2321</v>
      </c>
      <c r="I20" s="24">
        <v>10</v>
      </c>
      <c r="J20" s="24">
        <v>54</v>
      </c>
      <c r="K20" s="33">
        <v>0.6069</v>
      </c>
      <c r="L20" s="19">
        <f t="shared" si="0"/>
        <v>8.6750000000000007</v>
      </c>
      <c r="R20">
        <f t="shared" si="1"/>
        <v>1.3085581661057932</v>
      </c>
      <c r="S20" s="30" t="s">
        <v>161</v>
      </c>
      <c r="T20" s="31">
        <v>100.26</v>
      </c>
      <c r="U20" s="31">
        <v>100.97</v>
      </c>
      <c r="V20" s="31">
        <v>98.32</v>
      </c>
      <c r="W20" s="31">
        <v>100.93</v>
      </c>
      <c r="X20" s="31">
        <v>100.93</v>
      </c>
      <c r="Y20" s="31" t="s">
        <v>162</v>
      </c>
      <c r="Z20" s="19">
        <f t="shared" si="2"/>
        <v>8.6203185535944957E-2</v>
      </c>
    </row>
    <row r="21" spans="1:26" ht="58.2" thickBot="1" x14ac:dyDescent="0.35">
      <c r="A21" s="40" t="s">
        <v>66</v>
      </c>
      <c r="B21" s="41" t="s">
        <v>44</v>
      </c>
      <c r="C21" s="42">
        <v>111</v>
      </c>
      <c r="D21" s="41">
        <v>8.4</v>
      </c>
      <c r="E21" s="41">
        <v>7.9</v>
      </c>
      <c r="F21" s="41">
        <v>8.35</v>
      </c>
      <c r="G21" s="41">
        <v>-2.4</v>
      </c>
      <c r="H21" s="43">
        <v>-0.22220000000000001</v>
      </c>
      <c r="I21" s="41">
        <v>1</v>
      </c>
      <c r="J21" s="41">
        <v>79</v>
      </c>
      <c r="K21" s="44">
        <v>0.60189999999999999</v>
      </c>
      <c r="L21" s="45">
        <f t="shared" si="0"/>
        <v>8.125</v>
      </c>
      <c r="M21" s="39"/>
      <c r="N21" s="39"/>
      <c r="R21">
        <f t="shared" si="1"/>
        <v>1.3085581661057932</v>
      </c>
      <c r="S21" s="30" t="s">
        <v>163</v>
      </c>
      <c r="T21" s="31">
        <v>99.32</v>
      </c>
      <c r="U21" s="31">
        <v>100.91</v>
      </c>
      <c r="V21" s="31">
        <v>95.57</v>
      </c>
      <c r="W21" s="31">
        <v>97.5</v>
      </c>
      <c r="X21" s="31">
        <v>97.5</v>
      </c>
      <c r="Y21" s="31" t="s">
        <v>164</v>
      </c>
      <c r="Z21" s="19">
        <f t="shared" si="2"/>
        <v>-3.3983949271772583E-2</v>
      </c>
    </row>
    <row r="22" spans="1:26" ht="58.2" thickBot="1" x14ac:dyDescent="0.35">
      <c r="A22" s="17" t="s">
        <v>67</v>
      </c>
      <c r="B22" s="24" t="s">
        <v>68</v>
      </c>
      <c r="C22" s="18">
        <v>112</v>
      </c>
      <c r="D22" s="24">
        <v>7.75</v>
      </c>
      <c r="E22" s="24">
        <v>7.55</v>
      </c>
      <c r="F22" s="24">
        <v>7.85</v>
      </c>
      <c r="G22" s="24">
        <v>-1.38</v>
      </c>
      <c r="H22" s="25">
        <v>-0.1512</v>
      </c>
      <c r="I22" s="24">
        <v>2</v>
      </c>
      <c r="J22" s="24">
        <v>70</v>
      </c>
      <c r="K22" s="33">
        <v>0.60489999999999999</v>
      </c>
      <c r="L22" s="19">
        <f t="shared" si="0"/>
        <v>7.6999999999999993</v>
      </c>
      <c r="R22">
        <f t="shared" si="1"/>
        <v>1.3085581661057932</v>
      </c>
      <c r="S22" s="30" t="s">
        <v>165</v>
      </c>
      <c r="T22" s="31">
        <v>99.56</v>
      </c>
      <c r="U22" s="31">
        <v>103.36</v>
      </c>
      <c r="V22" s="31">
        <v>98.6</v>
      </c>
      <c r="W22" s="31">
        <v>98.66</v>
      </c>
      <c r="X22" s="31">
        <v>98.66</v>
      </c>
      <c r="Y22" s="31" t="s">
        <v>166</v>
      </c>
      <c r="Z22" s="19">
        <f t="shared" si="2"/>
        <v>1.1897435897435863E-2</v>
      </c>
    </row>
    <row r="23" spans="1:26" ht="58.2" thickBot="1" x14ac:dyDescent="0.35">
      <c r="A23" s="17" t="s">
        <v>69</v>
      </c>
      <c r="B23" s="24" t="s">
        <v>28</v>
      </c>
      <c r="C23" s="18">
        <v>113</v>
      </c>
      <c r="D23" s="24">
        <v>7.24</v>
      </c>
      <c r="E23" s="24">
        <v>7</v>
      </c>
      <c r="F23" s="24">
        <v>7.35</v>
      </c>
      <c r="G23" s="24">
        <v>-3.76</v>
      </c>
      <c r="H23" s="25">
        <v>-0.34179999999999999</v>
      </c>
      <c r="I23" s="24">
        <v>11</v>
      </c>
      <c r="J23" s="24">
        <v>32</v>
      </c>
      <c r="K23" s="33">
        <v>0.59860000000000002</v>
      </c>
      <c r="L23" s="19">
        <f t="shared" si="0"/>
        <v>7.1749999999999998</v>
      </c>
      <c r="R23">
        <f t="shared" si="1"/>
        <v>1.3085581661057932</v>
      </c>
    </row>
    <row r="24" spans="1:26" ht="58.2" thickBot="1" x14ac:dyDescent="0.35">
      <c r="A24" s="17" t="s">
        <v>70</v>
      </c>
      <c r="B24" s="24" t="s">
        <v>71</v>
      </c>
      <c r="C24" s="18">
        <v>114</v>
      </c>
      <c r="D24" s="24">
        <v>7</v>
      </c>
      <c r="E24" s="24">
        <v>6.55</v>
      </c>
      <c r="F24" s="24">
        <v>6.9</v>
      </c>
      <c r="G24" s="24">
        <v>-3.05</v>
      </c>
      <c r="H24" s="25">
        <v>-0.30349999999999999</v>
      </c>
      <c r="I24" s="24">
        <v>3</v>
      </c>
      <c r="J24" s="24">
        <v>64</v>
      </c>
      <c r="K24" s="33">
        <v>0.59670000000000001</v>
      </c>
      <c r="L24" s="19">
        <f t="shared" si="0"/>
        <v>6.7249999999999996</v>
      </c>
      <c r="R24">
        <f t="shared" si="1"/>
        <v>1.3085581661057932</v>
      </c>
    </row>
    <row r="25" spans="1:26" ht="58.2" thickBot="1" x14ac:dyDescent="0.35">
      <c r="A25" s="17" t="s">
        <v>72</v>
      </c>
      <c r="B25" s="24" t="s">
        <v>73</v>
      </c>
      <c r="C25" s="18">
        <v>115</v>
      </c>
      <c r="D25" s="24">
        <v>6.41</v>
      </c>
      <c r="E25" s="24">
        <v>6.15</v>
      </c>
      <c r="F25" s="24">
        <v>6.4</v>
      </c>
      <c r="G25" s="24">
        <v>-2.79</v>
      </c>
      <c r="H25" s="25">
        <v>-0.30330000000000001</v>
      </c>
      <c r="I25" s="24">
        <v>10</v>
      </c>
      <c r="J25" s="24">
        <v>290</v>
      </c>
      <c r="K25" s="33">
        <v>0.59330000000000005</v>
      </c>
      <c r="L25" s="19">
        <f t="shared" si="0"/>
        <v>6.2750000000000004</v>
      </c>
      <c r="R25">
        <f t="shared" si="1"/>
        <v>1.3085581661057932</v>
      </c>
    </row>
    <row r="26" spans="1:26" ht="58.2" thickBot="1" x14ac:dyDescent="0.35">
      <c r="A26" s="17" t="s">
        <v>74</v>
      </c>
      <c r="B26" s="24" t="s">
        <v>29</v>
      </c>
      <c r="C26" s="18">
        <v>116</v>
      </c>
      <c r="D26" s="24">
        <v>6.1</v>
      </c>
      <c r="E26" s="24">
        <v>5.85</v>
      </c>
      <c r="F26" s="24">
        <v>6.1</v>
      </c>
      <c r="G26" s="24">
        <v>-2.5499999999999998</v>
      </c>
      <c r="H26" s="25">
        <v>-0.29480000000000001</v>
      </c>
      <c r="I26" s="24">
        <v>10</v>
      </c>
      <c r="J26" s="24">
        <v>38</v>
      </c>
      <c r="K26" s="33">
        <v>0.59989999999999999</v>
      </c>
      <c r="L26" s="19">
        <f t="shared" si="0"/>
        <v>5.9749999999999996</v>
      </c>
      <c r="R26">
        <f t="shared" si="1"/>
        <v>1.3085581661057932</v>
      </c>
    </row>
    <row r="27" spans="1:26" ht="58.2" thickBot="1" x14ac:dyDescent="0.35">
      <c r="A27" s="17" t="s">
        <v>75</v>
      </c>
      <c r="B27" s="24" t="s">
        <v>76</v>
      </c>
      <c r="C27" s="18">
        <v>117</v>
      </c>
      <c r="D27" s="24">
        <v>5.7</v>
      </c>
      <c r="E27" s="24">
        <v>5.5</v>
      </c>
      <c r="F27" s="24">
        <v>5.7</v>
      </c>
      <c r="G27" s="24">
        <v>-2.57</v>
      </c>
      <c r="H27" s="25">
        <v>-0.31080000000000002</v>
      </c>
      <c r="I27" s="24">
        <v>26</v>
      </c>
      <c r="J27" s="24">
        <v>37</v>
      </c>
      <c r="K27" s="33">
        <v>0.59919999999999995</v>
      </c>
      <c r="L27" s="19">
        <f t="shared" si="0"/>
        <v>5.6</v>
      </c>
      <c r="R27">
        <f t="shared" si="1"/>
        <v>1.3085581661057932</v>
      </c>
    </row>
    <row r="28" spans="1:26" ht="58.2" thickBot="1" x14ac:dyDescent="0.35">
      <c r="A28" s="17" t="s">
        <v>77</v>
      </c>
      <c r="B28" s="24" t="s">
        <v>23</v>
      </c>
      <c r="C28" s="18">
        <v>118</v>
      </c>
      <c r="D28" s="24">
        <v>5.3</v>
      </c>
      <c r="E28" s="24">
        <v>5</v>
      </c>
      <c r="F28" s="24">
        <v>5.55</v>
      </c>
      <c r="G28" s="24">
        <v>-2.6</v>
      </c>
      <c r="H28" s="25">
        <v>-0.3291</v>
      </c>
      <c r="I28" s="24">
        <v>1</v>
      </c>
      <c r="J28" s="24">
        <v>37</v>
      </c>
      <c r="K28" s="33">
        <v>0.60109999999999997</v>
      </c>
      <c r="L28" s="19">
        <f t="shared" si="0"/>
        <v>5.2750000000000004</v>
      </c>
      <c r="R28">
        <f t="shared" si="1"/>
        <v>1.3085581661057932</v>
      </c>
    </row>
    <row r="29" spans="1:26" ht="58.2" thickBot="1" x14ac:dyDescent="0.35">
      <c r="A29" s="17" t="s">
        <v>78</v>
      </c>
      <c r="B29" s="24" t="s">
        <v>24</v>
      </c>
      <c r="C29" s="18">
        <v>119</v>
      </c>
      <c r="D29" s="24">
        <v>5.05</v>
      </c>
      <c r="E29" s="24">
        <v>4.5999999999999996</v>
      </c>
      <c r="F29" s="24">
        <v>4.95</v>
      </c>
      <c r="G29" s="24">
        <v>-2</v>
      </c>
      <c r="H29" s="25">
        <v>-0.28370000000000001</v>
      </c>
      <c r="I29" s="24">
        <v>4</v>
      </c>
      <c r="J29" s="24">
        <v>31</v>
      </c>
      <c r="K29" s="33">
        <v>0.58789999999999998</v>
      </c>
      <c r="L29" s="19">
        <f t="shared" si="0"/>
        <v>4.7750000000000004</v>
      </c>
      <c r="R29">
        <f t="shared" si="1"/>
        <v>1.3085581661057932</v>
      </c>
    </row>
    <row r="30" spans="1:26" ht="58.2" thickBot="1" x14ac:dyDescent="0.35">
      <c r="A30" s="17" t="s">
        <v>79</v>
      </c>
      <c r="B30" s="24" t="s">
        <v>25</v>
      </c>
      <c r="C30" s="18">
        <v>120</v>
      </c>
      <c r="D30" s="24">
        <v>4.5999999999999996</v>
      </c>
      <c r="E30" s="24">
        <v>4.5</v>
      </c>
      <c r="F30" s="24">
        <v>4.75</v>
      </c>
      <c r="G30" s="24">
        <v>-2.4</v>
      </c>
      <c r="H30" s="25">
        <v>-0.34289999999999998</v>
      </c>
      <c r="I30" s="24">
        <v>34</v>
      </c>
      <c r="J30" s="24">
        <v>68</v>
      </c>
      <c r="K30" s="33">
        <v>0.60099999999999998</v>
      </c>
      <c r="L30" s="19">
        <f t="shared" si="0"/>
        <v>4.625</v>
      </c>
      <c r="R30">
        <f t="shared" si="1"/>
        <v>1.3085581661057932</v>
      </c>
    </row>
    <row r="31" spans="1:26" ht="58.2" thickBot="1" x14ac:dyDescent="0.35">
      <c r="A31" s="17" t="s">
        <v>80</v>
      </c>
      <c r="B31" s="24" t="s">
        <v>81</v>
      </c>
      <c r="C31" s="18">
        <v>121</v>
      </c>
      <c r="D31" s="24">
        <v>4.6500000000000004</v>
      </c>
      <c r="E31" s="24">
        <v>4.0999999999999996</v>
      </c>
      <c r="F31" s="24">
        <v>4.3</v>
      </c>
      <c r="G31" s="24">
        <v>-1.7</v>
      </c>
      <c r="H31" s="25">
        <v>-0.26769999999999999</v>
      </c>
      <c r="I31" s="24">
        <v>2</v>
      </c>
      <c r="J31" s="24">
        <v>20</v>
      </c>
      <c r="K31" s="33">
        <v>0.59060000000000001</v>
      </c>
      <c r="L31" s="19">
        <f t="shared" si="0"/>
        <v>4.1999999999999993</v>
      </c>
      <c r="R31">
        <f t="shared" si="1"/>
        <v>1.3085581661057932</v>
      </c>
    </row>
    <row r="32" spans="1:26" ht="58.2" thickBot="1" x14ac:dyDescent="0.35">
      <c r="A32" s="17" t="s">
        <v>82</v>
      </c>
      <c r="B32" s="24" t="s">
        <v>83</v>
      </c>
      <c r="C32" s="18">
        <v>122</v>
      </c>
      <c r="D32" s="24">
        <v>4.79</v>
      </c>
      <c r="E32" s="24">
        <v>3.75</v>
      </c>
      <c r="F32" s="24">
        <v>4.0999999999999996</v>
      </c>
      <c r="G32" s="24">
        <v>-0.59</v>
      </c>
      <c r="H32" s="25">
        <v>-0.10970000000000001</v>
      </c>
      <c r="I32" s="24">
        <v>3</v>
      </c>
      <c r="J32" s="24">
        <v>6</v>
      </c>
      <c r="K32" s="33">
        <v>0.59109999999999996</v>
      </c>
      <c r="L32" s="19">
        <f t="shared" si="0"/>
        <v>3.9249999999999998</v>
      </c>
      <c r="R32">
        <f t="shared" si="1"/>
        <v>1.3085581661057932</v>
      </c>
    </row>
    <row r="33" spans="1:18" ht="58.2" thickBot="1" x14ac:dyDescent="0.35">
      <c r="A33" s="17" t="s">
        <v>84</v>
      </c>
      <c r="B33" s="24" t="s">
        <v>85</v>
      </c>
      <c r="C33" s="18">
        <v>123</v>
      </c>
      <c r="D33" s="24">
        <v>3.75</v>
      </c>
      <c r="E33" s="24">
        <v>3.4</v>
      </c>
      <c r="F33" s="24">
        <v>3.8</v>
      </c>
      <c r="G33" s="24">
        <v>-1.95</v>
      </c>
      <c r="H33" s="25">
        <v>-0.34210000000000002</v>
      </c>
      <c r="I33" s="24">
        <v>4</v>
      </c>
      <c r="J33" s="24">
        <v>11</v>
      </c>
      <c r="K33" s="33">
        <v>0.58609999999999995</v>
      </c>
      <c r="L33" s="19">
        <f t="shared" si="0"/>
        <v>3.5999999999999996</v>
      </c>
      <c r="R33">
        <f t="shared" si="1"/>
        <v>1.3085581661057932</v>
      </c>
    </row>
    <row r="34" spans="1:18" ht="58.2" thickBot="1" x14ac:dyDescent="0.35">
      <c r="A34" s="17" t="s">
        <v>86</v>
      </c>
      <c r="B34" s="24" t="s">
        <v>87</v>
      </c>
      <c r="C34" s="18">
        <v>124</v>
      </c>
      <c r="D34" s="24">
        <v>3.45</v>
      </c>
      <c r="E34" s="24">
        <v>3.3</v>
      </c>
      <c r="F34" s="24">
        <v>3.55</v>
      </c>
      <c r="G34" s="24">
        <v>-1.95</v>
      </c>
      <c r="H34" s="25">
        <v>-0.36109999999999998</v>
      </c>
      <c r="I34" s="24">
        <v>2</v>
      </c>
      <c r="J34" s="24">
        <v>11</v>
      </c>
      <c r="K34" s="33">
        <v>0.59250000000000003</v>
      </c>
      <c r="L34" s="19">
        <f t="shared" ref="L34:L50" si="3">AVERAGE(E34,F34)</f>
        <v>3.4249999999999998</v>
      </c>
      <c r="R34">
        <f t="shared" si="1"/>
        <v>1.3085581661057932</v>
      </c>
    </row>
    <row r="35" spans="1:18" ht="58.2" thickBot="1" x14ac:dyDescent="0.35">
      <c r="A35" s="17" t="s">
        <v>88</v>
      </c>
      <c r="B35" s="24" t="s">
        <v>89</v>
      </c>
      <c r="C35" s="18">
        <v>125</v>
      </c>
      <c r="D35" s="24">
        <v>3.68</v>
      </c>
      <c r="E35" s="24">
        <v>3.15</v>
      </c>
      <c r="F35" s="24">
        <v>3.2</v>
      </c>
      <c r="G35" s="24">
        <v>-1.32</v>
      </c>
      <c r="H35" s="25">
        <v>-0.26400000000000001</v>
      </c>
      <c r="I35" s="24">
        <v>1</v>
      </c>
      <c r="J35" s="24">
        <v>50</v>
      </c>
      <c r="K35" s="33">
        <v>0.59119999999999995</v>
      </c>
      <c r="L35" s="19">
        <f t="shared" si="3"/>
        <v>3.1749999999999998</v>
      </c>
      <c r="R35">
        <f t="shared" si="1"/>
        <v>1.3085581661057932</v>
      </c>
    </row>
    <row r="36" spans="1:18" ht="58.2" thickBot="1" x14ac:dyDescent="0.35">
      <c r="A36" s="17" t="s">
        <v>90</v>
      </c>
      <c r="B36" s="24" t="s">
        <v>91</v>
      </c>
      <c r="C36" s="18">
        <v>126</v>
      </c>
      <c r="D36" s="24">
        <v>4.68</v>
      </c>
      <c r="E36" s="24">
        <v>2.76</v>
      </c>
      <c r="F36" s="24">
        <v>3.1</v>
      </c>
      <c r="G36" s="24">
        <v>0</v>
      </c>
      <c r="H36" s="24" t="s">
        <v>22</v>
      </c>
      <c r="I36" s="24">
        <v>2</v>
      </c>
      <c r="J36" s="24">
        <v>23</v>
      </c>
      <c r="K36" s="33">
        <v>0.58909999999999996</v>
      </c>
      <c r="L36" s="19">
        <f t="shared" si="3"/>
        <v>2.9299999999999997</v>
      </c>
      <c r="R36">
        <f t="shared" si="1"/>
        <v>1.3085581661057932</v>
      </c>
    </row>
    <row r="37" spans="1:18" ht="58.2" thickBot="1" x14ac:dyDescent="0.35">
      <c r="A37" s="17" t="s">
        <v>92</v>
      </c>
      <c r="B37" s="24" t="s">
        <v>25</v>
      </c>
      <c r="C37" s="18">
        <v>127</v>
      </c>
      <c r="D37" s="24">
        <v>2.78</v>
      </c>
      <c r="E37" s="24">
        <v>2.57</v>
      </c>
      <c r="F37" s="24">
        <v>2.88</v>
      </c>
      <c r="G37" s="24">
        <v>-1.54</v>
      </c>
      <c r="H37" s="25">
        <v>-0.35649999999999998</v>
      </c>
      <c r="I37" s="24">
        <v>3</v>
      </c>
      <c r="J37" s="24">
        <v>118</v>
      </c>
      <c r="K37" s="33">
        <v>0.58940000000000003</v>
      </c>
      <c r="L37" s="19">
        <f t="shared" si="3"/>
        <v>2.7249999999999996</v>
      </c>
      <c r="R37">
        <f t="shared" si="1"/>
        <v>1.3085581661057932</v>
      </c>
    </row>
    <row r="38" spans="1:18" ht="58.2" thickBot="1" x14ac:dyDescent="0.35">
      <c r="A38" s="17" t="s">
        <v>93</v>
      </c>
      <c r="B38" s="24" t="s">
        <v>27</v>
      </c>
      <c r="C38" s="18">
        <v>128</v>
      </c>
      <c r="D38" s="24">
        <v>2.54</v>
      </c>
      <c r="E38" s="24">
        <v>2.4500000000000002</v>
      </c>
      <c r="F38" s="24">
        <v>2.7</v>
      </c>
      <c r="G38" s="24">
        <v>-1.39</v>
      </c>
      <c r="H38" s="25">
        <v>-0.35370000000000001</v>
      </c>
      <c r="I38" s="24">
        <v>4</v>
      </c>
      <c r="J38" s="24">
        <v>12</v>
      </c>
      <c r="K38" s="33">
        <v>0.59379999999999999</v>
      </c>
      <c r="L38" s="19">
        <f t="shared" si="3"/>
        <v>2.5750000000000002</v>
      </c>
      <c r="R38">
        <f t="shared" si="1"/>
        <v>1.3085581661057932</v>
      </c>
    </row>
    <row r="39" spans="1:18" ht="58.2" thickBot="1" x14ac:dyDescent="0.35">
      <c r="A39" s="17" t="s">
        <v>94</v>
      </c>
      <c r="B39" s="24" t="s">
        <v>95</v>
      </c>
      <c r="C39" s="18">
        <v>130</v>
      </c>
      <c r="D39" s="24">
        <v>2.35</v>
      </c>
      <c r="E39" s="24">
        <v>2.15</v>
      </c>
      <c r="F39" s="24">
        <v>2.37</v>
      </c>
      <c r="G39" s="24">
        <v>-0.99</v>
      </c>
      <c r="H39" s="25">
        <v>-0.2964</v>
      </c>
      <c r="I39" s="24">
        <v>8</v>
      </c>
      <c r="J39" s="24">
        <v>125</v>
      </c>
      <c r="K39" s="33">
        <v>0.59809999999999997</v>
      </c>
      <c r="L39" s="19">
        <f t="shared" si="3"/>
        <v>2.2599999999999998</v>
      </c>
      <c r="R39">
        <f t="shared" si="1"/>
        <v>1.3085581661057932</v>
      </c>
    </row>
    <row r="40" spans="1:18" ht="58.2" thickBot="1" x14ac:dyDescent="0.35">
      <c r="A40" s="17" t="s">
        <v>96</v>
      </c>
      <c r="B40" s="24" t="s">
        <v>97</v>
      </c>
      <c r="C40" s="18">
        <v>135</v>
      </c>
      <c r="D40" s="24">
        <v>1.75</v>
      </c>
      <c r="E40" s="24">
        <v>1.56</v>
      </c>
      <c r="F40" s="24">
        <v>1.97</v>
      </c>
      <c r="G40" s="24">
        <v>-0.62</v>
      </c>
      <c r="H40" s="25">
        <v>-0.2616</v>
      </c>
      <c r="I40" s="24">
        <v>2</v>
      </c>
      <c r="J40" s="24">
        <v>324</v>
      </c>
      <c r="K40" s="33">
        <v>0.62549999999999994</v>
      </c>
      <c r="L40" s="19">
        <f t="shared" si="3"/>
        <v>1.7650000000000001</v>
      </c>
      <c r="R40">
        <f t="shared" si="1"/>
        <v>1.3085581661057932</v>
      </c>
    </row>
    <row r="41" spans="1:18" ht="58.2" thickBot="1" x14ac:dyDescent="0.35">
      <c r="A41" s="17" t="s">
        <v>98</v>
      </c>
      <c r="B41" s="24" t="s">
        <v>99</v>
      </c>
      <c r="C41" s="18">
        <v>140</v>
      </c>
      <c r="D41" s="24">
        <v>1.18</v>
      </c>
      <c r="E41" s="24">
        <v>1.1200000000000001</v>
      </c>
      <c r="F41" s="24">
        <v>1.2</v>
      </c>
      <c r="G41" s="24">
        <v>-0.67</v>
      </c>
      <c r="H41" s="25">
        <v>-0.36220000000000002</v>
      </c>
      <c r="I41" s="24">
        <v>34</v>
      </c>
      <c r="J41" s="24">
        <v>263</v>
      </c>
      <c r="K41" s="33">
        <v>0.61770000000000003</v>
      </c>
      <c r="L41" s="19">
        <f t="shared" si="3"/>
        <v>1.1600000000000001</v>
      </c>
      <c r="R41">
        <f t="shared" si="1"/>
        <v>1.3085581661057932</v>
      </c>
    </row>
    <row r="42" spans="1:18" ht="58.2" thickBot="1" x14ac:dyDescent="0.35">
      <c r="A42" s="17" t="s">
        <v>100</v>
      </c>
      <c r="B42" s="24" t="s">
        <v>87</v>
      </c>
      <c r="C42" s="18">
        <v>145</v>
      </c>
      <c r="D42" s="24">
        <v>0.81</v>
      </c>
      <c r="E42" s="24">
        <v>0.78</v>
      </c>
      <c r="F42" s="24">
        <v>1</v>
      </c>
      <c r="G42" s="24">
        <v>-0.48</v>
      </c>
      <c r="H42" s="25">
        <v>-0.37209999999999999</v>
      </c>
      <c r="I42" s="24">
        <v>4</v>
      </c>
      <c r="J42" s="24">
        <v>118</v>
      </c>
      <c r="K42" s="33">
        <v>0.63770000000000004</v>
      </c>
      <c r="L42" s="19">
        <f t="shared" si="3"/>
        <v>0.89</v>
      </c>
      <c r="R42">
        <f t="shared" si="1"/>
        <v>1.3085581661057932</v>
      </c>
    </row>
    <row r="43" spans="1:18" ht="58.2" thickBot="1" x14ac:dyDescent="0.35">
      <c r="A43" s="17" t="s">
        <v>101</v>
      </c>
      <c r="B43" s="24" t="s">
        <v>25</v>
      </c>
      <c r="C43" s="18">
        <v>150</v>
      </c>
      <c r="D43" s="24">
        <v>0.62</v>
      </c>
      <c r="E43" s="24">
        <v>0.52</v>
      </c>
      <c r="F43" s="24">
        <v>0.66</v>
      </c>
      <c r="G43" s="24">
        <v>-0.1</v>
      </c>
      <c r="H43" s="25">
        <v>-0.1389</v>
      </c>
      <c r="I43" s="24">
        <v>59</v>
      </c>
      <c r="J43" s="24">
        <v>207</v>
      </c>
      <c r="K43" s="33">
        <v>0.63480000000000003</v>
      </c>
      <c r="L43" s="19">
        <f t="shared" si="3"/>
        <v>0.59000000000000008</v>
      </c>
      <c r="R43">
        <f t="shared" si="1"/>
        <v>1.3085581661057932</v>
      </c>
    </row>
    <row r="44" spans="1:18" ht="58.2" thickBot="1" x14ac:dyDescent="0.35">
      <c r="A44" s="17" t="s">
        <v>102</v>
      </c>
      <c r="B44" s="24" t="s">
        <v>103</v>
      </c>
      <c r="C44" s="18">
        <v>155</v>
      </c>
      <c r="D44" s="24">
        <v>0.61</v>
      </c>
      <c r="E44" s="24">
        <v>0.28000000000000003</v>
      </c>
      <c r="F44" s="24">
        <v>0.51</v>
      </c>
      <c r="G44" s="24">
        <v>0</v>
      </c>
      <c r="H44" s="24" t="s">
        <v>22</v>
      </c>
      <c r="I44" s="24">
        <v>32</v>
      </c>
      <c r="J44" s="24">
        <v>43</v>
      </c>
      <c r="K44" s="33">
        <v>0.63529999999999998</v>
      </c>
      <c r="L44" s="19">
        <f t="shared" si="3"/>
        <v>0.39500000000000002</v>
      </c>
      <c r="R44">
        <f t="shared" si="1"/>
        <v>1.3085581661057932</v>
      </c>
    </row>
    <row r="45" spans="1:18" ht="58.2" thickBot="1" x14ac:dyDescent="0.35">
      <c r="A45" s="17" t="s">
        <v>104</v>
      </c>
      <c r="B45" s="24" t="s">
        <v>105</v>
      </c>
      <c r="C45" s="18">
        <v>160</v>
      </c>
      <c r="D45" s="24">
        <v>0.35</v>
      </c>
      <c r="E45" s="24">
        <v>0.22</v>
      </c>
      <c r="F45" s="24">
        <v>0.52</v>
      </c>
      <c r="G45" s="24">
        <v>-0.2</v>
      </c>
      <c r="H45" s="25">
        <v>-0.36359999999999998</v>
      </c>
      <c r="I45" s="24">
        <v>3</v>
      </c>
      <c r="J45" s="24">
        <v>59</v>
      </c>
      <c r="K45" s="33">
        <v>0.67479999999999996</v>
      </c>
      <c r="L45" s="19">
        <f t="shared" si="3"/>
        <v>0.37</v>
      </c>
      <c r="R45">
        <f t="shared" si="1"/>
        <v>1.3085581661057932</v>
      </c>
    </row>
    <row r="46" spans="1:18" ht="58.2" thickBot="1" x14ac:dyDescent="0.35">
      <c r="A46" s="17" t="s">
        <v>106</v>
      </c>
      <c r="B46" s="24" t="s">
        <v>107</v>
      </c>
      <c r="C46" s="18">
        <v>165</v>
      </c>
      <c r="D46" s="24">
        <v>0.33</v>
      </c>
      <c r="E46" s="24">
        <v>0.15</v>
      </c>
      <c r="F46" s="24">
        <v>0.42</v>
      </c>
      <c r="G46" s="24">
        <v>-0.06</v>
      </c>
      <c r="H46" s="25">
        <v>-0.15379999999999999</v>
      </c>
      <c r="I46" s="24">
        <v>1</v>
      </c>
      <c r="J46" s="24">
        <v>9</v>
      </c>
      <c r="K46" s="33">
        <v>0.6885</v>
      </c>
      <c r="L46" s="19">
        <f t="shared" si="3"/>
        <v>0.28499999999999998</v>
      </c>
      <c r="R46">
        <f t="shared" si="1"/>
        <v>1.3085581661057932</v>
      </c>
    </row>
    <row r="47" spans="1:18" ht="58.2" thickBot="1" x14ac:dyDescent="0.35">
      <c r="A47" s="17" t="s">
        <v>108</v>
      </c>
      <c r="B47" s="24" t="s">
        <v>109</v>
      </c>
      <c r="C47" s="18">
        <v>170</v>
      </c>
      <c r="D47" s="24">
        <v>0.28000000000000003</v>
      </c>
      <c r="E47" s="24">
        <v>0.11</v>
      </c>
      <c r="F47" s="24">
        <v>0.35</v>
      </c>
      <c r="G47" s="24">
        <v>0</v>
      </c>
      <c r="H47" s="24" t="s">
        <v>22</v>
      </c>
      <c r="I47" s="24">
        <v>2</v>
      </c>
      <c r="J47" s="24">
        <v>11</v>
      </c>
      <c r="K47" s="33">
        <v>0.70609999999999995</v>
      </c>
      <c r="L47" s="19">
        <f t="shared" si="3"/>
        <v>0.22999999999999998</v>
      </c>
      <c r="R47">
        <f t="shared" si="1"/>
        <v>1.3085581661057932</v>
      </c>
    </row>
    <row r="48" spans="1:18" ht="58.2" thickBot="1" x14ac:dyDescent="0.35">
      <c r="A48" s="17" t="s">
        <v>110</v>
      </c>
      <c r="B48" s="24" t="s">
        <v>111</v>
      </c>
      <c r="C48" s="18">
        <v>175</v>
      </c>
      <c r="D48" s="24">
        <v>0.21</v>
      </c>
      <c r="E48" s="24">
        <v>0.08</v>
      </c>
      <c r="F48" s="24">
        <v>0.26</v>
      </c>
      <c r="G48" s="24">
        <v>0</v>
      </c>
      <c r="H48" s="24" t="s">
        <v>22</v>
      </c>
      <c r="I48" s="24">
        <v>7</v>
      </c>
      <c r="J48" s="24">
        <v>11</v>
      </c>
      <c r="K48" s="33">
        <v>0.71189999999999998</v>
      </c>
      <c r="L48" s="19">
        <f t="shared" si="3"/>
        <v>0.17</v>
      </c>
      <c r="R48">
        <f t="shared" si="1"/>
        <v>1.3085581661057932</v>
      </c>
    </row>
    <row r="49" spans="1:18" ht="58.2" thickBot="1" x14ac:dyDescent="0.35">
      <c r="A49" s="17" t="s">
        <v>112</v>
      </c>
      <c r="B49" s="24" t="s">
        <v>113</v>
      </c>
      <c r="C49" s="18">
        <v>180</v>
      </c>
      <c r="D49" s="24">
        <v>0.23</v>
      </c>
      <c r="E49" s="24">
        <v>0.05</v>
      </c>
      <c r="F49" s="24">
        <v>0.15</v>
      </c>
      <c r="G49" s="24">
        <v>0</v>
      </c>
      <c r="H49" s="24" t="s">
        <v>22</v>
      </c>
      <c r="I49" s="24">
        <v>15</v>
      </c>
      <c r="J49" s="24">
        <v>36</v>
      </c>
      <c r="K49" s="33">
        <v>0.69730000000000003</v>
      </c>
      <c r="L49" s="19">
        <f t="shared" si="3"/>
        <v>0.1</v>
      </c>
      <c r="R49">
        <f t="shared" si="1"/>
        <v>1.3085581661057932</v>
      </c>
    </row>
    <row r="50" spans="1:18" ht="57.6" x14ac:dyDescent="0.3">
      <c r="A50" s="17" t="s">
        <v>114</v>
      </c>
      <c r="B50" s="24" t="s">
        <v>115</v>
      </c>
      <c r="C50" s="18">
        <v>185</v>
      </c>
      <c r="D50" s="24">
        <v>0.1</v>
      </c>
      <c r="E50" s="24">
        <v>0.04</v>
      </c>
      <c r="F50" s="24">
        <v>0.21</v>
      </c>
      <c r="G50" s="24">
        <v>0</v>
      </c>
      <c r="H50" s="24" t="s">
        <v>22</v>
      </c>
      <c r="I50" s="24" t="s">
        <v>22</v>
      </c>
      <c r="J50" s="24">
        <v>7</v>
      </c>
      <c r="K50" s="33">
        <v>0.752</v>
      </c>
      <c r="L50" s="19">
        <f t="shared" si="3"/>
        <v>0.125</v>
      </c>
      <c r="R50">
        <f t="shared" si="1"/>
        <v>1.3085581661057932</v>
      </c>
    </row>
  </sheetData>
  <mergeCells count="1">
    <mergeCell ref="AG3:AG4"/>
  </mergeCells>
  <hyperlinks>
    <hyperlink ref="A2" r:id="rId1" display="https://finance.yahoo.com/quote/BABA220506C00045000?p=BABA220506C00045000" xr:uid="{2F486BD2-7B22-4342-AD0F-17448DF6E990}"/>
    <hyperlink ref="C2" r:id="rId2" display="https://finance.yahoo.com/quote/BABA/options?strike=45&amp;straddle=false" xr:uid="{B3E732C2-856D-4247-9318-2E73D643A3B4}"/>
    <hyperlink ref="A3" r:id="rId3" display="https://finance.yahoo.com/quote/BABA220506C00055000?p=BABA220506C00055000" xr:uid="{E2FBA2D8-F86D-4FA8-A4D3-B250391A9DA1}"/>
    <hyperlink ref="C3" r:id="rId4" display="https://finance.yahoo.com/quote/BABA/options?strike=55&amp;straddle=false" xr:uid="{2A031DBF-C2FB-4A26-BA0D-DAF5607802E5}"/>
    <hyperlink ref="A4" r:id="rId5" display="https://finance.yahoo.com/quote/BABA220506C00070000?p=BABA220506C00070000" xr:uid="{555DE59D-BEDB-4C19-99F4-2D7316C92470}"/>
    <hyperlink ref="C4" r:id="rId6" display="https://finance.yahoo.com/quote/BABA/options?strike=70&amp;straddle=false" xr:uid="{3C84E241-C1F0-427B-84D5-2D62D9556CA3}"/>
    <hyperlink ref="A5" r:id="rId7" display="https://finance.yahoo.com/quote/BABA220506C00075000?p=BABA220506C00075000" xr:uid="{1BB5FEF1-F337-4F6B-AC3A-FC927FC72D90}"/>
    <hyperlink ref="C5" r:id="rId8" display="https://finance.yahoo.com/quote/BABA/options?strike=75&amp;straddle=false" xr:uid="{DB463A8C-D4A3-4B8B-B135-33CCE7021537}"/>
    <hyperlink ref="A6" r:id="rId9" display="https://finance.yahoo.com/quote/BABA220506C00080000?p=BABA220506C00080000" xr:uid="{91D19007-A74B-48E5-8B68-BBC95D220807}"/>
    <hyperlink ref="C6" r:id="rId10" display="https://finance.yahoo.com/quote/BABA/options?strike=80&amp;straddle=false" xr:uid="{667A5A38-DB00-43F6-BC32-47F0CF5DEC25}"/>
    <hyperlink ref="A7" r:id="rId11" display="https://finance.yahoo.com/quote/BABA220506C00085000?p=BABA220506C00085000" xr:uid="{B927DDE9-8241-4B7E-B6E8-1F3B64E2EB60}"/>
    <hyperlink ref="C7" r:id="rId12" display="https://finance.yahoo.com/quote/BABA/options?strike=85&amp;straddle=false" xr:uid="{46F5D4A8-8EA6-40CA-9EFE-69D646476543}"/>
    <hyperlink ref="A8" r:id="rId13" display="https://finance.yahoo.com/quote/BABA220506C00090000?p=BABA220506C00090000" xr:uid="{6F4C4AE2-AF83-4EA2-B530-14A90D07FDD8}"/>
    <hyperlink ref="C8" r:id="rId14" display="https://finance.yahoo.com/quote/BABA/options?strike=90&amp;straddle=false" xr:uid="{8850C502-929A-478B-8D55-BCA3DADCAC94}"/>
    <hyperlink ref="A9" r:id="rId15" display="https://finance.yahoo.com/quote/BABA220506C00095000?p=BABA220506C00095000" xr:uid="{F09860EC-F852-4CEC-A4C5-682E83187AE3}"/>
    <hyperlink ref="C9" r:id="rId16" display="https://finance.yahoo.com/quote/BABA/options?strike=95&amp;straddle=false" xr:uid="{69E7AEED-9469-4437-9386-07F5C99A02F8}"/>
    <hyperlink ref="A10" r:id="rId17" display="https://finance.yahoo.com/quote/BABA220506C00099000?p=BABA220506C00099000" xr:uid="{C094CBB9-89E8-43DF-8B4B-9C7105C5471F}"/>
    <hyperlink ref="C10" r:id="rId18" display="https://finance.yahoo.com/quote/BABA/options?strike=99&amp;straddle=false" xr:uid="{0D0CBE31-56C5-460A-A8A9-BA21C529A49A}"/>
    <hyperlink ref="A11" r:id="rId19" display="https://finance.yahoo.com/quote/BABA220506C00100000?p=BABA220506C00100000" xr:uid="{1C70D60B-2308-4EA4-807E-630171B595F7}"/>
    <hyperlink ref="C11" r:id="rId20" display="https://finance.yahoo.com/quote/BABA/options?strike=100&amp;straddle=false" xr:uid="{3D3A4503-408F-4615-AAD1-04EA4501868A}"/>
    <hyperlink ref="A12" r:id="rId21" display="https://finance.yahoo.com/quote/BABA220506C00101000?p=BABA220506C00101000" xr:uid="{634C05D6-D60E-4DE6-AA65-1E77E82175FF}"/>
    <hyperlink ref="C12" r:id="rId22" display="https://finance.yahoo.com/quote/BABA/options?strike=101&amp;straddle=false" xr:uid="{03C3A441-4D16-41D6-A24D-68903B086158}"/>
    <hyperlink ref="A13" r:id="rId23" display="https://finance.yahoo.com/quote/BABA220506C00102000?p=BABA220506C00102000" xr:uid="{069E5B3A-E705-4FD6-8074-3AA0555226FE}"/>
    <hyperlink ref="C13" r:id="rId24" display="https://finance.yahoo.com/quote/BABA/options?strike=102&amp;straddle=false" xr:uid="{3714FDD5-FC74-445D-8044-89B933424B45}"/>
    <hyperlink ref="A14" r:id="rId25" display="https://finance.yahoo.com/quote/BABA220506C00103000?p=BABA220506C00103000" xr:uid="{69DC20E4-3C9B-4467-8B22-EA5AECF1F82B}"/>
    <hyperlink ref="C14" r:id="rId26" display="https://finance.yahoo.com/quote/BABA/options?strike=103&amp;straddle=false" xr:uid="{7C3748B2-9AD2-4749-BA34-54D148BA6F71}"/>
    <hyperlink ref="A15" r:id="rId27" display="https://finance.yahoo.com/quote/BABA220506C00104000?p=BABA220506C00104000" xr:uid="{58060C55-5E51-4B1C-AE87-1EAB7A1B1EC1}"/>
    <hyperlink ref="C15" r:id="rId28" display="https://finance.yahoo.com/quote/BABA/options?strike=104&amp;straddle=false" xr:uid="{028A01CC-8A02-4414-AE3D-5DC54EA91F2B}"/>
    <hyperlink ref="A16" r:id="rId29" display="https://finance.yahoo.com/quote/BABA220506C00105000?p=BABA220506C00105000" xr:uid="{996A3C77-9124-4145-A088-D4677D953882}"/>
    <hyperlink ref="C16" r:id="rId30" display="https://finance.yahoo.com/quote/BABA/options?strike=105&amp;straddle=false" xr:uid="{D909E077-2153-4552-A87E-1F42B5A7AD2D}"/>
    <hyperlink ref="A17" r:id="rId31" display="https://finance.yahoo.com/quote/BABA220506C00107000?p=BABA220506C00107000" xr:uid="{14904817-B81E-4CE7-AC13-3AE43406B185}"/>
    <hyperlink ref="C17" r:id="rId32" display="https://finance.yahoo.com/quote/BABA/options?strike=107&amp;straddle=false" xr:uid="{F03E5EEF-704F-495C-B548-CC9827B8FD36}"/>
    <hyperlink ref="A18" r:id="rId33" display="https://finance.yahoo.com/quote/BABA220506C00108000?p=BABA220506C00108000" xr:uid="{7AA48290-7D41-4812-A7AB-151CFE06E53D}"/>
    <hyperlink ref="C18" r:id="rId34" display="https://finance.yahoo.com/quote/BABA/options?strike=108&amp;straddle=false" xr:uid="{12055737-CFDF-41BA-8B48-775E1752D010}"/>
    <hyperlink ref="A19" r:id="rId35" display="https://finance.yahoo.com/quote/BABA220506C00109000?p=BABA220506C00109000" xr:uid="{E2E3147B-9BA8-4973-9990-580CB4CA9AB8}"/>
    <hyperlink ref="C19" r:id="rId36" display="https://finance.yahoo.com/quote/BABA/options?strike=109&amp;straddle=false" xr:uid="{76CE506D-D322-4216-864B-AF82F180D398}"/>
    <hyperlink ref="A20" r:id="rId37" display="https://finance.yahoo.com/quote/BABA220506C00110000?p=BABA220506C00110000" xr:uid="{4B6E30D8-99C7-49A7-AF58-02A2D7F41F1D}"/>
    <hyperlink ref="C20" r:id="rId38" display="https://finance.yahoo.com/quote/BABA/options?strike=110&amp;straddle=false" xr:uid="{BD42C758-5370-4412-AD08-16C68693BE71}"/>
    <hyperlink ref="A21" r:id="rId39" display="https://finance.yahoo.com/quote/BABA220506C00111000?p=BABA220506C00111000" xr:uid="{419DDCFE-34BC-4757-91C3-20A020F97B39}"/>
    <hyperlink ref="C21" r:id="rId40" display="https://finance.yahoo.com/quote/BABA/options?strike=111&amp;straddle=false" xr:uid="{FD9FCC3A-3A50-4C93-8799-5169FD19D4C1}"/>
    <hyperlink ref="A22" r:id="rId41" display="https://finance.yahoo.com/quote/BABA220506C00112000?p=BABA220506C00112000" xr:uid="{5B820362-C366-4B39-A35E-E4C404FFA056}"/>
    <hyperlink ref="C22" r:id="rId42" display="https://finance.yahoo.com/quote/BABA/options?strike=112&amp;straddle=false" xr:uid="{B4805769-DDDC-4F31-A96C-9CC2722CF623}"/>
    <hyperlink ref="A23" r:id="rId43" display="https://finance.yahoo.com/quote/BABA220506C00113000?p=BABA220506C00113000" xr:uid="{EDF4D929-550D-4337-9736-E882884F95F1}"/>
    <hyperlink ref="C23" r:id="rId44" display="https://finance.yahoo.com/quote/BABA/options?strike=113&amp;straddle=false" xr:uid="{E0E36EC7-A6EB-47E2-84A4-9C7FE8BE0B1F}"/>
    <hyperlink ref="A24" r:id="rId45" display="https://finance.yahoo.com/quote/BABA220506C00114000?p=BABA220506C00114000" xr:uid="{71FAF197-CE81-4D73-962E-F60AE10C2374}"/>
    <hyperlink ref="C24" r:id="rId46" display="https://finance.yahoo.com/quote/BABA/options?strike=114&amp;straddle=false" xr:uid="{D35E431C-2DC6-4C92-838E-9F7A7BD60AD4}"/>
    <hyperlink ref="A25" r:id="rId47" display="https://finance.yahoo.com/quote/BABA220506C00115000?p=BABA220506C00115000" xr:uid="{D568E018-B199-4E20-9F1B-92726161CEC9}"/>
    <hyperlink ref="C25" r:id="rId48" display="https://finance.yahoo.com/quote/BABA/options?strike=115&amp;straddle=false" xr:uid="{07BB4E61-5DFE-4C82-BBC5-6C7EB62DA9A1}"/>
    <hyperlink ref="A26" r:id="rId49" display="https://finance.yahoo.com/quote/BABA220506C00116000?p=BABA220506C00116000" xr:uid="{D21A6AF8-B36D-4655-AC7A-62D9541F42DA}"/>
    <hyperlink ref="C26" r:id="rId50" display="https://finance.yahoo.com/quote/BABA/options?strike=116&amp;straddle=false" xr:uid="{6B56C496-09A0-470F-9D6D-219C2A0FFD7E}"/>
    <hyperlink ref="A27" r:id="rId51" display="https://finance.yahoo.com/quote/BABA220506C00117000?p=BABA220506C00117000" xr:uid="{E7F5D7CE-51D3-4989-A3DA-9D54BC5D63A0}"/>
    <hyperlink ref="C27" r:id="rId52" display="https://finance.yahoo.com/quote/BABA/options?strike=117&amp;straddle=false" xr:uid="{21DE10D0-8492-4435-9A3C-4C890344CDE9}"/>
    <hyperlink ref="A28" r:id="rId53" display="https://finance.yahoo.com/quote/BABA220506C00118000?p=BABA220506C00118000" xr:uid="{EEF461C6-8EAC-493A-89E6-D6B2EDC63FB4}"/>
    <hyperlink ref="C28" r:id="rId54" display="https://finance.yahoo.com/quote/BABA/options?strike=118&amp;straddle=false" xr:uid="{3CAB031E-CCB1-44A4-A97B-A42056947CD0}"/>
    <hyperlink ref="A29" r:id="rId55" display="https://finance.yahoo.com/quote/BABA220506C00119000?p=BABA220506C00119000" xr:uid="{FE6E35BA-97C7-4991-A856-C3F4CC672E32}"/>
    <hyperlink ref="C29" r:id="rId56" display="https://finance.yahoo.com/quote/BABA/options?strike=119&amp;straddle=false" xr:uid="{A46B9BB5-FE27-47FB-AB33-3C51F7C31D61}"/>
    <hyperlink ref="A30" r:id="rId57" display="https://finance.yahoo.com/quote/BABA220506C00120000?p=BABA220506C00120000" xr:uid="{0DFB1082-93B4-4C1F-9673-BEA016ACA5BF}"/>
    <hyperlink ref="C30" r:id="rId58" display="https://finance.yahoo.com/quote/BABA/options?strike=120&amp;straddle=false" xr:uid="{7F6373DF-E858-490D-85BE-75838AF674C1}"/>
    <hyperlink ref="A31" r:id="rId59" display="https://finance.yahoo.com/quote/BABA220506C00121000?p=BABA220506C00121000" xr:uid="{B1B87ADC-F951-4AEA-8F18-47A5899BB0A2}"/>
    <hyperlink ref="C31" r:id="rId60" display="https://finance.yahoo.com/quote/BABA/options?strike=121&amp;straddle=false" xr:uid="{B272E167-2B67-49A5-B226-1CC744777405}"/>
    <hyperlink ref="A32" r:id="rId61" display="https://finance.yahoo.com/quote/BABA220506C00122000?p=BABA220506C00122000" xr:uid="{5F724E08-1EB3-4CA1-8781-79A0D2E9E2A3}"/>
    <hyperlink ref="C32" r:id="rId62" display="https://finance.yahoo.com/quote/BABA/options?strike=122&amp;straddle=false" xr:uid="{8AA2DF18-1ECD-4A76-A9AD-FF7B10639B06}"/>
    <hyperlink ref="A33" r:id="rId63" display="https://finance.yahoo.com/quote/BABA220506C00123000?p=BABA220506C00123000" xr:uid="{54639D3B-CB3F-4E41-BCD8-E1935B9252B9}"/>
    <hyperlink ref="C33" r:id="rId64" display="https://finance.yahoo.com/quote/BABA/options?strike=123&amp;straddle=false" xr:uid="{D4D0311F-EEBD-4565-BE68-18BE70238359}"/>
    <hyperlink ref="A34" r:id="rId65" display="https://finance.yahoo.com/quote/BABA220506C00124000?p=BABA220506C00124000" xr:uid="{B84E068F-7475-4A97-8B7B-347F514F3678}"/>
    <hyperlink ref="C34" r:id="rId66" display="https://finance.yahoo.com/quote/BABA/options?strike=124&amp;straddle=false" xr:uid="{44E73914-A349-4BC5-97C4-50B3DBB8470E}"/>
    <hyperlink ref="A35" r:id="rId67" display="https://finance.yahoo.com/quote/BABA220506C00125000?p=BABA220506C00125000" xr:uid="{55501058-B483-4FFB-B884-67B615A31530}"/>
    <hyperlink ref="C35" r:id="rId68" display="https://finance.yahoo.com/quote/BABA/options?strike=125&amp;straddle=false" xr:uid="{97810E67-AF60-4BE7-AE7A-EC4344A116D1}"/>
    <hyperlink ref="A36" r:id="rId69" display="https://finance.yahoo.com/quote/BABA220506C00126000?p=BABA220506C00126000" xr:uid="{0E48E213-195C-4260-BFF1-27463B90F4B6}"/>
    <hyperlink ref="C36" r:id="rId70" display="https://finance.yahoo.com/quote/BABA/options?strike=126&amp;straddle=false" xr:uid="{A2897A3E-AB6D-48D8-B5E8-416412F85BC9}"/>
    <hyperlink ref="A37" r:id="rId71" display="https://finance.yahoo.com/quote/BABA220506C00127000?p=BABA220506C00127000" xr:uid="{C76FFAB6-40BC-42DE-ADC7-E2453B06BB17}"/>
    <hyperlink ref="C37" r:id="rId72" display="https://finance.yahoo.com/quote/BABA/options?strike=127&amp;straddle=false" xr:uid="{9418E4AC-13CF-484C-9E09-7D5305A69DA1}"/>
    <hyperlink ref="A38" r:id="rId73" display="https://finance.yahoo.com/quote/BABA220506C00128000?p=BABA220506C00128000" xr:uid="{48E55AF9-0874-47C6-A226-42E758D5D4C5}"/>
    <hyperlink ref="C38" r:id="rId74" display="https://finance.yahoo.com/quote/BABA/options?strike=128&amp;straddle=false" xr:uid="{9654CD57-2171-41C1-ACEB-EC4D0F82BBC1}"/>
    <hyperlink ref="A39" r:id="rId75" display="https://finance.yahoo.com/quote/BABA220506C00130000?p=BABA220506C00130000" xr:uid="{6E8DDE9D-8A33-4E06-8754-8A491D2F20E6}"/>
    <hyperlink ref="C39" r:id="rId76" display="https://finance.yahoo.com/quote/BABA/options?strike=130&amp;straddle=false" xr:uid="{3DF82252-E18A-488F-829A-16439689F745}"/>
    <hyperlink ref="A40" r:id="rId77" display="https://finance.yahoo.com/quote/BABA220506C00135000?p=BABA220506C00135000" xr:uid="{D55E1797-F56C-4908-B596-65D062B949C3}"/>
    <hyperlink ref="C40" r:id="rId78" display="https://finance.yahoo.com/quote/BABA/options?strike=135&amp;straddle=false" xr:uid="{47C42B1A-5797-46D9-A8B4-366DAE31571D}"/>
    <hyperlink ref="A41" r:id="rId79" display="https://finance.yahoo.com/quote/BABA220506C00140000?p=BABA220506C00140000" xr:uid="{CCA3997A-A0CE-4CFB-B6D6-DB11C26D6F17}"/>
    <hyperlink ref="C41" r:id="rId80" display="https://finance.yahoo.com/quote/BABA/options?strike=140&amp;straddle=false" xr:uid="{F3618AD8-6AB6-4839-8A10-E81CDDF0EE92}"/>
    <hyperlink ref="A42" r:id="rId81" display="https://finance.yahoo.com/quote/BABA220506C00145000?p=BABA220506C00145000" xr:uid="{2FB8B4C9-7AAB-43D7-83BE-EC2A042D64D9}"/>
    <hyperlink ref="C42" r:id="rId82" display="https://finance.yahoo.com/quote/BABA/options?strike=145&amp;straddle=false" xr:uid="{AE973006-012F-4C9D-B4B2-88051A741DC6}"/>
    <hyperlink ref="A43" r:id="rId83" display="https://finance.yahoo.com/quote/BABA220506C00150000?p=BABA220506C00150000" xr:uid="{10AA6B78-1A5B-48D1-BEDB-E21981E0E1F4}"/>
    <hyperlink ref="C43" r:id="rId84" display="https://finance.yahoo.com/quote/BABA/options?strike=150&amp;straddle=false" xr:uid="{C3C2FD31-2D5B-4838-BDC7-1E773929710D}"/>
    <hyperlink ref="A44" r:id="rId85" display="https://finance.yahoo.com/quote/BABA220506C00155000?p=BABA220506C00155000" xr:uid="{588C6814-5C9D-4F3D-A9EB-0B11DE4C105E}"/>
    <hyperlink ref="C44" r:id="rId86" display="https://finance.yahoo.com/quote/BABA/options?strike=155&amp;straddle=false" xr:uid="{A0A344A3-33C1-4431-9EDF-2A9E71C64583}"/>
    <hyperlink ref="A45" r:id="rId87" display="https://finance.yahoo.com/quote/BABA220506C00160000?p=BABA220506C00160000" xr:uid="{C6F4E4D9-0113-4FE6-BBAD-16A41A4B020F}"/>
    <hyperlink ref="C45" r:id="rId88" display="https://finance.yahoo.com/quote/BABA/options?strike=160&amp;straddle=false" xr:uid="{7243A07E-86F9-4FC9-A9EB-986D56F27F73}"/>
    <hyperlink ref="A46" r:id="rId89" display="https://finance.yahoo.com/quote/BABA220506C00165000?p=BABA220506C00165000" xr:uid="{ADDD1025-87A0-4065-BCC5-564C1C883FE1}"/>
    <hyperlink ref="C46" r:id="rId90" display="https://finance.yahoo.com/quote/BABA/options?strike=165&amp;straddle=false" xr:uid="{068E27D5-64CF-4085-A2B6-1E43F67A0883}"/>
    <hyperlink ref="A47" r:id="rId91" display="https://finance.yahoo.com/quote/BABA220506C00170000?p=BABA220506C00170000" xr:uid="{37B07C5C-E9DF-4A37-AD2F-B72D4BC4666A}"/>
    <hyperlink ref="C47" r:id="rId92" display="https://finance.yahoo.com/quote/BABA/options?strike=170&amp;straddle=false" xr:uid="{21C5AC8A-14A6-4189-8BCE-31D034A80BE3}"/>
    <hyperlink ref="A48" r:id="rId93" display="https://finance.yahoo.com/quote/BABA220506C00175000?p=BABA220506C00175000" xr:uid="{7FD55DE2-F728-4462-B2B8-C9E17471999B}"/>
    <hyperlink ref="C48" r:id="rId94" display="https://finance.yahoo.com/quote/BABA/options?strike=175&amp;straddle=false" xr:uid="{7C8325FE-16AE-4A04-8866-6395ABFEBFAA}"/>
    <hyperlink ref="A49" r:id="rId95" display="https://finance.yahoo.com/quote/BABA220506C00180000?p=BABA220506C00180000" xr:uid="{B1D77DD1-084B-4C87-9B0A-25E056F8E406}"/>
    <hyperlink ref="C49" r:id="rId96" display="https://finance.yahoo.com/quote/BABA/options?strike=180&amp;straddle=false" xr:uid="{CFC3D140-034C-488A-B19C-2696C3E0C3E1}"/>
    <hyperlink ref="A50" r:id="rId97" display="https://finance.yahoo.com/quote/BABA220506C00185000?p=BABA220506C00185000" xr:uid="{2F385279-1BD6-4089-A419-B0893382DC8C}"/>
    <hyperlink ref="C50" r:id="rId98" display="https://finance.yahoo.com/quote/BABA/options?strike=185&amp;straddle=false" xr:uid="{0098B8CC-C589-428F-BA8C-3DB42384B237}"/>
  </hyperlinks>
  <pageMargins left="0.7" right="0.7" top="0.75" bottom="0.75" header="0.3" footer="0.3"/>
  <pageSetup paperSize="9" orientation="portrait" horizontalDpi="0" verticalDpi="0" r:id="rId99"/>
  <drawing r:id="rId1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41088-D9ED-4B0C-A50C-BE079D919D03}">
  <sheetPr codeName="Foglio3"/>
  <dimension ref="A1:AG63"/>
  <sheetViews>
    <sheetView workbookViewId="0">
      <selection activeCell="P2" sqref="P2"/>
    </sheetView>
  </sheetViews>
  <sheetFormatPr defaultRowHeight="14.4" x14ac:dyDescent="0.3"/>
  <cols>
    <col min="13" max="13" width="10.5546875" bestFit="1" customWidth="1"/>
    <col min="18" max="18" width="9.88671875" customWidth="1"/>
    <col min="25" max="25" width="10.88671875" customWidth="1"/>
    <col min="31" max="31" width="9.21875" bestFit="1" customWidth="1"/>
  </cols>
  <sheetData>
    <row r="1" spans="1:33" ht="43.8" thickBot="1" x14ac:dyDescent="0.35">
      <c r="A1" s="21" t="s">
        <v>11</v>
      </c>
      <c r="B1" s="22" t="s">
        <v>12</v>
      </c>
      <c r="C1" s="23" t="s">
        <v>13</v>
      </c>
      <c r="D1" s="22" t="s">
        <v>14</v>
      </c>
      <c r="E1" s="22" t="s">
        <v>15</v>
      </c>
      <c r="F1" s="22" t="s">
        <v>16</v>
      </c>
      <c r="G1" s="22" t="s">
        <v>17</v>
      </c>
      <c r="H1" s="22" t="s">
        <v>18</v>
      </c>
      <c r="I1" s="22" t="s">
        <v>19</v>
      </c>
      <c r="J1" s="22" t="s">
        <v>20</v>
      </c>
      <c r="K1" s="22" t="s">
        <v>21</v>
      </c>
      <c r="L1" s="22" t="s">
        <v>116</v>
      </c>
      <c r="M1" s="22" t="s">
        <v>253</v>
      </c>
      <c r="O1" s="22" t="s">
        <v>1582</v>
      </c>
      <c r="P1" s="22" t="s">
        <v>1581</v>
      </c>
      <c r="Q1" t="s">
        <v>337</v>
      </c>
      <c r="R1" t="s">
        <v>338</v>
      </c>
      <c r="S1" s="27" t="s">
        <v>119</v>
      </c>
      <c r="T1" s="28" t="s">
        <v>120</v>
      </c>
      <c r="U1" s="28" t="s">
        <v>121</v>
      </c>
      <c r="V1" s="28" t="s">
        <v>122</v>
      </c>
      <c r="W1" s="28" t="s">
        <v>123</v>
      </c>
      <c r="X1" s="29" t="s">
        <v>124</v>
      </c>
      <c r="Y1" s="28" t="s">
        <v>19</v>
      </c>
      <c r="Z1" s="28" t="s">
        <v>336</v>
      </c>
    </row>
    <row r="2" spans="1:33" ht="58.2" thickBot="1" x14ac:dyDescent="0.35">
      <c r="A2" s="17" t="s">
        <v>169</v>
      </c>
      <c r="B2" s="24" t="s">
        <v>170</v>
      </c>
      <c r="C2" s="18">
        <v>40</v>
      </c>
      <c r="D2" s="24">
        <v>71.5</v>
      </c>
      <c r="E2" s="24">
        <v>67.3</v>
      </c>
      <c r="F2" s="24">
        <v>69.349999999999994</v>
      </c>
      <c r="G2" s="24">
        <v>0</v>
      </c>
      <c r="H2" s="24" t="s">
        <v>22</v>
      </c>
      <c r="I2" s="24">
        <v>1</v>
      </c>
      <c r="J2" s="24">
        <v>17</v>
      </c>
      <c r="K2" s="26">
        <v>0.99119999999999997</v>
      </c>
      <c r="L2">
        <f>AVERAGE(E2,F2)</f>
        <v>68.324999999999989</v>
      </c>
      <c r="M2">
        <f>3/12</f>
        <v>0.25</v>
      </c>
      <c r="O2">
        <v>0.97236</v>
      </c>
      <c r="P2">
        <v>-0.45755000000000001</v>
      </c>
      <c r="Q2">
        <f>_xlfn.STDEV.S(Z3:Z63)</f>
        <v>5.4027325396206902E-2</v>
      </c>
      <c r="R2">
        <f>Q2*SQRT(252)</f>
        <v>0.85765720200196605</v>
      </c>
      <c r="S2" s="30" t="s">
        <v>254</v>
      </c>
      <c r="T2" s="31">
        <v>115</v>
      </c>
      <c r="U2" s="31">
        <v>115</v>
      </c>
      <c r="V2" s="31">
        <v>110.23</v>
      </c>
      <c r="W2" s="31">
        <v>111</v>
      </c>
      <c r="X2" s="31">
        <v>111</v>
      </c>
      <c r="Y2" s="31" t="s">
        <v>255</v>
      </c>
      <c r="AD2" s="46"/>
      <c r="AE2" s="46" t="s">
        <v>1583</v>
      </c>
      <c r="AF2" s="46" t="s">
        <v>1584</v>
      </c>
      <c r="AG2" s="46" t="s">
        <v>116</v>
      </c>
    </row>
    <row r="3" spans="1:33" ht="58.2" thickBot="1" x14ac:dyDescent="0.35">
      <c r="A3" s="17" t="s">
        <v>171</v>
      </c>
      <c r="B3" s="24" t="s">
        <v>172</v>
      </c>
      <c r="C3" s="18">
        <v>45</v>
      </c>
      <c r="D3" s="24">
        <v>73.260000000000005</v>
      </c>
      <c r="E3" s="24">
        <v>62.3</v>
      </c>
      <c r="F3" s="24">
        <v>64.25</v>
      </c>
      <c r="G3" s="24">
        <v>0</v>
      </c>
      <c r="H3" s="24" t="s">
        <v>22</v>
      </c>
      <c r="I3" s="24" t="s">
        <v>22</v>
      </c>
      <c r="J3" s="24">
        <v>1</v>
      </c>
      <c r="K3" s="26">
        <v>0.86040000000000005</v>
      </c>
      <c r="L3">
        <f t="shared" ref="L3:L48" si="0">AVERAGE(E3,F3)</f>
        <v>63.274999999999999</v>
      </c>
      <c r="M3" s="20">
        <v>44757</v>
      </c>
      <c r="R3">
        <f>$R$2</f>
        <v>0.85765720200196605</v>
      </c>
      <c r="S3" s="30" t="s">
        <v>125</v>
      </c>
      <c r="T3" s="31">
        <v>115.7</v>
      </c>
      <c r="U3" s="31">
        <v>118.22</v>
      </c>
      <c r="V3" s="31">
        <v>113.38</v>
      </c>
      <c r="W3" s="31">
        <v>117.5</v>
      </c>
      <c r="X3" s="31">
        <v>117.5</v>
      </c>
      <c r="Y3" s="31" t="s">
        <v>126</v>
      </c>
      <c r="Z3">
        <f>(X3-X2)/X2</f>
        <v>5.8558558558558557E-2</v>
      </c>
      <c r="AD3" s="46" t="s">
        <v>1585</v>
      </c>
      <c r="AE3" s="46" cm="1">
        <f t="array" ref="AE3">BSCall('T=1m'!$N$2,$C$16,O2,$R$2,$M$2)</f>
        <v>31.788172111489764</v>
      </c>
      <c r="AF3" s="46" cm="1">
        <f t="array" ref="AF3">BSCall('T=1m'!$N$2,$C$16,P2,$R$2,$M$2)</f>
        <v>14.265236618609151</v>
      </c>
      <c r="AG3" s="59">
        <f>L16</f>
        <v>11.8</v>
      </c>
    </row>
    <row r="4" spans="1:33" ht="58.2" thickBot="1" x14ac:dyDescent="0.35">
      <c r="A4" s="17" t="s">
        <v>173</v>
      </c>
      <c r="B4" s="24" t="s">
        <v>174</v>
      </c>
      <c r="C4" s="18">
        <v>50</v>
      </c>
      <c r="D4" s="24">
        <v>49.9</v>
      </c>
      <c r="E4" s="24">
        <v>57.45</v>
      </c>
      <c r="F4" s="24">
        <v>59.6</v>
      </c>
      <c r="G4" s="24">
        <v>0</v>
      </c>
      <c r="H4" s="24" t="s">
        <v>22</v>
      </c>
      <c r="I4" s="24">
        <v>1</v>
      </c>
      <c r="J4" s="24">
        <v>18</v>
      </c>
      <c r="K4" s="26">
        <v>0.85109999999999997</v>
      </c>
      <c r="L4">
        <f t="shared" si="0"/>
        <v>58.525000000000006</v>
      </c>
      <c r="R4">
        <f t="shared" ref="R4:R48" si="1">$R$2</f>
        <v>0.85765720200196605</v>
      </c>
      <c r="S4" s="30" t="s">
        <v>127</v>
      </c>
      <c r="T4" s="31">
        <v>117.62</v>
      </c>
      <c r="U4" s="31">
        <v>118.95</v>
      </c>
      <c r="V4" s="31">
        <v>109.75</v>
      </c>
      <c r="W4" s="31">
        <v>110.2</v>
      </c>
      <c r="X4" s="31">
        <v>110.2</v>
      </c>
      <c r="Y4" s="31" t="s">
        <v>128</v>
      </c>
      <c r="Z4">
        <f t="shared" ref="Z4:Z63" si="2">(X4-X3)/X3</f>
        <v>-6.2127659574468058E-2</v>
      </c>
      <c r="AD4" s="46" t="s">
        <v>1586</v>
      </c>
      <c r="AE4" s="46" cm="1">
        <f t="array" ref="AE4">BSCall('T=1m'!$N$2,$C$16,O2,$K$16,$M$2)</f>
        <v>27.403639025522111</v>
      </c>
      <c r="AF4" s="46" cm="1">
        <f t="array" ref="AF4">BSCall('T=1m'!$N$2,$C$16,P2,$K$16,$M$2)</f>
        <v>7.7748435470646768</v>
      </c>
      <c r="AG4" s="59"/>
    </row>
    <row r="5" spans="1:33" ht="58.2" thickBot="1" x14ac:dyDescent="0.35">
      <c r="A5" s="17" t="s">
        <v>175</v>
      </c>
      <c r="B5" s="24" t="s">
        <v>176</v>
      </c>
      <c r="C5" s="18">
        <v>55</v>
      </c>
      <c r="D5" s="24">
        <v>27.44</v>
      </c>
      <c r="E5" s="24">
        <v>52.1</v>
      </c>
      <c r="F5" s="24">
        <v>54.85</v>
      </c>
      <c r="G5" s="24">
        <v>0</v>
      </c>
      <c r="H5" s="24" t="s">
        <v>22</v>
      </c>
      <c r="I5" s="24" t="s">
        <v>22</v>
      </c>
      <c r="J5" s="24">
        <v>1</v>
      </c>
      <c r="K5" s="26">
        <v>0.74409999999999998</v>
      </c>
      <c r="L5">
        <f t="shared" si="0"/>
        <v>53.475000000000001</v>
      </c>
      <c r="R5">
        <f t="shared" si="1"/>
        <v>0.85765720200196605</v>
      </c>
      <c r="S5" s="30" t="s">
        <v>129</v>
      </c>
      <c r="T5" s="31">
        <v>115.03</v>
      </c>
      <c r="U5" s="31">
        <v>115.09</v>
      </c>
      <c r="V5" s="31">
        <v>108.71</v>
      </c>
      <c r="W5" s="31">
        <v>108.8</v>
      </c>
      <c r="X5" s="31">
        <v>108.8</v>
      </c>
      <c r="Y5" s="31" t="s">
        <v>130</v>
      </c>
      <c r="Z5">
        <f t="shared" si="2"/>
        <v>-1.2704174228675187E-2</v>
      </c>
    </row>
    <row r="6" spans="1:33" ht="58.2" thickBot="1" x14ac:dyDescent="0.35">
      <c r="A6" s="17" t="s">
        <v>177</v>
      </c>
      <c r="B6" s="24" t="s">
        <v>178</v>
      </c>
      <c r="C6" s="18">
        <v>60</v>
      </c>
      <c r="D6" s="24">
        <v>56.23</v>
      </c>
      <c r="E6" s="24">
        <v>47.8</v>
      </c>
      <c r="F6" s="24">
        <v>50</v>
      </c>
      <c r="G6" s="24">
        <v>0</v>
      </c>
      <c r="H6" s="24" t="s">
        <v>22</v>
      </c>
      <c r="I6" s="24">
        <v>1</v>
      </c>
      <c r="J6" s="24">
        <v>39</v>
      </c>
      <c r="K6" s="26">
        <v>0.74950000000000006</v>
      </c>
      <c r="L6">
        <f t="shared" si="0"/>
        <v>48.9</v>
      </c>
      <c r="R6">
        <f t="shared" si="1"/>
        <v>0.85765720200196605</v>
      </c>
      <c r="S6" s="30" t="s">
        <v>131</v>
      </c>
      <c r="T6" s="31">
        <v>115.54</v>
      </c>
      <c r="U6" s="31">
        <v>120.1</v>
      </c>
      <c r="V6" s="31">
        <v>115.54</v>
      </c>
      <c r="W6" s="31">
        <v>116.58</v>
      </c>
      <c r="X6" s="31">
        <v>116.58</v>
      </c>
      <c r="Y6" s="31" t="s">
        <v>132</v>
      </c>
      <c r="Z6">
        <f t="shared" si="2"/>
        <v>7.150735294117648E-2</v>
      </c>
    </row>
    <row r="7" spans="1:33" ht="58.2" thickBot="1" x14ac:dyDescent="0.35">
      <c r="A7" s="17" t="s">
        <v>179</v>
      </c>
      <c r="B7" s="24" t="s">
        <v>180</v>
      </c>
      <c r="C7" s="18">
        <v>65</v>
      </c>
      <c r="D7" s="24">
        <v>51.7</v>
      </c>
      <c r="E7" s="24">
        <v>43.45</v>
      </c>
      <c r="F7" s="24">
        <v>45.25</v>
      </c>
      <c r="G7" s="24">
        <v>0</v>
      </c>
      <c r="H7" s="24" t="s">
        <v>22</v>
      </c>
      <c r="I7" s="24">
        <v>2</v>
      </c>
      <c r="J7" s="24">
        <v>9</v>
      </c>
      <c r="K7" s="26">
        <v>0.73099999999999998</v>
      </c>
      <c r="L7">
        <f t="shared" si="0"/>
        <v>44.35</v>
      </c>
      <c r="R7">
        <f t="shared" si="1"/>
        <v>0.85765720200196605</v>
      </c>
      <c r="S7" s="30" t="s">
        <v>133</v>
      </c>
      <c r="T7" s="31">
        <v>118.36</v>
      </c>
      <c r="U7" s="31">
        <v>119.6</v>
      </c>
      <c r="V7" s="31">
        <v>115.74</v>
      </c>
      <c r="W7" s="31">
        <v>116.71</v>
      </c>
      <c r="X7" s="31">
        <v>116.71</v>
      </c>
      <c r="Y7" s="31" t="s">
        <v>134</v>
      </c>
      <c r="Z7">
        <f t="shared" si="2"/>
        <v>1.1151140847486315E-3</v>
      </c>
    </row>
    <row r="8" spans="1:33" ht="58.2" thickBot="1" x14ac:dyDescent="0.35">
      <c r="A8" s="17" t="s">
        <v>181</v>
      </c>
      <c r="B8" s="24" t="s">
        <v>182</v>
      </c>
      <c r="C8" s="18">
        <v>70</v>
      </c>
      <c r="D8" s="24">
        <v>48.72</v>
      </c>
      <c r="E8" s="24">
        <v>39</v>
      </c>
      <c r="F8" s="24">
        <v>40.950000000000003</v>
      </c>
      <c r="G8" s="24">
        <v>0</v>
      </c>
      <c r="H8" s="24" t="s">
        <v>22</v>
      </c>
      <c r="I8" s="24">
        <v>1</v>
      </c>
      <c r="J8" s="24">
        <v>83</v>
      </c>
      <c r="K8" s="26">
        <v>0.71660000000000001</v>
      </c>
      <c r="L8">
        <f t="shared" si="0"/>
        <v>39.975000000000001</v>
      </c>
      <c r="R8">
        <f t="shared" si="1"/>
        <v>0.85765720200196605</v>
      </c>
      <c r="S8" s="30" t="s">
        <v>135</v>
      </c>
      <c r="T8" s="31">
        <v>113.86</v>
      </c>
      <c r="U8" s="31">
        <v>116.23</v>
      </c>
      <c r="V8" s="31">
        <v>111.92</v>
      </c>
      <c r="W8" s="31">
        <v>115.09</v>
      </c>
      <c r="X8" s="31">
        <v>115.09</v>
      </c>
      <c r="Y8" s="31" t="s">
        <v>136</v>
      </c>
      <c r="Z8">
        <f t="shared" si="2"/>
        <v>-1.3880558649644336E-2</v>
      </c>
    </row>
    <row r="9" spans="1:33" ht="58.2" thickBot="1" x14ac:dyDescent="0.35">
      <c r="A9" s="17" t="s">
        <v>183</v>
      </c>
      <c r="B9" s="24" t="s">
        <v>184</v>
      </c>
      <c r="C9" s="18">
        <v>75</v>
      </c>
      <c r="D9" s="24">
        <v>43.92</v>
      </c>
      <c r="E9" s="24">
        <v>34.049999999999997</v>
      </c>
      <c r="F9" s="24">
        <v>36.5</v>
      </c>
      <c r="G9" s="24">
        <v>0</v>
      </c>
      <c r="H9" s="24" t="s">
        <v>22</v>
      </c>
      <c r="I9" s="24">
        <v>2</v>
      </c>
      <c r="J9" s="24">
        <v>118</v>
      </c>
      <c r="K9" s="26">
        <v>0.65700000000000003</v>
      </c>
      <c r="L9">
        <f t="shared" si="0"/>
        <v>35.274999999999999</v>
      </c>
      <c r="R9">
        <f t="shared" si="1"/>
        <v>0.85765720200196605</v>
      </c>
      <c r="S9" s="30" t="s">
        <v>137</v>
      </c>
      <c r="T9" s="31">
        <v>110.53</v>
      </c>
      <c r="U9" s="31">
        <v>113.86</v>
      </c>
      <c r="V9" s="31">
        <v>109.4</v>
      </c>
      <c r="W9" s="31">
        <v>112.99</v>
      </c>
      <c r="X9" s="31">
        <v>112.99</v>
      </c>
      <c r="Y9" s="31" t="s">
        <v>138</v>
      </c>
      <c r="Z9">
        <f t="shared" si="2"/>
        <v>-1.8246589625510543E-2</v>
      </c>
    </row>
    <row r="10" spans="1:33" ht="58.2" thickBot="1" x14ac:dyDescent="0.35">
      <c r="A10" s="17" t="s">
        <v>185</v>
      </c>
      <c r="B10" s="24" t="s">
        <v>186</v>
      </c>
      <c r="C10" s="18">
        <v>80</v>
      </c>
      <c r="D10" s="24">
        <v>34.380000000000003</v>
      </c>
      <c r="E10" s="24">
        <v>30.5</v>
      </c>
      <c r="F10" s="24">
        <v>32.200000000000003</v>
      </c>
      <c r="G10" s="24">
        <v>0</v>
      </c>
      <c r="H10" s="24" t="s">
        <v>22</v>
      </c>
      <c r="I10" s="24">
        <v>6</v>
      </c>
      <c r="J10" s="24">
        <v>441</v>
      </c>
      <c r="K10" s="26">
        <v>0.65659999999999996</v>
      </c>
      <c r="L10">
        <f t="shared" si="0"/>
        <v>31.35</v>
      </c>
      <c r="R10">
        <f t="shared" si="1"/>
        <v>0.85765720200196605</v>
      </c>
      <c r="S10" s="30" t="s">
        <v>139</v>
      </c>
      <c r="T10" s="31">
        <v>112.86</v>
      </c>
      <c r="U10" s="31">
        <v>116.5</v>
      </c>
      <c r="V10" s="31">
        <v>110.82</v>
      </c>
      <c r="W10" s="31">
        <v>115.15</v>
      </c>
      <c r="X10" s="31">
        <v>115.15</v>
      </c>
      <c r="Y10" s="31" t="s">
        <v>140</v>
      </c>
      <c r="Z10">
        <f t="shared" si="2"/>
        <v>1.9116735994335877E-2</v>
      </c>
    </row>
    <row r="11" spans="1:33" ht="58.2" thickBot="1" x14ac:dyDescent="0.35">
      <c r="A11" s="17" t="s">
        <v>187</v>
      </c>
      <c r="B11" s="24" t="s">
        <v>188</v>
      </c>
      <c r="C11" s="18">
        <v>85</v>
      </c>
      <c r="D11" s="24">
        <v>30.25</v>
      </c>
      <c r="E11" s="24">
        <v>26.1</v>
      </c>
      <c r="F11" s="24">
        <v>28.4</v>
      </c>
      <c r="G11" s="24">
        <v>0</v>
      </c>
      <c r="H11" s="24" t="s">
        <v>22</v>
      </c>
      <c r="I11" s="24">
        <v>20</v>
      </c>
      <c r="J11" s="24">
        <v>833</v>
      </c>
      <c r="K11" s="26">
        <v>0.62670000000000003</v>
      </c>
      <c r="L11">
        <f t="shared" si="0"/>
        <v>27.25</v>
      </c>
      <c r="R11">
        <f t="shared" si="1"/>
        <v>0.85765720200196605</v>
      </c>
      <c r="S11" s="30" t="s">
        <v>141</v>
      </c>
      <c r="T11" s="31">
        <v>115.7</v>
      </c>
      <c r="U11" s="31">
        <v>124.11</v>
      </c>
      <c r="V11" s="31">
        <v>112.68</v>
      </c>
      <c r="W11" s="31">
        <v>117.24</v>
      </c>
      <c r="X11" s="31">
        <v>117.24</v>
      </c>
      <c r="Y11" s="31" t="s">
        <v>142</v>
      </c>
      <c r="Z11">
        <f t="shared" si="2"/>
        <v>1.8150238818931734E-2</v>
      </c>
    </row>
    <row r="12" spans="1:33" ht="58.2" thickBot="1" x14ac:dyDescent="0.35">
      <c r="A12" s="17" t="s">
        <v>189</v>
      </c>
      <c r="B12" s="24" t="s">
        <v>190</v>
      </c>
      <c r="C12" s="18">
        <v>90</v>
      </c>
      <c r="D12" s="24">
        <v>28.9</v>
      </c>
      <c r="E12" s="24">
        <v>22.55</v>
      </c>
      <c r="F12" s="24">
        <v>24.7</v>
      </c>
      <c r="G12" s="24">
        <v>0</v>
      </c>
      <c r="H12" s="24" t="s">
        <v>22</v>
      </c>
      <c r="I12" s="24">
        <v>2</v>
      </c>
      <c r="J12" s="24">
        <v>2.4380000000000002</v>
      </c>
      <c r="K12" s="26">
        <v>0.61429999999999996</v>
      </c>
      <c r="L12">
        <f t="shared" si="0"/>
        <v>23.625</v>
      </c>
      <c r="R12">
        <f t="shared" si="1"/>
        <v>0.85765720200196605</v>
      </c>
      <c r="S12" s="30" t="s">
        <v>143</v>
      </c>
      <c r="T12" s="31">
        <v>114.01</v>
      </c>
      <c r="U12" s="31">
        <v>118.24</v>
      </c>
      <c r="V12" s="31">
        <v>112.37</v>
      </c>
      <c r="W12" s="31">
        <v>114.99</v>
      </c>
      <c r="X12" s="31">
        <v>114.99</v>
      </c>
      <c r="Y12" s="31" t="s">
        <v>144</v>
      </c>
      <c r="Z12">
        <f t="shared" si="2"/>
        <v>-1.9191402251791199E-2</v>
      </c>
    </row>
    <row r="13" spans="1:33" ht="58.2" thickBot="1" x14ac:dyDescent="0.35">
      <c r="A13" s="17" t="s">
        <v>191</v>
      </c>
      <c r="B13" s="24" t="s">
        <v>192</v>
      </c>
      <c r="C13" s="18">
        <v>95</v>
      </c>
      <c r="D13" s="24">
        <v>27.67</v>
      </c>
      <c r="E13" s="24">
        <v>19.8</v>
      </c>
      <c r="F13" s="24">
        <v>20.25</v>
      </c>
      <c r="G13" s="24">
        <v>0</v>
      </c>
      <c r="H13" s="24" t="s">
        <v>22</v>
      </c>
      <c r="I13" s="24">
        <v>14</v>
      </c>
      <c r="J13" s="24">
        <v>817</v>
      </c>
      <c r="K13" s="26">
        <v>0.58950000000000002</v>
      </c>
      <c r="L13">
        <f t="shared" si="0"/>
        <v>20.024999999999999</v>
      </c>
      <c r="R13">
        <f t="shared" si="1"/>
        <v>0.85765720200196605</v>
      </c>
      <c r="S13" s="30" t="s">
        <v>145</v>
      </c>
      <c r="T13" s="31">
        <v>102.81</v>
      </c>
      <c r="U13" s="31">
        <v>105.68</v>
      </c>
      <c r="V13" s="31">
        <v>98.7</v>
      </c>
      <c r="W13" s="31">
        <v>103.59</v>
      </c>
      <c r="X13" s="31">
        <v>103.59</v>
      </c>
      <c r="Y13" s="31" t="s">
        <v>146</v>
      </c>
      <c r="Z13">
        <f t="shared" si="2"/>
        <v>-9.9139055570049497E-2</v>
      </c>
    </row>
    <row r="14" spans="1:33" ht="58.2" thickBot="1" x14ac:dyDescent="0.35">
      <c r="A14" s="17" t="s">
        <v>193</v>
      </c>
      <c r="B14" s="24" t="s">
        <v>194</v>
      </c>
      <c r="C14" s="18">
        <v>100</v>
      </c>
      <c r="D14" s="24">
        <v>19</v>
      </c>
      <c r="E14" s="24">
        <v>16.75</v>
      </c>
      <c r="F14" s="24">
        <v>17.149999999999999</v>
      </c>
      <c r="G14" s="24">
        <v>0</v>
      </c>
      <c r="H14" s="24" t="s">
        <v>22</v>
      </c>
      <c r="I14" s="24">
        <v>3</v>
      </c>
      <c r="J14" s="24">
        <v>1.383</v>
      </c>
      <c r="K14" s="26">
        <v>0.57850000000000001</v>
      </c>
      <c r="L14">
        <f t="shared" si="0"/>
        <v>16.95</v>
      </c>
      <c r="R14">
        <f t="shared" si="1"/>
        <v>0.85765720200196605</v>
      </c>
      <c r="S14" s="30" t="s">
        <v>147</v>
      </c>
      <c r="T14" s="31">
        <v>100.5</v>
      </c>
      <c r="U14" s="31">
        <v>111.74</v>
      </c>
      <c r="V14" s="31">
        <v>99.6</v>
      </c>
      <c r="W14" s="31">
        <v>108.3</v>
      </c>
      <c r="X14" s="31">
        <v>108.3</v>
      </c>
      <c r="Y14" s="31" t="s">
        <v>148</v>
      </c>
      <c r="Z14">
        <f t="shared" si="2"/>
        <v>4.5467709238343409E-2</v>
      </c>
    </row>
    <row r="15" spans="1:33" ht="58.2" thickBot="1" x14ac:dyDescent="0.35">
      <c r="A15" s="17" t="s">
        <v>195</v>
      </c>
      <c r="B15" s="24" t="s">
        <v>196</v>
      </c>
      <c r="C15" s="18">
        <v>105</v>
      </c>
      <c r="D15" s="24">
        <v>16.510000000000002</v>
      </c>
      <c r="E15" s="24">
        <v>14.05</v>
      </c>
      <c r="F15" s="24">
        <v>14.4</v>
      </c>
      <c r="G15" s="24">
        <v>0</v>
      </c>
      <c r="H15" s="24" t="s">
        <v>22</v>
      </c>
      <c r="I15" s="24">
        <v>7</v>
      </c>
      <c r="J15" s="24">
        <v>2.3639999999999999</v>
      </c>
      <c r="K15" s="26">
        <v>0.56999999999999995</v>
      </c>
      <c r="L15">
        <f t="shared" si="0"/>
        <v>14.225000000000001</v>
      </c>
      <c r="R15">
        <f t="shared" si="1"/>
        <v>0.85765720200196605</v>
      </c>
      <c r="S15" s="30" t="s">
        <v>149</v>
      </c>
      <c r="T15" s="31">
        <v>99.14</v>
      </c>
      <c r="U15" s="31">
        <v>101.89</v>
      </c>
      <c r="V15" s="31">
        <v>95.77</v>
      </c>
      <c r="W15" s="31">
        <v>100.37</v>
      </c>
      <c r="X15" s="31">
        <v>100.37</v>
      </c>
      <c r="Y15" s="31" t="s">
        <v>150</v>
      </c>
      <c r="Z15">
        <f t="shared" si="2"/>
        <v>-7.3222530009233538E-2</v>
      </c>
    </row>
    <row r="16" spans="1:33" ht="58.2" thickBot="1" x14ac:dyDescent="0.35">
      <c r="A16" s="40" t="s">
        <v>197</v>
      </c>
      <c r="B16" s="41" t="s">
        <v>198</v>
      </c>
      <c r="C16" s="42">
        <v>110</v>
      </c>
      <c r="D16" s="41">
        <v>13.9</v>
      </c>
      <c r="E16" s="41">
        <v>11.65</v>
      </c>
      <c r="F16" s="41">
        <v>11.95</v>
      </c>
      <c r="G16" s="41">
        <v>0</v>
      </c>
      <c r="H16" s="41" t="s">
        <v>22</v>
      </c>
      <c r="I16" s="41">
        <v>130</v>
      </c>
      <c r="J16" s="41">
        <v>1.9359999999999999</v>
      </c>
      <c r="K16" s="47">
        <v>0.56140000000000001</v>
      </c>
      <c r="L16" s="48">
        <f t="shared" si="0"/>
        <v>11.8</v>
      </c>
      <c r="M16" s="39"/>
      <c r="N16" s="39"/>
      <c r="R16">
        <f t="shared" si="1"/>
        <v>0.85765720200196605</v>
      </c>
      <c r="S16" s="30" t="s">
        <v>151</v>
      </c>
      <c r="T16" s="31">
        <v>92</v>
      </c>
      <c r="U16" s="31">
        <v>105.74</v>
      </c>
      <c r="V16" s="31">
        <v>87.12</v>
      </c>
      <c r="W16" s="31">
        <v>104.98</v>
      </c>
      <c r="X16" s="31">
        <v>104.98</v>
      </c>
      <c r="Y16" s="31" t="s">
        <v>152</v>
      </c>
      <c r="Z16">
        <f t="shared" si="2"/>
        <v>4.5930058782504724E-2</v>
      </c>
    </row>
    <row r="17" spans="1:26" ht="58.2" thickBot="1" x14ac:dyDescent="0.35">
      <c r="A17" s="17" t="s">
        <v>199</v>
      </c>
      <c r="B17" s="24" t="s">
        <v>200</v>
      </c>
      <c r="C17" s="18">
        <v>115</v>
      </c>
      <c r="D17" s="24">
        <v>10.1</v>
      </c>
      <c r="E17" s="24">
        <v>9.6999999999999993</v>
      </c>
      <c r="F17" s="24">
        <v>10.1</v>
      </c>
      <c r="G17" s="24">
        <v>-1.25</v>
      </c>
      <c r="H17" s="25">
        <v>-0.1101</v>
      </c>
      <c r="I17" s="24">
        <v>1</v>
      </c>
      <c r="J17" s="24">
        <v>1.831</v>
      </c>
      <c r="K17" s="26">
        <v>0.56299999999999994</v>
      </c>
      <c r="L17">
        <f t="shared" si="0"/>
        <v>9.8999999999999986</v>
      </c>
      <c r="R17">
        <f t="shared" si="1"/>
        <v>0.85765720200196605</v>
      </c>
      <c r="S17" s="30" t="s">
        <v>153</v>
      </c>
      <c r="T17" s="31">
        <v>75.099999999999994</v>
      </c>
      <c r="U17" s="31">
        <v>80.14</v>
      </c>
      <c r="V17" s="31">
        <v>73.28</v>
      </c>
      <c r="W17" s="31">
        <v>76.760000000000005</v>
      </c>
      <c r="X17" s="31">
        <v>76.760000000000005</v>
      </c>
      <c r="Y17" s="31" t="s">
        <v>154</v>
      </c>
      <c r="Z17">
        <f t="shared" si="2"/>
        <v>-0.26881310725852542</v>
      </c>
    </row>
    <row r="18" spans="1:26" ht="58.2" thickBot="1" x14ac:dyDescent="0.35">
      <c r="A18" s="17" t="s">
        <v>201</v>
      </c>
      <c r="B18" s="24" t="s">
        <v>202</v>
      </c>
      <c r="C18" s="18">
        <v>120</v>
      </c>
      <c r="D18" s="24">
        <v>8</v>
      </c>
      <c r="E18" s="24">
        <v>7.95</v>
      </c>
      <c r="F18" s="24">
        <v>8.25</v>
      </c>
      <c r="G18" s="24">
        <v>-1.45</v>
      </c>
      <c r="H18" s="25">
        <v>-0.15340000000000001</v>
      </c>
      <c r="I18" s="24">
        <v>252</v>
      </c>
      <c r="J18" s="24">
        <v>2.0750000000000002</v>
      </c>
      <c r="K18" s="26">
        <v>0.55679999999999996</v>
      </c>
      <c r="L18">
        <f t="shared" si="0"/>
        <v>8.1</v>
      </c>
      <c r="R18">
        <f t="shared" si="1"/>
        <v>0.85765720200196605</v>
      </c>
      <c r="S18" s="30" t="s">
        <v>155</v>
      </c>
      <c r="T18" s="31">
        <v>80.7</v>
      </c>
      <c r="U18" s="31">
        <v>82.45</v>
      </c>
      <c r="V18" s="31">
        <v>77.08</v>
      </c>
      <c r="W18" s="31">
        <v>77.760000000000005</v>
      </c>
      <c r="X18" s="31">
        <v>77.760000000000005</v>
      </c>
      <c r="Y18" s="31" t="s">
        <v>156</v>
      </c>
      <c r="Z18">
        <f t="shared" si="2"/>
        <v>1.3027618551328815E-2</v>
      </c>
    </row>
    <row r="19" spans="1:26" ht="58.2" thickBot="1" x14ac:dyDescent="0.35">
      <c r="A19" s="17" t="s">
        <v>203</v>
      </c>
      <c r="B19" s="24" t="s">
        <v>200</v>
      </c>
      <c r="C19" s="18">
        <v>125</v>
      </c>
      <c r="D19" s="24">
        <v>6.81</v>
      </c>
      <c r="E19" s="24">
        <v>6.5</v>
      </c>
      <c r="F19" s="24">
        <v>6.95</v>
      </c>
      <c r="G19" s="24">
        <v>-1.0900000000000001</v>
      </c>
      <c r="H19" s="25">
        <v>-0.13800000000000001</v>
      </c>
      <c r="I19" s="24">
        <v>6</v>
      </c>
      <c r="J19" s="24">
        <v>1.208</v>
      </c>
      <c r="K19" s="26">
        <v>0.55840000000000001</v>
      </c>
      <c r="L19">
        <f t="shared" si="0"/>
        <v>6.7249999999999996</v>
      </c>
      <c r="R19">
        <f t="shared" si="1"/>
        <v>0.85765720200196605</v>
      </c>
      <c r="S19" s="30" t="s">
        <v>157</v>
      </c>
      <c r="T19" s="31">
        <v>93.26</v>
      </c>
      <c r="U19" s="31">
        <v>93.95</v>
      </c>
      <c r="V19" s="31">
        <v>86.68</v>
      </c>
      <c r="W19" s="31">
        <v>86.71</v>
      </c>
      <c r="X19" s="31">
        <v>86.71</v>
      </c>
      <c r="Y19" s="31" t="s">
        <v>158</v>
      </c>
      <c r="Z19">
        <f t="shared" si="2"/>
        <v>0.11509773662551424</v>
      </c>
    </row>
    <row r="20" spans="1:26" ht="58.2" thickBot="1" x14ac:dyDescent="0.35">
      <c r="A20" s="17" t="s">
        <v>204</v>
      </c>
      <c r="B20" s="24" t="s">
        <v>205</v>
      </c>
      <c r="C20" s="18">
        <v>130</v>
      </c>
      <c r="D20" s="24">
        <v>6.43</v>
      </c>
      <c r="E20" s="24">
        <v>5.25</v>
      </c>
      <c r="F20" s="24">
        <v>5.55</v>
      </c>
      <c r="G20" s="24">
        <v>0</v>
      </c>
      <c r="H20" s="24" t="s">
        <v>22</v>
      </c>
      <c r="I20" s="24">
        <v>1.1479999999999999</v>
      </c>
      <c r="J20" s="24">
        <v>7.032</v>
      </c>
      <c r="K20" s="26">
        <v>0.55179999999999996</v>
      </c>
      <c r="L20">
        <f t="shared" si="0"/>
        <v>5.4</v>
      </c>
      <c r="R20">
        <f t="shared" si="1"/>
        <v>0.85765720200196605</v>
      </c>
      <c r="S20" s="30" t="s">
        <v>159</v>
      </c>
      <c r="T20" s="31">
        <v>95.19</v>
      </c>
      <c r="U20" s="31">
        <v>95.7</v>
      </c>
      <c r="V20" s="31">
        <v>90.82</v>
      </c>
      <c r="W20" s="31">
        <v>92.92</v>
      </c>
      <c r="X20" s="31">
        <v>92.92</v>
      </c>
      <c r="Y20" s="31" t="s">
        <v>160</v>
      </c>
      <c r="Z20">
        <f t="shared" si="2"/>
        <v>7.1618037135278617E-2</v>
      </c>
    </row>
    <row r="21" spans="1:26" ht="58.2" thickBot="1" x14ac:dyDescent="0.35">
      <c r="A21" s="17" t="s">
        <v>206</v>
      </c>
      <c r="B21" s="24" t="s">
        <v>202</v>
      </c>
      <c r="C21" s="18">
        <v>135</v>
      </c>
      <c r="D21" s="24">
        <v>4.8600000000000003</v>
      </c>
      <c r="E21" s="24">
        <v>4.25</v>
      </c>
      <c r="F21" s="24">
        <v>4.55</v>
      </c>
      <c r="G21" s="24">
        <v>-0.34</v>
      </c>
      <c r="H21" s="25">
        <v>-6.54E-2</v>
      </c>
      <c r="I21" s="24">
        <v>2</v>
      </c>
      <c r="J21" s="24">
        <v>1.522</v>
      </c>
      <c r="K21" s="26">
        <v>0.55120000000000002</v>
      </c>
      <c r="L21">
        <f t="shared" si="0"/>
        <v>4.4000000000000004</v>
      </c>
      <c r="R21">
        <f t="shared" si="1"/>
        <v>0.85765720200196605</v>
      </c>
      <c r="S21" s="30" t="s">
        <v>161</v>
      </c>
      <c r="T21" s="31">
        <v>100.26</v>
      </c>
      <c r="U21" s="31">
        <v>100.97</v>
      </c>
      <c r="V21" s="31">
        <v>98.32</v>
      </c>
      <c r="W21" s="31">
        <v>100.93</v>
      </c>
      <c r="X21" s="31">
        <v>100.93</v>
      </c>
      <c r="Y21" s="31" t="s">
        <v>162</v>
      </c>
      <c r="Z21">
        <f t="shared" si="2"/>
        <v>8.6203185535944957E-2</v>
      </c>
    </row>
    <row r="22" spans="1:26" ht="58.2" thickBot="1" x14ac:dyDescent="0.35">
      <c r="A22" s="17" t="s">
        <v>207</v>
      </c>
      <c r="B22" s="24" t="s">
        <v>208</v>
      </c>
      <c r="C22" s="18">
        <v>140</v>
      </c>
      <c r="D22" s="24">
        <v>4.2699999999999996</v>
      </c>
      <c r="E22" s="24">
        <v>3.45</v>
      </c>
      <c r="F22" s="24">
        <v>3.7</v>
      </c>
      <c r="G22" s="24">
        <v>0</v>
      </c>
      <c r="H22" s="24" t="s">
        <v>22</v>
      </c>
      <c r="I22" s="24">
        <v>70</v>
      </c>
      <c r="J22" s="24">
        <v>2.0270000000000001</v>
      </c>
      <c r="K22" s="26">
        <v>0.55079999999999996</v>
      </c>
      <c r="L22">
        <f t="shared" si="0"/>
        <v>3.5750000000000002</v>
      </c>
      <c r="R22">
        <f t="shared" si="1"/>
        <v>0.85765720200196605</v>
      </c>
      <c r="S22" s="30" t="s">
        <v>163</v>
      </c>
      <c r="T22" s="31">
        <v>99.32</v>
      </c>
      <c r="U22" s="31">
        <v>100.91</v>
      </c>
      <c r="V22" s="31">
        <v>95.57</v>
      </c>
      <c r="W22" s="31">
        <v>97.5</v>
      </c>
      <c r="X22" s="31">
        <v>97.5</v>
      </c>
      <c r="Y22" s="31" t="s">
        <v>164</v>
      </c>
      <c r="Z22">
        <f t="shared" si="2"/>
        <v>-3.3983949271772583E-2</v>
      </c>
    </row>
    <row r="23" spans="1:26" ht="58.2" thickBot="1" x14ac:dyDescent="0.35">
      <c r="A23" s="17" t="s">
        <v>209</v>
      </c>
      <c r="B23" s="24" t="s">
        <v>210</v>
      </c>
      <c r="C23" s="18">
        <v>145</v>
      </c>
      <c r="D23" s="24">
        <v>3.56</v>
      </c>
      <c r="E23" s="24">
        <v>2.81</v>
      </c>
      <c r="F23" s="24">
        <v>3</v>
      </c>
      <c r="G23" s="24">
        <v>0</v>
      </c>
      <c r="H23" s="24" t="s">
        <v>22</v>
      </c>
      <c r="I23" s="24">
        <v>73</v>
      </c>
      <c r="J23" s="24">
        <v>955</v>
      </c>
      <c r="K23" s="26">
        <v>0.55120000000000002</v>
      </c>
      <c r="L23">
        <f t="shared" si="0"/>
        <v>2.9050000000000002</v>
      </c>
      <c r="R23">
        <f t="shared" si="1"/>
        <v>0.85765720200196605</v>
      </c>
      <c r="S23" s="30" t="s">
        <v>165</v>
      </c>
      <c r="T23" s="31">
        <v>99.56</v>
      </c>
      <c r="U23" s="31">
        <v>103.36</v>
      </c>
      <c r="V23" s="31">
        <v>98.6</v>
      </c>
      <c r="W23" s="31">
        <v>98.66</v>
      </c>
      <c r="X23" s="31">
        <v>98.66</v>
      </c>
      <c r="Y23" s="31" t="s">
        <v>166</v>
      </c>
      <c r="Z23">
        <f t="shared" si="2"/>
        <v>1.1897435897435863E-2</v>
      </c>
    </row>
    <row r="24" spans="1:26" ht="58.2" thickBot="1" x14ac:dyDescent="0.35">
      <c r="A24" s="17" t="s">
        <v>211</v>
      </c>
      <c r="B24" s="24" t="s">
        <v>212</v>
      </c>
      <c r="C24" s="18">
        <v>150</v>
      </c>
      <c r="D24" s="24">
        <v>2.86</v>
      </c>
      <c r="E24" s="24">
        <v>2.29</v>
      </c>
      <c r="F24" s="24">
        <v>2.48</v>
      </c>
      <c r="G24" s="24">
        <v>0</v>
      </c>
      <c r="H24" s="24" t="s">
        <v>22</v>
      </c>
      <c r="I24" s="24">
        <v>50</v>
      </c>
      <c r="J24" s="24">
        <v>4.2519999999999998</v>
      </c>
      <c r="K24" s="26">
        <v>0.55369999999999997</v>
      </c>
      <c r="L24">
        <f t="shared" si="0"/>
        <v>2.3849999999999998</v>
      </c>
      <c r="R24">
        <f t="shared" si="1"/>
        <v>0.85765720200196605</v>
      </c>
      <c r="S24" s="30" t="s">
        <v>256</v>
      </c>
      <c r="T24" s="31">
        <v>100.29</v>
      </c>
      <c r="U24" s="31">
        <v>104.39</v>
      </c>
      <c r="V24" s="31">
        <v>99.33</v>
      </c>
      <c r="W24" s="31">
        <v>100.6</v>
      </c>
      <c r="X24" s="31">
        <v>100.6</v>
      </c>
      <c r="Y24" s="31" t="s">
        <v>257</v>
      </c>
      <c r="Z24">
        <f t="shared" si="2"/>
        <v>1.9663490776403787E-2</v>
      </c>
    </row>
    <row r="25" spans="1:26" ht="58.2" thickBot="1" x14ac:dyDescent="0.35">
      <c r="A25" s="17" t="s">
        <v>213</v>
      </c>
      <c r="B25" s="24" t="s">
        <v>214</v>
      </c>
      <c r="C25" s="18">
        <v>155</v>
      </c>
      <c r="D25" s="24">
        <v>2</v>
      </c>
      <c r="E25" s="24">
        <v>1.87</v>
      </c>
      <c r="F25" s="24">
        <v>2.0299999999999998</v>
      </c>
      <c r="G25" s="24">
        <v>-0.35</v>
      </c>
      <c r="H25" s="25">
        <v>-0.1489</v>
      </c>
      <c r="I25" s="24">
        <v>1</v>
      </c>
      <c r="J25" s="24">
        <v>587</v>
      </c>
      <c r="K25" s="26">
        <v>0.55569999999999997</v>
      </c>
      <c r="L25">
        <f t="shared" si="0"/>
        <v>1.95</v>
      </c>
      <c r="R25">
        <f t="shared" si="1"/>
        <v>0.85765720200196605</v>
      </c>
      <c r="S25" s="30" t="s">
        <v>258</v>
      </c>
      <c r="T25" s="31">
        <v>106.03</v>
      </c>
      <c r="U25" s="31">
        <v>106.63</v>
      </c>
      <c r="V25" s="31">
        <v>101.07</v>
      </c>
      <c r="W25" s="31">
        <v>102.05</v>
      </c>
      <c r="X25" s="31">
        <v>102.05</v>
      </c>
      <c r="Y25" s="31" t="s">
        <v>259</v>
      </c>
      <c r="Z25">
        <f t="shared" si="2"/>
        <v>1.441351888667995E-2</v>
      </c>
    </row>
    <row r="26" spans="1:26" ht="58.2" thickBot="1" x14ac:dyDescent="0.35">
      <c r="A26" s="17" t="s">
        <v>215</v>
      </c>
      <c r="B26" s="24" t="s">
        <v>216</v>
      </c>
      <c r="C26" s="18">
        <v>160</v>
      </c>
      <c r="D26" s="24">
        <v>2</v>
      </c>
      <c r="E26" s="24">
        <v>1.55</v>
      </c>
      <c r="F26" s="24">
        <v>1.68</v>
      </c>
      <c r="G26" s="24">
        <v>0</v>
      </c>
      <c r="H26" s="24" t="s">
        <v>22</v>
      </c>
      <c r="I26" s="24">
        <v>345</v>
      </c>
      <c r="J26" s="24">
        <v>2.6749999999999998</v>
      </c>
      <c r="K26" s="26">
        <v>0.55930000000000002</v>
      </c>
      <c r="L26">
        <f t="shared" si="0"/>
        <v>1.615</v>
      </c>
      <c r="R26">
        <f t="shared" si="1"/>
        <v>0.85765720200196605</v>
      </c>
      <c r="S26" s="30" t="s">
        <v>260</v>
      </c>
      <c r="T26" s="31">
        <v>107.39</v>
      </c>
      <c r="U26" s="31">
        <v>107.39</v>
      </c>
      <c r="V26" s="31">
        <v>103.24</v>
      </c>
      <c r="W26" s="31">
        <v>105.42</v>
      </c>
      <c r="X26" s="31">
        <v>105.42</v>
      </c>
      <c r="Y26" s="31" t="s">
        <v>261</v>
      </c>
      <c r="Z26">
        <f t="shared" si="2"/>
        <v>3.302302792748657E-2</v>
      </c>
    </row>
    <row r="27" spans="1:26" ht="58.2" thickBot="1" x14ac:dyDescent="0.35">
      <c r="A27" s="17" t="s">
        <v>217</v>
      </c>
      <c r="B27" s="24" t="s">
        <v>218</v>
      </c>
      <c r="C27" s="18">
        <v>165</v>
      </c>
      <c r="D27" s="24">
        <v>1.6</v>
      </c>
      <c r="E27" s="24">
        <v>1.28</v>
      </c>
      <c r="F27" s="24">
        <v>1.39</v>
      </c>
      <c r="G27" s="24">
        <v>0</v>
      </c>
      <c r="H27" s="24" t="s">
        <v>22</v>
      </c>
      <c r="I27" s="24">
        <v>101</v>
      </c>
      <c r="J27" s="24">
        <v>1.9830000000000001</v>
      </c>
      <c r="K27" s="26">
        <v>0.5625</v>
      </c>
      <c r="L27">
        <f t="shared" si="0"/>
        <v>1.335</v>
      </c>
      <c r="R27">
        <f t="shared" si="1"/>
        <v>0.85765720200196605</v>
      </c>
      <c r="S27" s="30" t="s">
        <v>262</v>
      </c>
      <c r="T27" s="31">
        <v>105.85</v>
      </c>
      <c r="U27" s="31">
        <v>111.25</v>
      </c>
      <c r="V27" s="31">
        <v>105.85</v>
      </c>
      <c r="W27" s="31">
        <v>107.09</v>
      </c>
      <c r="X27" s="31">
        <v>107.09</v>
      </c>
      <c r="Y27" s="31" t="s">
        <v>263</v>
      </c>
      <c r="Z27">
        <f t="shared" si="2"/>
        <v>1.5841396319483985E-2</v>
      </c>
    </row>
    <row r="28" spans="1:26" ht="58.2" thickBot="1" x14ac:dyDescent="0.35">
      <c r="A28" s="17" t="s">
        <v>219</v>
      </c>
      <c r="B28" s="24" t="s">
        <v>194</v>
      </c>
      <c r="C28" s="18">
        <v>170</v>
      </c>
      <c r="D28" s="24">
        <v>1.3</v>
      </c>
      <c r="E28" s="24">
        <v>1.01</v>
      </c>
      <c r="F28" s="24">
        <v>1.21</v>
      </c>
      <c r="G28" s="24">
        <v>0</v>
      </c>
      <c r="H28" s="24" t="s">
        <v>22</v>
      </c>
      <c r="I28" s="24">
        <v>14</v>
      </c>
      <c r="J28" s="24">
        <v>1.3260000000000001</v>
      </c>
      <c r="K28" s="26">
        <v>0.56620000000000004</v>
      </c>
      <c r="L28">
        <f t="shared" si="0"/>
        <v>1.1099999999999999</v>
      </c>
      <c r="R28">
        <f t="shared" si="1"/>
        <v>0.85765720200196605</v>
      </c>
      <c r="S28" s="30" t="s">
        <v>264</v>
      </c>
      <c r="T28" s="31">
        <v>105.97</v>
      </c>
      <c r="U28" s="31">
        <v>107.49</v>
      </c>
      <c r="V28" s="31">
        <v>103.64</v>
      </c>
      <c r="W28" s="31">
        <v>105.19</v>
      </c>
      <c r="X28" s="31">
        <v>105.19</v>
      </c>
      <c r="Y28" s="31" t="s">
        <v>265</v>
      </c>
      <c r="Z28">
        <f t="shared" si="2"/>
        <v>-1.7742086095807318E-2</v>
      </c>
    </row>
    <row r="29" spans="1:26" ht="58.2" thickBot="1" x14ac:dyDescent="0.35">
      <c r="A29" s="17" t="s">
        <v>220</v>
      </c>
      <c r="B29" s="24" t="s">
        <v>202</v>
      </c>
      <c r="C29" s="18">
        <v>175</v>
      </c>
      <c r="D29" s="24">
        <v>1</v>
      </c>
      <c r="E29" s="24">
        <v>0.88</v>
      </c>
      <c r="F29" s="24">
        <v>0.98</v>
      </c>
      <c r="G29" s="24">
        <v>-0.34</v>
      </c>
      <c r="H29" s="25">
        <v>-0.25369999999999998</v>
      </c>
      <c r="I29" s="24">
        <v>1</v>
      </c>
      <c r="J29" s="24">
        <v>777</v>
      </c>
      <c r="K29" s="26">
        <v>0.5706</v>
      </c>
      <c r="L29">
        <f t="shared" si="0"/>
        <v>0.92999999999999994</v>
      </c>
      <c r="R29">
        <f t="shared" si="1"/>
        <v>0.85765720200196605</v>
      </c>
      <c r="S29" s="30" t="s">
        <v>266</v>
      </c>
      <c r="T29" s="31">
        <v>107.89</v>
      </c>
      <c r="U29" s="31">
        <v>108.55</v>
      </c>
      <c r="V29" s="31">
        <v>104</v>
      </c>
      <c r="W29" s="31">
        <v>107.94</v>
      </c>
      <c r="X29" s="31">
        <v>107.94</v>
      </c>
      <c r="Y29" s="31" t="s">
        <v>267</v>
      </c>
      <c r="Z29">
        <f t="shared" si="2"/>
        <v>2.6143169502804448E-2</v>
      </c>
    </row>
    <row r="30" spans="1:26" ht="58.2" thickBot="1" x14ac:dyDescent="0.35">
      <c r="A30" s="17" t="s">
        <v>221</v>
      </c>
      <c r="B30" s="24" t="s">
        <v>202</v>
      </c>
      <c r="C30" s="18">
        <v>180</v>
      </c>
      <c r="D30" s="24">
        <v>0.89</v>
      </c>
      <c r="E30" s="24">
        <v>0.77</v>
      </c>
      <c r="F30" s="24">
        <v>0.84</v>
      </c>
      <c r="G30" s="24">
        <v>-0.02</v>
      </c>
      <c r="H30" s="25">
        <v>-2.1999999999999999E-2</v>
      </c>
      <c r="I30" s="24">
        <v>3</v>
      </c>
      <c r="J30" s="24">
        <v>748</v>
      </c>
      <c r="K30" s="26">
        <v>0.57809999999999995</v>
      </c>
      <c r="L30">
        <f t="shared" si="0"/>
        <v>0.80499999999999994</v>
      </c>
      <c r="R30">
        <f t="shared" si="1"/>
        <v>0.85765720200196605</v>
      </c>
      <c r="S30" s="30" t="s">
        <v>268</v>
      </c>
      <c r="T30" s="31">
        <v>100.07</v>
      </c>
      <c r="U30" s="31">
        <v>108.95</v>
      </c>
      <c r="V30" s="31">
        <v>100.02</v>
      </c>
      <c r="W30" s="31">
        <v>108.93</v>
      </c>
      <c r="X30" s="31">
        <v>108.93</v>
      </c>
      <c r="Y30" s="31" t="s">
        <v>269</v>
      </c>
      <c r="Z30">
        <f t="shared" si="2"/>
        <v>9.1717620900501114E-3</v>
      </c>
    </row>
    <row r="31" spans="1:26" ht="58.2" thickBot="1" x14ac:dyDescent="0.35">
      <c r="A31" s="17" t="s">
        <v>222</v>
      </c>
      <c r="B31" s="24" t="s">
        <v>202</v>
      </c>
      <c r="C31" s="18">
        <v>185</v>
      </c>
      <c r="D31" s="24">
        <v>0.74</v>
      </c>
      <c r="E31" s="24">
        <v>0.47</v>
      </c>
      <c r="F31" s="24">
        <v>0.82</v>
      </c>
      <c r="G31" s="24">
        <v>-0.06</v>
      </c>
      <c r="H31" s="25">
        <v>-7.4999999999999997E-2</v>
      </c>
      <c r="I31" s="24">
        <v>4</v>
      </c>
      <c r="J31" s="24">
        <v>1.1279999999999999</v>
      </c>
      <c r="K31" s="26">
        <v>0.57669999999999999</v>
      </c>
      <c r="L31">
        <f t="shared" si="0"/>
        <v>0.64500000000000002</v>
      </c>
      <c r="R31">
        <f t="shared" si="1"/>
        <v>0.85765720200196605</v>
      </c>
      <c r="S31" s="30" t="s">
        <v>270</v>
      </c>
      <c r="T31" s="31">
        <v>115.1</v>
      </c>
      <c r="U31" s="31">
        <v>115.4</v>
      </c>
      <c r="V31" s="31">
        <v>109.6</v>
      </c>
      <c r="W31" s="31">
        <v>109.72</v>
      </c>
      <c r="X31" s="31">
        <v>109.72</v>
      </c>
      <c r="Y31" s="31" t="s">
        <v>271</v>
      </c>
      <c r="Z31">
        <f t="shared" si="2"/>
        <v>7.252363903424144E-3</v>
      </c>
    </row>
    <row r="32" spans="1:26" ht="58.2" thickBot="1" x14ac:dyDescent="0.35">
      <c r="A32" s="17" t="s">
        <v>223</v>
      </c>
      <c r="B32" s="24" t="s">
        <v>202</v>
      </c>
      <c r="C32" s="18">
        <v>190</v>
      </c>
      <c r="D32" s="24">
        <v>0.63</v>
      </c>
      <c r="E32" s="24">
        <v>0.51</v>
      </c>
      <c r="F32" s="24">
        <v>0.76</v>
      </c>
      <c r="G32" s="24">
        <v>-0.06</v>
      </c>
      <c r="H32" s="25">
        <v>-8.6999999999999994E-2</v>
      </c>
      <c r="I32" s="24">
        <v>1</v>
      </c>
      <c r="J32" s="24">
        <v>1.1419999999999999</v>
      </c>
      <c r="K32" s="26">
        <v>0.59670000000000001</v>
      </c>
      <c r="L32">
        <f t="shared" si="0"/>
        <v>0.63500000000000001</v>
      </c>
      <c r="R32">
        <f t="shared" si="1"/>
        <v>0.85765720200196605</v>
      </c>
      <c r="S32" s="30" t="s">
        <v>272</v>
      </c>
      <c r="T32" s="31">
        <v>114</v>
      </c>
      <c r="U32" s="31">
        <v>114.85</v>
      </c>
      <c r="V32" s="31">
        <v>112.06</v>
      </c>
      <c r="W32" s="31">
        <v>112.93</v>
      </c>
      <c r="X32" s="31">
        <v>112.93</v>
      </c>
      <c r="Y32" s="31" t="s">
        <v>273</v>
      </c>
      <c r="Z32">
        <f t="shared" si="2"/>
        <v>2.9256288734961795E-2</v>
      </c>
    </row>
    <row r="33" spans="1:26" ht="58.2" thickBot="1" x14ac:dyDescent="0.35">
      <c r="A33" s="17" t="s">
        <v>224</v>
      </c>
      <c r="B33" s="24" t="s">
        <v>83</v>
      </c>
      <c r="C33" s="18">
        <v>195</v>
      </c>
      <c r="D33" s="24">
        <v>0.72</v>
      </c>
      <c r="E33" s="24">
        <v>0.27</v>
      </c>
      <c r="F33" s="24">
        <v>0.74</v>
      </c>
      <c r="G33" s="24">
        <v>0</v>
      </c>
      <c r="H33" s="24" t="s">
        <v>22</v>
      </c>
      <c r="I33" s="24">
        <v>1</v>
      </c>
      <c r="J33" s="24">
        <v>242</v>
      </c>
      <c r="K33" s="26">
        <v>0.59379999999999999</v>
      </c>
      <c r="L33">
        <f t="shared" si="0"/>
        <v>0.505</v>
      </c>
      <c r="R33">
        <f t="shared" si="1"/>
        <v>0.85765720200196605</v>
      </c>
      <c r="S33" s="30" t="s">
        <v>274</v>
      </c>
      <c r="T33" s="31">
        <v>120.88</v>
      </c>
      <c r="U33" s="31">
        <v>120.88</v>
      </c>
      <c r="V33" s="31">
        <v>117.2</v>
      </c>
      <c r="W33" s="31">
        <v>118.99</v>
      </c>
      <c r="X33" s="31">
        <v>118.99</v>
      </c>
      <c r="Y33" s="31" t="s">
        <v>275</v>
      </c>
      <c r="Z33">
        <f t="shared" si="2"/>
        <v>5.3661560258567144E-2</v>
      </c>
    </row>
    <row r="34" spans="1:26" ht="58.2" thickBot="1" x14ac:dyDescent="0.35">
      <c r="A34" s="17" t="s">
        <v>225</v>
      </c>
      <c r="B34" s="24" t="s">
        <v>202</v>
      </c>
      <c r="C34" s="18">
        <v>200</v>
      </c>
      <c r="D34" s="24">
        <v>0.48</v>
      </c>
      <c r="E34" s="24">
        <v>0.35</v>
      </c>
      <c r="F34" s="24">
        <v>0.66</v>
      </c>
      <c r="G34" s="24">
        <v>-0.02</v>
      </c>
      <c r="H34" s="25">
        <v>-0.04</v>
      </c>
      <c r="I34" s="24">
        <v>10</v>
      </c>
      <c r="J34" s="24">
        <v>6.1719999999999997</v>
      </c>
      <c r="K34" s="26">
        <v>0.61329999999999996</v>
      </c>
      <c r="L34">
        <f t="shared" si="0"/>
        <v>0.505</v>
      </c>
      <c r="R34">
        <f t="shared" si="1"/>
        <v>0.85765720200196605</v>
      </c>
      <c r="S34" s="30" t="s">
        <v>276</v>
      </c>
      <c r="T34" s="31">
        <v>125</v>
      </c>
      <c r="U34" s="31">
        <v>129.4</v>
      </c>
      <c r="V34" s="31">
        <v>124.06</v>
      </c>
      <c r="W34" s="31">
        <v>124.43</v>
      </c>
      <c r="X34" s="31">
        <v>124.43</v>
      </c>
      <c r="Y34" s="31" t="s">
        <v>277</v>
      </c>
      <c r="Z34">
        <f t="shared" si="2"/>
        <v>4.5718127573745798E-2</v>
      </c>
    </row>
    <row r="35" spans="1:26" ht="58.2" thickBot="1" x14ac:dyDescent="0.35">
      <c r="A35" s="17" t="s">
        <v>226</v>
      </c>
      <c r="B35" s="24" t="s">
        <v>227</v>
      </c>
      <c r="C35" s="18">
        <v>205</v>
      </c>
      <c r="D35" s="24">
        <v>0.45</v>
      </c>
      <c r="E35" s="24">
        <v>0.32</v>
      </c>
      <c r="F35" s="24">
        <v>0.59</v>
      </c>
      <c r="G35" s="24">
        <v>0</v>
      </c>
      <c r="H35" s="24" t="s">
        <v>22</v>
      </c>
      <c r="I35" s="24">
        <v>16</v>
      </c>
      <c r="J35" s="24">
        <v>153</v>
      </c>
      <c r="K35" s="26">
        <v>0.62209999999999999</v>
      </c>
      <c r="L35">
        <f t="shared" si="0"/>
        <v>0.45499999999999996</v>
      </c>
      <c r="R35">
        <f t="shared" si="1"/>
        <v>0.85765720200196605</v>
      </c>
      <c r="S35" s="30" t="s">
        <v>278</v>
      </c>
      <c r="T35" s="31">
        <v>125.61</v>
      </c>
      <c r="U35" s="31">
        <v>127.58</v>
      </c>
      <c r="V35" s="31">
        <v>124.51</v>
      </c>
      <c r="W35" s="31">
        <v>125.56</v>
      </c>
      <c r="X35" s="31">
        <v>125.56</v>
      </c>
      <c r="Y35" s="31" t="s">
        <v>279</v>
      </c>
      <c r="Z35">
        <f t="shared" si="2"/>
        <v>9.0814112352326243E-3</v>
      </c>
    </row>
    <row r="36" spans="1:26" ht="58.2" thickBot="1" x14ac:dyDescent="0.35">
      <c r="A36" s="17" t="s">
        <v>228</v>
      </c>
      <c r="B36" s="24" t="s">
        <v>229</v>
      </c>
      <c r="C36" s="18">
        <v>210</v>
      </c>
      <c r="D36" s="24">
        <v>0.53</v>
      </c>
      <c r="E36" s="24">
        <v>0.23</v>
      </c>
      <c r="F36" s="24">
        <v>0.55000000000000004</v>
      </c>
      <c r="G36" s="24">
        <v>0</v>
      </c>
      <c r="H36" s="24" t="s">
        <v>22</v>
      </c>
      <c r="I36" s="24">
        <v>100</v>
      </c>
      <c r="J36" s="24">
        <v>1.6339999999999999</v>
      </c>
      <c r="K36" s="26">
        <v>0.625</v>
      </c>
      <c r="L36">
        <f t="shared" si="0"/>
        <v>0.39</v>
      </c>
      <c r="R36">
        <f t="shared" si="1"/>
        <v>0.85765720200196605</v>
      </c>
      <c r="S36" s="30" t="s">
        <v>280</v>
      </c>
      <c r="T36" s="31">
        <v>123.77</v>
      </c>
      <c r="U36" s="31">
        <v>126.81</v>
      </c>
      <c r="V36" s="31">
        <v>123.38</v>
      </c>
      <c r="W36" s="31">
        <v>126.24</v>
      </c>
      <c r="X36" s="31">
        <v>126.24</v>
      </c>
      <c r="Y36" s="31" t="s">
        <v>281</v>
      </c>
      <c r="Z36">
        <f t="shared" si="2"/>
        <v>5.415737496017781E-3</v>
      </c>
    </row>
    <row r="37" spans="1:26" ht="58.2" thickBot="1" x14ac:dyDescent="0.35">
      <c r="A37" s="17" t="s">
        <v>230</v>
      </c>
      <c r="B37" s="24" t="s">
        <v>231</v>
      </c>
      <c r="C37" s="18">
        <v>215</v>
      </c>
      <c r="D37" s="24">
        <v>0.41</v>
      </c>
      <c r="E37" s="24">
        <v>0.21</v>
      </c>
      <c r="F37" s="24">
        <v>0.46</v>
      </c>
      <c r="G37" s="24">
        <v>0</v>
      </c>
      <c r="H37" s="24" t="s">
        <v>22</v>
      </c>
      <c r="I37" s="24">
        <v>79</v>
      </c>
      <c r="J37" s="24">
        <v>152</v>
      </c>
      <c r="K37" s="26">
        <v>0.62790000000000001</v>
      </c>
      <c r="L37">
        <f t="shared" si="0"/>
        <v>0.33500000000000002</v>
      </c>
      <c r="R37">
        <f t="shared" si="1"/>
        <v>0.85765720200196605</v>
      </c>
      <c r="S37" s="30" t="s">
        <v>282</v>
      </c>
      <c r="T37" s="31">
        <v>120.56</v>
      </c>
      <c r="U37" s="31">
        <v>122.38</v>
      </c>
      <c r="V37" s="31">
        <v>119.37</v>
      </c>
      <c r="W37" s="31">
        <v>121.92</v>
      </c>
      <c r="X37" s="31">
        <v>121.92</v>
      </c>
      <c r="Y37" s="31" t="s">
        <v>283</v>
      </c>
      <c r="Z37">
        <f t="shared" si="2"/>
        <v>-3.4220532319391581E-2</v>
      </c>
    </row>
    <row r="38" spans="1:26" ht="58.2" thickBot="1" x14ac:dyDescent="0.35">
      <c r="A38" s="17" t="s">
        <v>232</v>
      </c>
      <c r="B38" s="24" t="s">
        <v>233</v>
      </c>
      <c r="C38" s="18">
        <v>220</v>
      </c>
      <c r="D38" s="24">
        <v>0.47</v>
      </c>
      <c r="E38" s="24">
        <v>0.19</v>
      </c>
      <c r="F38" s="24">
        <v>0.47</v>
      </c>
      <c r="G38" s="24">
        <v>0</v>
      </c>
      <c r="H38" s="24" t="s">
        <v>22</v>
      </c>
      <c r="I38" s="24">
        <v>42</v>
      </c>
      <c r="J38" s="24">
        <v>315</v>
      </c>
      <c r="K38" s="26">
        <v>0.6431</v>
      </c>
      <c r="L38">
        <f t="shared" si="0"/>
        <v>0.32999999999999996</v>
      </c>
      <c r="R38">
        <f t="shared" si="1"/>
        <v>0.85765720200196605</v>
      </c>
      <c r="S38" s="30" t="s">
        <v>284</v>
      </c>
      <c r="T38" s="31">
        <v>125.33</v>
      </c>
      <c r="U38" s="31">
        <v>126.72</v>
      </c>
      <c r="V38" s="31">
        <v>121.94</v>
      </c>
      <c r="W38" s="31">
        <v>122.25</v>
      </c>
      <c r="X38" s="31">
        <v>122.25</v>
      </c>
      <c r="Y38" s="31" t="s">
        <v>285</v>
      </c>
      <c r="Z38">
        <f t="shared" si="2"/>
        <v>2.7066929133858129E-3</v>
      </c>
    </row>
    <row r="39" spans="1:26" ht="58.2" thickBot="1" x14ac:dyDescent="0.35">
      <c r="A39" s="17" t="s">
        <v>234</v>
      </c>
      <c r="B39" s="24" t="s">
        <v>235</v>
      </c>
      <c r="C39" s="18">
        <v>225</v>
      </c>
      <c r="D39" s="24">
        <v>0.37</v>
      </c>
      <c r="E39" s="24">
        <v>0.17</v>
      </c>
      <c r="F39" s="24">
        <v>0.43</v>
      </c>
      <c r="G39" s="24">
        <v>0</v>
      </c>
      <c r="H39" s="24" t="s">
        <v>22</v>
      </c>
      <c r="I39" s="24">
        <v>10</v>
      </c>
      <c r="J39" s="24">
        <v>828</v>
      </c>
      <c r="K39" s="26">
        <v>0.65039999999999998</v>
      </c>
      <c r="L39">
        <f t="shared" si="0"/>
        <v>0.3</v>
      </c>
      <c r="R39">
        <f t="shared" si="1"/>
        <v>0.85765720200196605</v>
      </c>
      <c r="S39" s="30" t="s">
        <v>286</v>
      </c>
      <c r="T39" s="31">
        <v>124.11</v>
      </c>
      <c r="U39" s="31">
        <v>128.34</v>
      </c>
      <c r="V39" s="31">
        <v>123.4</v>
      </c>
      <c r="W39" s="31">
        <v>123.98</v>
      </c>
      <c r="X39" s="31">
        <v>123.98</v>
      </c>
      <c r="Y39" s="31" t="s">
        <v>287</v>
      </c>
      <c r="Z39">
        <f t="shared" si="2"/>
        <v>1.4151329243353815E-2</v>
      </c>
    </row>
    <row r="40" spans="1:26" ht="58.2" thickBot="1" x14ac:dyDescent="0.35">
      <c r="A40" s="17" t="s">
        <v>236</v>
      </c>
      <c r="B40" s="24" t="s">
        <v>237</v>
      </c>
      <c r="C40" s="18">
        <v>230</v>
      </c>
      <c r="D40" s="24">
        <v>0.28999999999999998</v>
      </c>
      <c r="E40" s="24">
        <v>0.13</v>
      </c>
      <c r="F40" s="24">
        <v>0.38</v>
      </c>
      <c r="G40" s="24">
        <v>0</v>
      </c>
      <c r="H40" s="24" t="s">
        <v>22</v>
      </c>
      <c r="I40" s="24">
        <v>37</v>
      </c>
      <c r="J40" s="24">
        <v>378</v>
      </c>
      <c r="K40" s="26">
        <v>0.65139999999999998</v>
      </c>
      <c r="L40">
        <f t="shared" si="0"/>
        <v>0.255</v>
      </c>
      <c r="R40">
        <f t="shared" si="1"/>
        <v>0.85765720200196605</v>
      </c>
      <c r="S40" s="30" t="s">
        <v>288</v>
      </c>
      <c r="T40" s="31">
        <v>123.09</v>
      </c>
      <c r="U40" s="31">
        <v>126.8</v>
      </c>
      <c r="V40" s="31">
        <v>121.94</v>
      </c>
      <c r="W40" s="31">
        <v>126.5</v>
      </c>
      <c r="X40" s="31">
        <v>126.5</v>
      </c>
      <c r="Y40" s="31" t="s">
        <v>289</v>
      </c>
      <c r="Z40">
        <f t="shared" si="2"/>
        <v>2.0325859009517631E-2</v>
      </c>
    </row>
    <row r="41" spans="1:26" ht="58.2" thickBot="1" x14ac:dyDescent="0.35">
      <c r="A41" s="17" t="s">
        <v>238</v>
      </c>
      <c r="B41" s="24" t="s">
        <v>239</v>
      </c>
      <c r="C41" s="18">
        <v>235</v>
      </c>
      <c r="D41" s="24">
        <v>0.31</v>
      </c>
      <c r="E41" s="24">
        <v>0.16</v>
      </c>
      <c r="F41" s="24">
        <v>0.38</v>
      </c>
      <c r="G41" s="24">
        <v>0</v>
      </c>
      <c r="H41" s="24" t="s">
        <v>22</v>
      </c>
      <c r="I41" s="24">
        <v>2</v>
      </c>
      <c r="J41" s="24">
        <v>402</v>
      </c>
      <c r="K41" s="26">
        <v>0.6714</v>
      </c>
      <c r="L41">
        <f t="shared" si="0"/>
        <v>0.27</v>
      </c>
      <c r="R41">
        <f t="shared" si="1"/>
        <v>0.85765720200196605</v>
      </c>
      <c r="S41" s="30" t="s">
        <v>290</v>
      </c>
      <c r="T41" s="31">
        <v>118.16</v>
      </c>
      <c r="U41" s="31">
        <v>122.24</v>
      </c>
      <c r="V41" s="31">
        <v>116.8</v>
      </c>
      <c r="W41" s="31">
        <v>121.9</v>
      </c>
      <c r="X41" s="31">
        <v>121.9</v>
      </c>
      <c r="Y41" s="31" t="s">
        <v>291</v>
      </c>
      <c r="Z41">
        <f t="shared" si="2"/>
        <v>-3.636363636363632E-2</v>
      </c>
    </row>
    <row r="42" spans="1:26" ht="58.2" thickBot="1" x14ac:dyDescent="0.35">
      <c r="A42" s="17" t="s">
        <v>240</v>
      </c>
      <c r="B42" s="24" t="s">
        <v>241</v>
      </c>
      <c r="C42" s="18">
        <v>240</v>
      </c>
      <c r="D42" s="24">
        <v>0.22</v>
      </c>
      <c r="E42" s="24">
        <v>0.09</v>
      </c>
      <c r="F42" s="24">
        <v>0.5</v>
      </c>
      <c r="G42" s="24">
        <v>0</v>
      </c>
      <c r="H42" s="24" t="s">
        <v>22</v>
      </c>
      <c r="I42" s="24">
        <v>1</v>
      </c>
      <c r="J42" s="24">
        <v>716</v>
      </c>
      <c r="K42" s="26">
        <v>0.69430000000000003</v>
      </c>
      <c r="L42">
        <f t="shared" si="0"/>
        <v>0.29499999999999998</v>
      </c>
      <c r="R42">
        <f t="shared" si="1"/>
        <v>0.85765720200196605</v>
      </c>
      <c r="S42" s="30" t="s">
        <v>292</v>
      </c>
      <c r="T42" s="31">
        <v>116.1</v>
      </c>
      <c r="U42" s="31">
        <v>116.55</v>
      </c>
      <c r="V42" s="31">
        <v>113.6</v>
      </c>
      <c r="W42" s="31">
        <v>114.82</v>
      </c>
      <c r="X42" s="31">
        <v>114.82</v>
      </c>
      <c r="Y42" s="31" t="s">
        <v>293</v>
      </c>
      <c r="Z42">
        <f t="shared" si="2"/>
        <v>-5.8080393765381558E-2</v>
      </c>
    </row>
    <row r="43" spans="1:26" ht="58.2" thickBot="1" x14ac:dyDescent="0.35">
      <c r="A43" s="17" t="s">
        <v>242</v>
      </c>
      <c r="B43" s="24" t="s">
        <v>243</v>
      </c>
      <c r="C43" s="18">
        <v>245</v>
      </c>
      <c r="D43" s="24">
        <v>0.25</v>
      </c>
      <c r="E43" s="24">
        <v>0.08</v>
      </c>
      <c r="F43" s="24">
        <v>0.5</v>
      </c>
      <c r="G43" s="24">
        <v>0</v>
      </c>
      <c r="H43" s="24" t="s">
        <v>22</v>
      </c>
      <c r="I43" s="24">
        <v>70</v>
      </c>
      <c r="J43" s="24">
        <v>519</v>
      </c>
      <c r="K43" s="26">
        <v>0.70750000000000002</v>
      </c>
      <c r="L43">
        <f t="shared" si="0"/>
        <v>0.28999999999999998</v>
      </c>
      <c r="R43">
        <f t="shared" si="1"/>
        <v>0.85765720200196605</v>
      </c>
      <c r="S43" s="30" t="s">
        <v>294</v>
      </c>
      <c r="T43" s="31">
        <v>121.27</v>
      </c>
      <c r="U43" s="31">
        <v>123.94</v>
      </c>
      <c r="V43" s="31">
        <v>119.66</v>
      </c>
      <c r="W43" s="31">
        <v>122.22</v>
      </c>
      <c r="X43" s="31">
        <v>122.22</v>
      </c>
      <c r="Y43" s="31" t="s">
        <v>295</v>
      </c>
      <c r="Z43">
        <f t="shared" si="2"/>
        <v>6.4448702316669618E-2</v>
      </c>
    </row>
    <row r="44" spans="1:26" ht="58.2" thickBot="1" x14ac:dyDescent="0.35">
      <c r="A44" s="17" t="s">
        <v>244</v>
      </c>
      <c r="B44" s="24" t="s">
        <v>245</v>
      </c>
      <c r="C44" s="18">
        <v>250</v>
      </c>
      <c r="D44" s="24">
        <v>0.23</v>
      </c>
      <c r="E44" s="24">
        <v>0.08</v>
      </c>
      <c r="F44" s="24">
        <v>0.33</v>
      </c>
      <c r="G44" s="24">
        <v>0</v>
      </c>
      <c r="H44" s="24" t="s">
        <v>22</v>
      </c>
      <c r="I44" s="24">
        <v>4</v>
      </c>
      <c r="J44" s="24">
        <v>919</v>
      </c>
      <c r="K44" s="26">
        <v>0.6895</v>
      </c>
      <c r="L44">
        <f t="shared" si="0"/>
        <v>0.20500000000000002</v>
      </c>
      <c r="R44">
        <f t="shared" si="1"/>
        <v>0.85765720200196605</v>
      </c>
      <c r="S44" s="30" t="s">
        <v>296</v>
      </c>
      <c r="T44" s="31">
        <v>121.55</v>
      </c>
      <c r="U44" s="31">
        <v>125.27</v>
      </c>
      <c r="V44" s="31">
        <v>120.73</v>
      </c>
      <c r="W44" s="31">
        <v>123.47</v>
      </c>
      <c r="X44" s="31">
        <v>123.47</v>
      </c>
      <c r="Y44" s="31" t="s">
        <v>297</v>
      </c>
      <c r="Z44">
        <f t="shared" si="2"/>
        <v>1.0227458681066929E-2</v>
      </c>
    </row>
    <row r="45" spans="1:26" ht="58.2" thickBot="1" x14ac:dyDescent="0.35">
      <c r="A45" s="17" t="s">
        <v>246</v>
      </c>
      <c r="B45" s="24" t="s">
        <v>247</v>
      </c>
      <c r="C45" s="18">
        <v>255</v>
      </c>
      <c r="D45" s="24">
        <v>0.22</v>
      </c>
      <c r="E45" s="24">
        <v>0.1</v>
      </c>
      <c r="F45" s="24">
        <v>0.28999999999999998</v>
      </c>
      <c r="G45" s="24">
        <v>0</v>
      </c>
      <c r="H45" s="24" t="s">
        <v>22</v>
      </c>
      <c r="I45" s="24">
        <v>11</v>
      </c>
      <c r="J45" s="24">
        <v>176</v>
      </c>
      <c r="K45" s="26">
        <v>0.69820000000000004</v>
      </c>
      <c r="L45">
        <f t="shared" si="0"/>
        <v>0.19500000000000001</v>
      </c>
      <c r="R45">
        <f t="shared" si="1"/>
        <v>0.85765720200196605</v>
      </c>
      <c r="S45" s="30" t="s">
        <v>298</v>
      </c>
      <c r="T45" s="31">
        <v>127.63</v>
      </c>
      <c r="U45" s="31">
        <v>127.63</v>
      </c>
      <c r="V45" s="31">
        <v>121.17</v>
      </c>
      <c r="W45" s="31">
        <v>122.88</v>
      </c>
      <c r="X45" s="31">
        <v>122.88</v>
      </c>
      <c r="Y45" s="31" t="s">
        <v>299</v>
      </c>
      <c r="Z45">
        <f t="shared" si="2"/>
        <v>-4.7784887017089444E-3</v>
      </c>
    </row>
    <row r="46" spans="1:26" ht="58.2" thickBot="1" x14ac:dyDescent="0.35">
      <c r="A46" s="17" t="s">
        <v>248</v>
      </c>
      <c r="B46" s="24" t="s">
        <v>249</v>
      </c>
      <c r="C46" s="18">
        <v>260</v>
      </c>
      <c r="D46" s="24">
        <v>0.2</v>
      </c>
      <c r="E46" s="24">
        <v>7.0000000000000007E-2</v>
      </c>
      <c r="F46" s="24">
        <v>0.5</v>
      </c>
      <c r="G46" s="24">
        <v>0</v>
      </c>
      <c r="H46" s="24" t="s">
        <v>22</v>
      </c>
      <c r="I46" s="24">
        <v>47</v>
      </c>
      <c r="J46" s="24">
        <v>214</v>
      </c>
      <c r="K46" s="26">
        <v>0.74709999999999999</v>
      </c>
      <c r="L46">
        <f t="shared" si="0"/>
        <v>0.28500000000000003</v>
      </c>
      <c r="R46">
        <f t="shared" si="1"/>
        <v>0.85765720200196605</v>
      </c>
      <c r="S46" s="30" t="s">
        <v>300</v>
      </c>
      <c r="T46" s="31">
        <v>124.81</v>
      </c>
      <c r="U46" s="31">
        <v>128</v>
      </c>
      <c r="V46" s="31">
        <v>122.97</v>
      </c>
      <c r="W46" s="31">
        <v>127.22</v>
      </c>
      <c r="X46" s="31">
        <v>127.22</v>
      </c>
      <c r="Y46" s="31" t="s">
        <v>301</v>
      </c>
      <c r="Z46">
        <f t="shared" si="2"/>
        <v>3.5319010416666699E-2</v>
      </c>
    </row>
    <row r="47" spans="1:26" ht="58.2" thickBot="1" x14ac:dyDescent="0.35">
      <c r="A47" s="17" t="s">
        <v>250</v>
      </c>
      <c r="B47" s="24" t="s">
        <v>202</v>
      </c>
      <c r="C47" s="18">
        <v>265</v>
      </c>
      <c r="D47" s="24">
        <v>0.12</v>
      </c>
      <c r="E47" s="24">
        <v>0.12</v>
      </c>
      <c r="F47" s="24">
        <v>0.26</v>
      </c>
      <c r="G47" s="24">
        <v>-0.05</v>
      </c>
      <c r="H47" s="25">
        <v>-0.29409999999999997</v>
      </c>
      <c r="I47" s="24">
        <v>10</v>
      </c>
      <c r="J47" s="24">
        <v>133</v>
      </c>
      <c r="K47" s="26">
        <v>0.72170000000000001</v>
      </c>
      <c r="L47">
        <f t="shared" si="0"/>
        <v>0.19</v>
      </c>
      <c r="R47">
        <f t="shared" si="1"/>
        <v>0.85765720200196605</v>
      </c>
      <c r="S47" s="30" t="s">
        <v>302</v>
      </c>
      <c r="T47" s="31">
        <v>118.17</v>
      </c>
      <c r="U47" s="31">
        <v>125.87</v>
      </c>
      <c r="V47" s="31">
        <v>117.5</v>
      </c>
      <c r="W47" s="31">
        <v>125.79</v>
      </c>
      <c r="X47" s="31">
        <v>125.79</v>
      </c>
      <c r="Y47" s="31" t="s">
        <v>303</v>
      </c>
      <c r="Z47">
        <f t="shared" si="2"/>
        <v>-1.1240371010847293E-2</v>
      </c>
    </row>
    <row r="48" spans="1:26" ht="58.2" thickBot="1" x14ac:dyDescent="0.35">
      <c r="A48" s="17" t="s">
        <v>251</v>
      </c>
      <c r="B48" s="24" t="s">
        <v>252</v>
      </c>
      <c r="C48" s="18">
        <v>270</v>
      </c>
      <c r="D48" s="24">
        <v>0.15</v>
      </c>
      <c r="E48" s="24">
        <v>0.06</v>
      </c>
      <c r="F48" s="24">
        <v>0.24</v>
      </c>
      <c r="G48" s="24">
        <v>0</v>
      </c>
      <c r="H48" s="24" t="s">
        <v>22</v>
      </c>
      <c r="I48" s="24">
        <v>1</v>
      </c>
      <c r="J48" s="24">
        <v>1.214</v>
      </c>
      <c r="K48" s="26">
        <v>0.71289999999999998</v>
      </c>
      <c r="L48">
        <f t="shared" si="0"/>
        <v>0.15</v>
      </c>
      <c r="R48">
        <f t="shared" si="1"/>
        <v>0.85765720200196605</v>
      </c>
      <c r="S48" s="30" t="s">
        <v>304</v>
      </c>
      <c r="T48" s="31">
        <v>113.25</v>
      </c>
      <c r="U48" s="31">
        <v>115.32</v>
      </c>
      <c r="V48" s="31">
        <v>110.06</v>
      </c>
      <c r="W48" s="31">
        <v>115.23</v>
      </c>
      <c r="X48" s="31">
        <v>115.23</v>
      </c>
      <c r="Y48" s="31" t="s">
        <v>305</v>
      </c>
      <c r="Z48">
        <f t="shared" si="2"/>
        <v>-8.3949439542093982E-2</v>
      </c>
    </row>
    <row r="49" spans="19:26" ht="15" thickBot="1" x14ac:dyDescent="0.35">
      <c r="S49" s="30" t="s">
        <v>306</v>
      </c>
      <c r="T49" s="31">
        <v>113.11</v>
      </c>
      <c r="U49" s="31">
        <v>114.54</v>
      </c>
      <c r="V49" s="31">
        <v>110.27</v>
      </c>
      <c r="W49" s="31">
        <v>111.79</v>
      </c>
      <c r="X49" s="31">
        <v>111.79</v>
      </c>
      <c r="Y49" s="31" t="s">
        <v>307</v>
      </c>
      <c r="Z49">
        <f t="shared" si="2"/>
        <v>-2.9853336804651544E-2</v>
      </c>
    </row>
    <row r="50" spans="19:26" ht="15" thickBot="1" x14ac:dyDescent="0.35">
      <c r="S50" s="30" t="s">
        <v>308</v>
      </c>
      <c r="T50" s="31">
        <v>120.93</v>
      </c>
      <c r="U50" s="31">
        <v>120.93</v>
      </c>
      <c r="V50" s="31">
        <v>112.96</v>
      </c>
      <c r="W50" s="31">
        <v>113.37</v>
      </c>
      <c r="X50" s="31">
        <v>113.37</v>
      </c>
      <c r="Y50" s="31" t="s">
        <v>309</v>
      </c>
      <c r="Z50">
        <f t="shared" si="2"/>
        <v>1.4133643438590198E-2</v>
      </c>
    </row>
    <row r="51" spans="19:26" ht="15" thickBot="1" x14ac:dyDescent="0.35">
      <c r="S51" s="30" t="s">
        <v>310</v>
      </c>
      <c r="T51" s="31">
        <v>119.91</v>
      </c>
      <c r="U51" s="31">
        <v>122.46</v>
      </c>
      <c r="V51" s="31">
        <v>118.04</v>
      </c>
      <c r="W51" s="31">
        <v>119.14</v>
      </c>
      <c r="X51" s="31">
        <v>119.14</v>
      </c>
      <c r="Y51" s="31" t="s">
        <v>311</v>
      </c>
      <c r="Z51">
        <f t="shared" si="2"/>
        <v>5.0895298579871184E-2</v>
      </c>
    </row>
    <row r="52" spans="19:26" ht="15" thickBot="1" x14ac:dyDescent="0.35">
      <c r="S52" s="30" t="s">
        <v>312</v>
      </c>
      <c r="T52" s="31">
        <v>119.32</v>
      </c>
      <c r="U52" s="31">
        <v>120.78</v>
      </c>
      <c r="V52" s="31">
        <v>115.32</v>
      </c>
      <c r="W52" s="31">
        <v>120.37</v>
      </c>
      <c r="X52" s="31">
        <v>120.37</v>
      </c>
      <c r="Y52" s="31" t="s">
        <v>313</v>
      </c>
      <c r="Z52">
        <f t="shared" si="2"/>
        <v>1.0323988584858184E-2</v>
      </c>
    </row>
    <row r="53" spans="19:26" ht="15" thickBot="1" x14ac:dyDescent="0.35">
      <c r="S53" s="30" t="s">
        <v>314</v>
      </c>
      <c r="T53" s="31">
        <v>128.22999999999999</v>
      </c>
      <c r="U53" s="31">
        <v>128.96</v>
      </c>
      <c r="V53" s="31">
        <v>122.52</v>
      </c>
      <c r="W53" s="31">
        <v>123.23</v>
      </c>
      <c r="X53" s="31">
        <v>123.23</v>
      </c>
      <c r="Y53" s="31" t="s">
        <v>315</v>
      </c>
      <c r="Z53">
        <f t="shared" si="2"/>
        <v>2.3760073107917251E-2</v>
      </c>
    </row>
    <row r="54" spans="19:26" ht="15" thickBot="1" x14ac:dyDescent="0.35">
      <c r="S54" s="30" t="s">
        <v>316</v>
      </c>
      <c r="T54" s="31">
        <v>135.77000000000001</v>
      </c>
      <c r="U54" s="31">
        <v>136.75</v>
      </c>
      <c r="V54" s="31">
        <v>130.68</v>
      </c>
      <c r="W54" s="31">
        <v>131.03</v>
      </c>
      <c r="X54" s="31">
        <v>131.03</v>
      </c>
      <c r="Y54" s="31" t="s">
        <v>317</v>
      </c>
      <c r="Z54">
        <f t="shared" si="2"/>
        <v>6.3296275257648277E-2</v>
      </c>
    </row>
    <row r="55" spans="19:26" ht="15" thickBot="1" x14ac:dyDescent="0.35">
      <c r="S55" s="30" t="s">
        <v>318</v>
      </c>
      <c r="T55" s="31">
        <v>128.1</v>
      </c>
      <c r="U55" s="31">
        <v>130.86000000000001</v>
      </c>
      <c r="V55" s="31">
        <v>127.13</v>
      </c>
      <c r="W55" s="31">
        <v>127.74</v>
      </c>
      <c r="X55" s="31">
        <v>127.74</v>
      </c>
      <c r="Y55" s="31" t="s">
        <v>319</v>
      </c>
      <c r="Z55">
        <f t="shared" si="2"/>
        <v>-2.5108753720522067E-2</v>
      </c>
    </row>
    <row r="56" spans="19:26" ht="15" thickBot="1" x14ac:dyDescent="0.35">
      <c r="S56" s="30" t="s">
        <v>320</v>
      </c>
      <c r="T56" s="31">
        <v>126.27</v>
      </c>
      <c r="U56" s="31">
        <v>132.13</v>
      </c>
      <c r="V56" s="31">
        <v>124.82</v>
      </c>
      <c r="W56" s="31">
        <v>128.6</v>
      </c>
      <c r="X56" s="31">
        <v>128.6</v>
      </c>
      <c r="Y56" s="31" t="s">
        <v>321</v>
      </c>
      <c r="Z56">
        <f t="shared" si="2"/>
        <v>6.7324252387662396E-3</v>
      </c>
    </row>
    <row r="57" spans="19:26" ht="15" thickBot="1" x14ac:dyDescent="0.35">
      <c r="S57" s="30" t="s">
        <v>322</v>
      </c>
      <c r="T57" s="31">
        <v>132.81</v>
      </c>
      <c r="U57" s="31">
        <v>134.36000000000001</v>
      </c>
      <c r="V57" s="31">
        <v>129.35</v>
      </c>
      <c r="W57" s="31">
        <v>131.57</v>
      </c>
      <c r="X57" s="31">
        <v>131.57</v>
      </c>
      <c r="Y57" s="31" t="s">
        <v>323</v>
      </c>
      <c r="Z57">
        <f t="shared" si="2"/>
        <v>2.3094867807153956E-2</v>
      </c>
    </row>
    <row r="58" spans="19:26" ht="15" thickBot="1" x14ac:dyDescent="0.35">
      <c r="S58" s="30" t="s">
        <v>324</v>
      </c>
      <c r="T58" s="31">
        <v>135.19999999999999</v>
      </c>
      <c r="U58" s="31">
        <v>135.91999999999999</v>
      </c>
      <c r="V58" s="31">
        <v>131.30000000000001</v>
      </c>
      <c r="W58" s="31">
        <v>131.37</v>
      </c>
      <c r="X58" s="31">
        <v>131.37</v>
      </c>
      <c r="Y58" s="31" t="s">
        <v>325</v>
      </c>
      <c r="Z58">
        <f t="shared" si="2"/>
        <v>-1.5201033670288716E-3</v>
      </c>
    </row>
    <row r="59" spans="19:26" ht="15" thickBot="1" x14ac:dyDescent="0.35">
      <c r="S59" s="30" t="s">
        <v>326</v>
      </c>
      <c r="T59" s="31">
        <v>136.02000000000001</v>
      </c>
      <c r="U59" s="31">
        <v>138.69999999999999</v>
      </c>
      <c r="V59" s="31">
        <v>135.59</v>
      </c>
      <c r="W59" s="31">
        <v>137.41</v>
      </c>
      <c r="X59" s="31">
        <v>137.41</v>
      </c>
      <c r="Y59" s="31" t="s">
        <v>327</v>
      </c>
      <c r="Z59">
        <f t="shared" si="2"/>
        <v>4.597701149425281E-2</v>
      </c>
    </row>
    <row r="60" spans="19:26" ht="15" thickBot="1" x14ac:dyDescent="0.35">
      <c r="S60" s="30" t="s">
        <v>328</v>
      </c>
      <c r="T60" s="31">
        <v>129.21</v>
      </c>
      <c r="U60" s="31">
        <v>134.22999999999999</v>
      </c>
      <c r="V60" s="31">
        <v>127.47</v>
      </c>
      <c r="W60" s="31">
        <v>132.19</v>
      </c>
      <c r="X60" s="31">
        <v>132.19</v>
      </c>
      <c r="Y60" s="31" t="s">
        <v>329</v>
      </c>
      <c r="Z60">
        <f t="shared" si="2"/>
        <v>-3.79885015646605E-2</v>
      </c>
    </row>
    <row r="61" spans="19:26" ht="15" thickBot="1" x14ac:dyDescent="0.35">
      <c r="S61" s="30" t="s">
        <v>330</v>
      </c>
      <c r="T61" s="31">
        <v>131.99</v>
      </c>
      <c r="U61" s="31">
        <v>132.6</v>
      </c>
      <c r="V61" s="31">
        <v>126.23</v>
      </c>
      <c r="W61" s="31">
        <v>128.30000000000001</v>
      </c>
      <c r="X61" s="31">
        <v>128.30000000000001</v>
      </c>
      <c r="Y61" s="31" t="s">
        <v>331</v>
      </c>
      <c r="Z61">
        <f t="shared" si="2"/>
        <v>-2.9427339435660688E-2</v>
      </c>
    </row>
    <row r="62" spans="19:26" ht="15" thickBot="1" x14ac:dyDescent="0.35">
      <c r="S62" s="30" t="s">
        <v>332</v>
      </c>
      <c r="T62" s="31">
        <v>130.24</v>
      </c>
      <c r="U62" s="31">
        <v>133.88</v>
      </c>
      <c r="V62" s="31">
        <v>128.18</v>
      </c>
      <c r="W62" s="31">
        <v>129.81</v>
      </c>
      <c r="X62" s="31">
        <v>129.81</v>
      </c>
      <c r="Y62" s="31" t="s">
        <v>333</v>
      </c>
      <c r="Z62">
        <f t="shared" si="2"/>
        <v>1.1769290724863529E-2</v>
      </c>
    </row>
    <row r="63" spans="19:26" x14ac:dyDescent="0.3">
      <c r="S63" s="30" t="s">
        <v>334</v>
      </c>
      <c r="T63" s="31">
        <v>124.26</v>
      </c>
      <c r="U63" s="31">
        <v>128.4</v>
      </c>
      <c r="V63" s="31">
        <v>123.46</v>
      </c>
      <c r="W63" s="31">
        <v>126.63</v>
      </c>
      <c r="X63" s="31">
        <v>126.63</v>
      </c>
      <c r="Y63" s="31" t="s">
        <v>335</v>
      </c>
      <c r="Z63">
        <f t="shared" si="2"/>
        <v>-2.4497342269470816E-2</v>
      </c>
    </row>
  </sheetData>
  <mergeCells count="1">
    <mergeCell ref="AG3:AG4"/>
  </mergeCells>
  <hyperlinks>
    <hyperlink ref="A2" r:id="rId1" display="https://finance.yahoo.com/quote/BABA220715C00040000?p=BABA220715C00040000" xr:uid="{6CE85E77-25E9-40CA-A449-4E7483915D59}"/>
    <hyperlink ref="C2" r:id="rId2" display="https://finance.yahoo.com/quote/BABA/options?strike=40&amp;straddle=false" xr:uid="{951C072C-E8CD-4A18-A0AE-8FF253FC7670}"/>
    <hyperlink ref="A3" r:id="rId3" display="https://finance.yahoo.com/quote/BABA220715C00045000?p=BABA220715C00045000" xr:uid="{A0A6CD20-5285-4B99-90A8-853127C70DE1}"/>
    <hyperlink ref="C3" r:id="rId4" display="https://finance.yahoo.com/quote/BABA/options?strike=45&amp;straddle=false" xr:uid="{D4BE925B-EC45-4344-A84F-75E2F8692E5E}"/>
    <hyperlink ref="A4" r:id="rId5" display="https://finance.yahoo.com/quote/BABA220715C00050000?p=BABA220715C00050000" xr:uid="{18FB7BA9-9CC8-40E9-88A5-A895B60AB85E}"/>
    <hyperlink ref="C4" r:id="rId6" display="https://finance.yahoo.com/quote/BABA/options?strike=50&amp;straddle=false" xr:uid="{2975D734-C8B3-40EA-8395-88B6CAD70410}"/>
    <hyperlink ref="A5" r:id="rId7" display="https://finance.yahoo.com/quote/BABA220715C00055000?p=BABA220715C00055000" xr:uid="{CA9DDD28-7B7E-4BD5-8EC4-36FFD48C67BE}"/>
    <hyperlink ref="C5" r:id="rId8" display="https://finance.yahoo.com/quote/BABA/options?strike=55&amp;straddle=false" xr:uid="{52191E44-85D5-40C9-8D30-BEDBD7DBD3C6}"/>
    <hyperlink ref="A6" r:id="rId9" display="https://finance.yahoo.com/quote/BABA220715C00060000?p=BABA220715C00060000" xr:uid="{76CAE79F-16B0-4693-927D-C73B662085CB}"/>
    <hyperlink ref="C6" r:id="rId10" display="https://finance.yahoo.com/quote/BABA/options?strike=60&amp;straddle=false" xr:uid="{141E5B4F-3123-47DF-BB54-CE8FC3B1CB05}"/>
    <hyperlink ref="A7" r:id="rId11" display="https://finance.yahoo.com/quote/BABA220715C00065000?p=BABA220715C00065000" xr:uid="{490E6F45-1025-4F62-86F1-12DC955FC682}"/>
    <hyperlink ref="C7" r:id="rId12" display="https://finance.yahoo.com/quote/BABA/options?strike=65&amp;straddle=false" xr:uid="{42DC93CF-348F-4F22-8CE3-C600C34FB926}"/>
    <hyperlink ref="A8" r:id="rId13" display="https://finance.yahoo.com/quote/BABA220715C00070000?p=BABA220715C00070000" xr:uid="{2EF28AB3-786D-4809-895A-B37DA1A9DBF8}"/>
    <hyperlink ref="C8" r:id="rId14" display="https://finance.yahoo.com/quote/BABA/options?strike=70&amp;straddle=false" xr:uid="{980763D3-2774-428A-8026-44ECDC3DF087}"/>
    <hyperlink ref="A9" r:id="rId15" display="https://finance.yahoo.com/quote/BABA220715C00075000?p=BABA220715C00075000" xr:uid="{EE8F27E2-A303-4A2E-B429-EA63C6A3DE63}"/>
    <hyperlink ref="C9" r:id="rId16" display="https://finance.yahoo.com/quote/BABA/options?strike=75&amp;straddle=false" xr:uid="{779D5633-EC2C-421C-B832-12DD7C5D5795}"/>
    <hyperlink ref="A10" r:id="rId17" display="https://finance.yahoo.com/quote/BABA220715C00080000?p=BABA220715C00080000" xr:uid="{FDBD8E33-5465-422F-9234-0E71AD42A6CA}"/>
    <hyperlink ref="C10" r:id="rId18" display="https://finance.yahoo.com/quote/BABA/options?strike=80&amp;straddle=false" xr:uid="{ED49B634-4ACF-4192-A168-4A7DD7DAB012}"/>
    <hyperlink ref="A11" r:id="rId19" display="https://finance.yahoo.com/quote/BABA220715C00085000?p=BABA220715C00085000" xr:uid="{839115EE-1526-4F96-866B-BDF01779BB8D}"/>
    <hyperlink ref="C11" r:id="rId20" display="https://finance.yahoo.com/quote/BABA/options?strike=85&amp;straddle=false" xr:uid="{3EF105A3-C943-49B2-BDF5-22E7733091FE}"/>
    <hyperlink ref="A12" r:id="rId21" display="https://finance.yahoo.com/quote/BABA220715C00090000?p=BABA220715C00090000" xr:uid="{7E14DD6F-6B78-4A19-AD6E-501B609DB29E}"/>
    <hyperlink ref="C12" r:id="rId22" display="https://finance.yahoo.com/quote/BABA/options?strike=90&amp;straddle=false" xr:uid="{3FE76137-26E4-4B7D-A710-AEC20D5C1E54}"/>
    <hyperlink ref="A13" r:id="rId23" display="https://finance.yahoo.com/quote/BABA220715C00095000?p=BABA220715C00095000" xr:uid="{E1FDADAE-2748-452A-8D96-D3F5441806D5}"/>
    <hyperlink ref="C13" r:id="rId24" display="https://finance.yahoo.com/quote/BABA/options?strike=95&amp;straddle=false" xr:uid="{2C96ABC4-4177-4DC9-9918-98265AA9D419}"/>
    <hyperlink ref="A14" r:id="rId25" display="https://finance.yahoo.com/quote/BABA220715C00100000?p=BABA220715C00100000" xr:uid="{16B47EBD-B229-4553-BF89-9BE1FA3A9FF9}"/>
    <hyperlink ref="C14" r:id="rId26" display="https://finance.yahoo.com/quote/BABA/options?strike=100&amp;straddle=false" xr:uid="{B649E5E6-27E3-484A-B39B-D60EAE440634}"/>
    <hyperlink ref="A15" r:id="rId27" display="https://finance.yahoo.com/quote/BABA220715C00105000?p=BABA220715C00105000" xr:uid="{3E9DF3AE-7F8F-4CAE-B5DB-232F5E0B5376}"/>
    <hyperlink ref="C15" r:id="rId28" display="https://finance.yahoo.com/quote/BABA/options?strike=105&amp;straddle=false" xr:uid="{4DB2A666-B6B3-4899-8D99-A0217C82FE73}"/>
    <hyperlink ref="A16" r:id="rId29" display="https://finance.yahoo.com/quote/BABA220715C00110000?p=BABA220715C00110000" xr:uid="{EAE31B4F-D64E-4A21-83F8-AE09BCA9A920}"/>
    <hyperlink ref="C16" r:id="rId30" display="https://finance.yahoo.com/quote/BABA/options?strike=110&amp;straddle=false" xr:uid="{063003D1-9FC3-4E29-99AB-8247D5AC3F08}"/>
    <hyperlink ref="A17" r:id="rId31" display="https://finance.yahoo.com/quote/BABA220715C00115000?p=BABA220715C00115000" xr:uid="{EAA6AC34-8F58-4CC7-B58A-1C82F96668DA}"/>
    <hyperlink ref="C17" r:id="rId32" display="https://finance.yahoo.com/quote/BABA/options?strike=115&amp;straddle=false" xr:uid="{0C11357B-9021-449F-A97C-E4A130EAB645}"/>
    <hyperlink ref="A18" r:id="rId33" display="https://finance.yahoo.com/quote/BABA220715C00120000?p=BABA220715C00120000" xr:uid="{AFA0D5F7-C53F-4F00-A1B3-6758B5BDE829}"/>
    <hyperlink ref="C18" r:id="rId34" display="https://finance.yahoo.com/quote/BABA/options?strike=120&amp;straddle=false" xr:uid="{63F010E5-28B8-4774-AA71-7E4DF67B9CEF}"/>
    <hyperlink ref="A19" r:id="rId35" display="https://finance.yahoo.com/quote/BABA220715C00125000?p=BABA220715C00125000" xr:uid="{12528EF4-2B09-46F3-B1B8-E79DA8736AE4}"/>
    <hyperlink ref="C19" r:id="rId36" display="https://finance.yahoo.com/quote/BABA/options?strike=125&amp;straddle=false" xr:uid="{DB56AEC2-2FD6-4615-841C-D54F6FD5B11E}"/>
    <hyperlink ref="A20" r:id="rId37" display="https://finance.yahoo.com/quote/BABA220715C00130000?p=BABA220715C00130000" xr:uid="{8647F794-BF4E-4C86-9FCC-631AC7CFC32A}"/>
    <hyperlink ref="C20" r:id="rId38" display="https://finance.yahoo.com/quote/BABA/options?strike=130&amp;straddle=false" xr:uid="{A2A48BFA-D229-4830-9912-34F7E06F235D}"/>
    <hyperlink ref="A21" r:id="rId39" display="https://finance.yahoo.com/quote/BABA220715C00135000?p=BABA220715C00135000" xr:uid="{1EBF5AD3-E807-4670-B0F9-0A4D65A655F8}"/>
    <hyperlink ref="C21" r:id="rId40" display="https://finance.yahoo.com/quote/BABA/options?strike=135&amp;straddle=false" xr:uid="{88758261-65ED-49B3-8643-5DFA8AA83E6C}"/>
    <hyperlink ref="A22" r:id="rId41" display="https://finance.yahoo.com/quote/BABA220715C00140000?p=BABA220715C00140000" xr:uid="{61CBB412-70CA-46A0-8049-C8FB42E7AE2B}"/>
    <hyperlink ref="C22" r:id="rId42" display="https://finance.yahoo.com/quote/BABA/options?strike=140&amp;straddle=false" xr:uid="{3F39F2AF-A8E6-41EE-AB01-9B32C7E1DBAC}"/>
    <hyperlink ref="A23" r:id="rId43" display="https://finance.yahoo.com/quote/BABA220715C00145000?p=BABA220715C00145000" xr:uid="{77066A02-68A1-48E6-B86D-87F959DCADF6}"/>
    <hyperlink ref="C23" r:id="rId44" display="https://finance.yahoo.com/quote/BABA/options?strike=145&amp;straddle=false" xr:uid="{097C880F-8A13-4DEC-AC72-EAE1A8457586}"/>
    <hyperlink ref="A24" r:id="rId45" display="https://finance.yahoo.com/quote/BABA220715C00150000?p=BABA220715C00150000" xr:uid="{64085588-111B-4A45-BAD1-53123B4E8E56}"/>
    <hyperlink ref="C24" r:id="rId46" display="https://finance.yahoo.com/quote/BABA/options?strike=150&amp;straddle=false" xr:uid="{BFF62ABD-C419-47E0-9FAB-D56B16217EC4}"/>
    <hyperlink ref="A25" r:id="rId47" display="https://finance.yahoo.com/quote/BABA220715C00155000?p=BABA220715C00155000" xr:uid="{F53E9BA1-A4FF-4764-B08C-792886753DFA}"/>
    <hyperlink ref="C25" r:id="rId48" display="https://finance.yahoo.com/quote/BABA/options?strike=155&amp;straddle=false" xr:uid="{7C722A2A-C58C-49E3-8ED4-3E3DFC4C4C4E}"/>
    <hyperlink ref="A26" r:id="rId49" display="https://finance.yahoo.com/quote/BABA220715C00160000?p=BABA220715C00160000" xr:uid="{03F08BA4-975A-4AEF-8D72-F81ED2649A85}"/>
    <hyperlink ref="C26" r:id="rId50" display="https://finance.yahoo.com/quote/BABA/options?strike=160&amp;straddle=false" xr:uid="{B21BF1AE-3CFB-4836-8987-C03ED6128AC9}"/>
    <hyperlink ref="A27" r:id="rId51" display="https://finance.yahoo.com/quote/BABA220715C00165000?p=BABA220715C00165000" xr:uid="{20D78B12-5F81-4599-88B5-A45E2B609DA0}"/>
    <hyperlink ref="C27" r:id="rId52" display="https://finance.yahoo.com/quote/BABA/options?strike=165&amp;straddle=false" xr:uid="{E97905C4-D39E-47A3-8460-4F117220E657}"/>
    <hyperlink ref="A28" r:id="rId53" display="https://finance.yahoo.com/quote/BABA220715C00170000?p=BABA220715C00170000" xr:uid="{5AF28C35-F03D-4D50-9D22-BBA497CF530D}"/>
    <hyperlink ref="C28" r:id="rId54" display="https://finance.yahoo.com/quote/BABA/options?strike=170&amp;straddle=false" xr:uid="{A3CF9E6C-7B37-425A-BCBF-47991BAB2271}"/>
    <hyperlink ref="A29" r:id="rId55" display="https://finance.yahoo.com/quote/BABA220715C00175000?p=BABA220715C00175000" xr:uid="{E542BD48-BDF6-4CBC-ABBC-ED076120C008}"/>
    <hyperlink ref="C29" r:id="rId56" display="https://finance.yahoo.com/quote/BABA/options?strike=175&amp;straddle=false" xr:uid="{A1C68C6C-BA5C-4260-BD87-CB97545987EA}"/>
    <hyperlink ref="A30" r:id="rId57" display="https://finance.yahoo.com/quote/BABA220715C00180000?p=BABA220715C00180000" xr:uid="{349A818C-3D12-4837-87E9-03DF2DD56433}"/>
    <hyperlink ref="C30" r:id="rId58" display="https://finance.yahoo.com/quote/BABA/options?strike=180&amp;straddle=false" xr:uid="{24627C3A-497D-4220-9E5B-0B9E947BB5DB}"/>
    <hyperlink ref="A31" r:id="rId59" display="https://finance.yahoo.com/quote/BABA220715C00185000?p=BABA220715C00185000" xr:uid="{2DB0DF5A-73C3-44A7-8897-AC5B7906D6F5}"/>
    <hyperlink ref="C31" r:id="rId60" display="https://finance.yahoo.com/quote/BABA/options?strike=185&amp;straddle=false" xr:uid="{17BB058E-FA38-446B-A58C-19D25425779D}"/>
    <hyperlink ref="A32" r:id="rId61" display="https://finance.yahoo.com/quote/BABA220715C00190000?p=BABA220715C00190000" xr:uid="{6D768EDA-636F-44F2-B105-C6E82B032CA0}"/>
    <hyperlink ref="C32" r:id="rId62" display="https://finance.yahoo.com/quote/BABA/options?strike=190&amp;straddle=false" xr:uid="{A5E6AB4B-4EBF-4881-90FC-7648DFD3EE9D}"/>
    <hyperlink ref="A33" r:id="rId63" display="https://finance.yahoo.com/quote/BABA220715C00195000?p=BABA220715C00195000" xr:uid="{C4581065-4815-41F1-8494-5D8797FDB8CC}"/>
    <hyperlink ref="C33" r:id="rId64" display="https://finance.yahoo.com/quote/BABA/options?strike=195&amp;straddle=false" xr:uid="{8C3BF399-CE29-434D-BAB7-A34D35301C50}"/>
    <hyperlink ref="A34" r:id="rId65" display="https://finance.yahoo.com/quote/BABA220715C00200000?p=BABA220715C00200000" xr:uid="{E790F980-43F5-4150-911D-F960B7C87E23}"/>
    <hyperlink ref="C34" r:id="rId66" display="https://finance.yahoo.com/quote/BABA/options?strike=200&amp;straddle=false" xr:uid="{42706F4C-6429-447D-8D35-FD5CE714F8DE}"/>
    <hyperlink ref="A35" r:id="rId67" display="https://finance.yahoo.com/quote/BABA220715C00205000?p=BABA220715C00205000" xr:uid="{BECE902A-44DD-4A6A-BED9-9D5CF6BE7484}"/>
    <hyperlink ref="C35" r:id="rId68" display="https://finance.yahoo.com/quote/BABA/options?strike=205&amp;straddle=false" xr:uid="{EFE95808-883C-42C5-9ED8-259511EECC97}"/>
    <hyperlink ref="A36" r:id="rId69" display="https://finance.yahoo.com/quote/BABA220715C00210000?p=BABA220715C00210000" xr:uid="{27585BA1-FD21-4B6E-BC4C-A964EF02ADCF}"/>
    <hyperlink ref="C36" r:id="rId70" display="https://finance.yahoo.com/quote/BABA/options?strike=210&amp;straddle=false" xr:uid="{1E53D72D-5CB3-43D0-B8FF-6431704AC26B}"/>
    <hyperlink ref="A37" r:id="rId71" display="https://finance.yahoo.com/quote/BABA220715C00215000?p=BABA220715C00215000" xr:uid="{8118CEF9-2856-4AE9-9972-902E8A620FF1}"/>
    <hyperlink ref="C37" r:id="rId72" display="https://finance.yahoo.com/quote/BABA/options?strike=215&amp;straddle=false" xr:uid="{E5287B07-3E3F-4EAF-A17D-9B184764217A}"/>
    <hyperlink ref="A38" r:id="rId73" display="https://finance.yahoo.com/quote/BABA220715C00220000?p=BABA220715C00220000" xr:uid="{716570C3-BF64-49C8-A24D-1D9315731BEE}"/>
    <hyperlink ref="C38" r:id="rId74" display="https://finance.yahoo.com/quote/BABA/options?strike=220&amp;straddle=false" xr:uid="{55CFB473-FC63-4515-9842-7295B8639A19}"/>
    <hyperlink ref="A39" r:id="rId75" display="https://finance.yahoo.com/quote/BABA220715C00225000?p=BABA220715C00225000" xr:uid="{D0BD4D02-947E-4A01-9B37-EC4A96537C33}"/>
    <hyperlink ref="C39" r:id="rId76" display="https://finance.yahoo.com/quote/BABA/options?strike=225&amp;straddle=false" xr:uid="{06779861-A338-4E31-A543-A1D35413A8B3}"/>
    <hyperlink ref="A40" r:id="rId77" display="https://finance.yahoo.com/quote/BABA220715C00230000?p=BABA220715C00230000" xr:uid="{57F3CA00-E96D-4DC8-987D-0F31FF51DC2A}"/>
    <hyperlink ref="C40" r:id="rId78" display="https://finance.yahoo.com/quote/BABA/options?strike=230&amp;straddle=false" xr:uid="{B5410D84-2A9A-4F80-8ECD-EC5EAB4122A4}"/>
    <hyperlink ref="A41" r:id="rId79" display="https://finance.yahoo.com/quote/BABA220715C00235000?p=BABA220715C00235000" xr:uid="{2C1BD144-8915-419B-8F25-0A031BDC788B}"/>
    <hyperlink ref="C41" r:id="rId80" display="https://finance.yahoo.com/quote/BABA/options?strike=235&amp;straddle=false" xr:uid="{6D1DFD58-C8B3-4A3B-A09E-CD8DA4861EF0}"/>
    <hyperlink ref="A42" r:id="rId81" display="https://finance.yahoo.com/quote/BABA220715C00240000?p=BABA220715C00240000" xr:uid="{907716E8-ABC6-4991-93C3-615E3F6888B8}"/>
    <hyperlink ref="C42" r:id="rId82" display="https://finance.yahoo.com/quote/BABA/options?strike=240&amp;straddle=false" xr:uid="{5C9BCA47-62CC-419C-8891-193255F7D7CB}"/>
    <hyperlink ref="A43" r:id="rId83" display="https://finance.yahoo.com/quote/BABA220715C00245000?p=BABA220715C00245000" xr:uid="{948FF54C-B57B-45CF-923D-CA2AA36469C0}"/>
    <hyperlink ref="C43" r:id="rId84" display="https://finance.yahoo.com/quote/BABA/options?strike=245&amp;straddle=false" xr:uid="{A3766E6B-F73D-4FD0-9ABC-A9D765AD4411}"/>
    <hyperlink ref="A44" r:id="rId85" display="https://finance.yahoo.com/quote/BABA220715C00250000?p=BABA220715C00250000" xr:uid="{AB879001-197E-4BF2-AE4A-18ED758436A7}"/>
    <hyperlink ref="C44" r:id="rId86" display="https://finance.yahoo.com/quote/BABA/options?strike=250&amp;straddle=false" xr:uid="{BA1515E7-50AC-45A7-A92C-469947D8C423}"/>
    <hyperlink ref="A45" r:id="rId87" display="https://finance.yahoo.com/quote/BABA220715C00255000?p=BABA220715C00255000" xr:uid="{C302CA80-5CE0-47F6-A3F9-938335FF97F2}"/>
    <hyperlink ref="C45" r:id="rId88" display="https://finance.yahoo.com/quote/BABA/options?strike=255&amp;straddle=false" xr:uid="{69250038-0D81-457E-9121-D8FA7D98AECB}"/>
    <hyperlink ref="A46" r:id="rId89" display="https://finance.yahoo.com/quote/BABA220715C00260000?p=BABA220715C00260000" xr:uid="{0CE733CC-A2E7-47F1-8CCF-145598AD1937}"/>
    <hyperlink ref="C46" r:id="rId90" display="https://finance.yahoo.com/quote/BABA/options?strike=260&amp;straddle=false" xr:uid="{D6F653D1-B174-4061-B6E3-518676A3DD25}"/>
    <hyperlink ref="A47" r:id="rId91" display="https://finance.yahoo.com/quote/BABA220715C00265000?p=BABA220715C00265000" xr:uid="{748744E8-B446-48EF-B48A-157BE2A0C4C6}"/>
    <hyperlink ref="C47" r:id="rId92" display="https://finance.yahoo.com/quote/BABA/options?strike=265&amp;straddle=false" xr:uid="{E266FA01-E91D-4FD9-8974-BF2AF47764B4}"/>
    <hyperlink ref="A48" r:id="rId93" display="https://finance.yahoo.com/quote/BABA220715C00270000?p=BABA220715C00270000" xr:uid="{33325104-876C-4276-B39D-F30BD02D8863}"/>
    <hyperlink ref="C48" r:id="rId94" display="https://finance.yahoo.com/quote/BABA/options?strike=270&amp;straddle=false" xr:uid="{1EB6BE53-1FF2-485A-83A1-97C325D5C17B}"/>
  </hyperlinks>
  <pageMargins left="0.7" right="0.7" top="0.75" bottom="0.75" header="0.3" footer="0.3"/>
  <pageSetup paperSize="9" orientation="portrait" horizontalDpi="0" verticalDpi="0" r:id="rId95"/>
  <drawing r:id="rId9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1B92B-5B96-48F3-B991-FC238A433AAB}">
  <sheetPr codeName="Foglio4"/>
  <dimension ref="A1:AG127"/>
  <sheetViews>
    <sheetView workbookViewId="0">
      <selection activeCell="P2" sqref="P2"/>
    </sheetView>
  </sheetViews>
  <sheetFormatPr defaultRowHeight="14.4" x14ac:dyDescent="0.3"/>
  <cols>
    <col min="13" max="13" width="10.5546875" bestFit="1" customWidth="1"/>
    <col min="18" max="18" width="10.44140625" customWidth="1"/>
    <col min="31" max="31" width="9.21875" bestFit="1" customWidth="1"/>
  </cols>
  <sheetData>
    <row r="1" spans="1:33" ht="43.8" thickBot="1" x14ac:dyDescent="0.35">
      <c r="A1" s="21" t="s">
        <v>11</v>
      </c>
      <c r="B1" s="22" t="s">
        <v>12</v>
      </c>
      <c r="C1" s="23" t="s">
        <v>13</v>
      </c>
      <c r="D1" s="22" t="s">
        <v>14</v>
      </c>
      <c r="E1" s="22" t="s">
        <v>15</v>
      </c>
      <c r="F1" s="22" t="s">
        <v>16</v>
      </c>
      <c r="G1" s="22" t="s">
        <v>17</v>
      </c>
      <c r="H1" s="22" t="s">
        <v>18</v>
      </c>
      <c r="I1" s="22" t="s">
        <v>19</v>
      </c>
      <c r="J1" s="22" t="s">
        <v>20</v>
      </c>
      <c r="K1" s="22" t="s">
        <v>21</v>
      </c>
      <c r="L1" s="22" t="s">
        <v>116</v>
      </c>
      <c r="M1" s="22" t="s">
        <v>406</v>
      </c>
      <c r="O1" s="22" t="s">
        <v>1582</v>
      </c>
      <c r="P1" s="22" t="s">
        <v>1581</v>
      </c>
      <c r="Q1" t="s">
        <v>337</v>
      </c>
      <c r="R1" t="s">
        <v>338</v>
      </c>
      <c r="S1" s="27" t="s">
        <v>119</v>
      </c>
      <c r="T1" s="28" t="s">
        <v>120</v>
      </c>
      <c r="U1" s="28" t="s">
        <v>121</v>
      </c>
      <c r="V1" s="28" t="s">
        <v>122</v>
      </c>
      <c r="W1" s="28" t="s">
        <v>123</v>
      </c>
      <c r="X1" s="29" t="s">
        <v>124</v>
      </c>
      <c r="Y1" s="28" t="s">
        <v>19</v>
      </c>
      <c r="Z1" s="28" t="s">
        <v>336</v>
      </c>
    </row>
    <row r="2" spans="1:33" ht="58.2" thickBot="1" x14ac:dyDescent="0.35">
      <c r="A2" s="17" t="s">
        <v>339</v>
      </c>
      <c r="B2" s="24" t="s">
        <v>340</v>
      </c>
      <c r="C2" s="18">
        <v>25</v>
      </c>
      <c r="D2" s="24">
        <v>86.25</v>
      </c>
      <c r="E2" s="24">
        <v>81.849999999999994</v>
      </c>
      <c r="F2" s="24">
        <v>83.55</v>
      </c>
      <c r="G2" s="24">
        <v>0</v>
      </c>
      <c r="H2" s="24" t="s">
        <v>22</v>
      </c>
      <c r="I2" s="24">
        <v>1</v>
      </c>
      <c r="J2" s="24">
        <v>3</v>
      </c>
      <c r="K2" s="26">
        <v>1.3267</v>
      </c>
      <c r="L2">
        <f>AVERAGE(E2,F2)</f>
        <v>82.699999999999989</v>
      </c>
      <c r="M2">
        <f>6/12</f>
        <v>0.5</v>
      </c>
      <c r="O2">
        <v>1.3680399999999999</v>
      </c>
      <c r="P2">
        <v>-0.37714999999999999</v>
      </c>
      <c r="Q2">
        <f>_xlfn.STDEV.S(Z3:Z127)</f>
        <v>4.5920107845881242E-2</v>
      </c>
      <c r="R2">
        <f>Q2*SQRT(252)</f>
        <v>0.72895911322480611</v>
      </c>
      <c r="S2" s="30" t="s">
        <v>254</v>
      </c>
      <c r="T2" s="31">
        <v>115</v>
      </c>
      <c r="U2" s="31">
        <v>115</v>
      </c>
      <c r="V2" s="31">
        <v>110.23</v>
      </c>
      <c r="W2" s="31">
        <v>111</v>
      </c>
      <c r="X2" s="31">
        <v>111</v>
      </c>
      <c r="Y2" s="31" t="s">
        <v>255</v>
      </c>
      <c r="AD2" s="46"/>
      <c r="AE2" s="46" t="s">
        <v>1583</v>
      </c>
      <c r="AF2" s="46" t="s">
        <v>1584</v>
      </c>
      <c r="AG2" s="46" t="s">
        <v>116</v>
      </c>
    </row>
    <row r="3" spans="1:33" ht="58.2" thickBot="1" x14ac:dyDescent="0.35">
      <c r="A3" s="17" t="s">
        <v>341</v>
      </c>
      <c r="B3" s="24" t="s">
        <v>340</v>
      </c>
      <c r="C3" s="18">
        <v>30</v>
      </c>
      <c r="D3" s="24">
        <v>81.2</v>
      </c>
      <c r="E3" s="24">
        <v>77.5</v>
      </c>
      <c r="F3" s="24">
        <v>78.849999999999994</v>
      </c>
      <c r="G3" s="24">
        <v>0</v>
      </c>
      <c r="H3" s="24" t="s">
        <v>22</v>
      </c>
      <c r="I3" s="24">
        <v>1</v>
      </c>
      <c r="J3" s="24">
        <v>0</v>
      </c>
      <c r="K3" s="26">
        <v>1.252</v>
      </c>
      <c r="L3">
        <f t="shared" ref="L3:L38" si="0">AVERAGE(E3,F3)</f>
        <v>78.174999999999997</v>
      </c>
      <c r="M3" s="20">
        <v>44855</v>
      </c>
      <c r="R3">
        <f>$R$2</f>
        <v>0.72895911322480611</v>
      </c>
      <c r="S3" s="30" t="s">
        <v>125</v>
      </c>
      <c r="T3" s="31">
        <v>115.7</v>
      </c>
      <c r="U3" s="31">
        <v>118.22</v>
      </c>
      <c r="V3" s="31">
        <v>113.38</v>
      </c>
      <c r="W3" s="31">
        <v>117.5</v>
      </c>
      <c r="X3" s="31">
        <v>117.5</v>
      </c>
      <c r="Y3" s="31" t="s">
        <v>126</v>
      </c>
      <c r="Z3">
        <f>(X3-X2)/X2</f>
        <v>5.8558558558558557E-2</v>
      </c>
      <c r="AD3" s="46" t="s">
        <v>1585</v>
      </c>
      <c r="AE3" s="46" cm="1">
        <f t="array" ref="AE3">BSCall('T=1m'!$N$2,$C$15,O2,$R$2,$M$2)</f>
        <v>57.036945504037774</v>
      </c>
      <c r="AF3" s="46" cm="1">
        <f t="array" ref="AF3">BSCall('T=1m'!$N$2,$C$15,P2,$R$2,$M$2)</f>
        <v>15.285997964003172</v>
      </c>
      <c r="AG3" s="59">
        <f>L15</f>
        <v>16.45</v>
      </c>
    </row>
    <row r="4" spans="1:33" ht="58.2" thickBot="1" x14ac:dyDescent="0.35">
      <c r="A4" s="17" t="s">
        <v>342</v>
      </c>
      <c r="B4" s="24" t="s">
        <v>343</v>
      </c>
      <c r="C4" s="18">
        <v>35</v>
      </c>
      <c r="D4" s="24">
        <v>79.41</v>
      </c>
      <c r="E4" s="24">
        <v>72.349999999999994</v>
      </c>
      <c r="F4" s="24">
        <v>73.849999999999994</v>
      </c>
      <c r="G4" s="24">
        <v>0</v>
      </c>
      <c r="H4" s="24" t="s">
        <v>22</v>
      </c>
      <c r="I4" s="24">
        <v>1</v>
      </c>
      <c r="J4" s="24">
        <v>0</v>
      </c>
      <c r="K4" s="26">
        <v>1.0981000000000001</v>
      </c>
      <c r="L4">
        <f t="shared" si="0"/>
        <v>73.099999999999994</v>
      </c>
      <c r="R4">
        <f t="shared" ref="R4:R38" si="1">$R$2</f>
        <v>0.72895911322480611</v>
      </c>
      <c r="S4" s="30" t="s">
        <v>127</v>
      </c>
      <c r="T4" s="31">
        <v>117.62</v>
      </c>
      <c r="U4" s="31">
        <v>118.95</v>
      </c>
      <c r="V4" s="31">
        <v>109.75</v>
      </c>
      <c r="W4" s="31">
        <v>110.2</v>
      </c>
      <c r="X4" s="31">
        <v>110.2</v>
      </c>
      <c r="Y4" s="31" t="s">
        <v>128</v>
      </c>
      <c r="Z4">
        <f t="shared" ref="Z4:Z67" si="2">(X4-X3)/X3</f>
        <v>-6.2127659574468058E-2</v>
      </c>
      <c r="AD4" s="46" t="s">
        <v>1586</v>
      </c>
      <c r="AE4" s="46" cm="1">
        <f t="array" ref="AE4">BSCall('T=1m'!$N$2,$C$15,O2,$K$15,$M$2)</f>
        <v>55.979046359720726</v>
      </c>
      <c r="AF4" s="46" cm="1">
        <f t="array" ref="AF4">BSCall('T=1m'!$N$2,$C$15,P2,$K$15,$M$2)</f>
        <v>10.609982049853912</v>
      </c>
      <c r="AG4" s="59"/>
    </row>
    <row r="5" spans="1:33" ht="58.2" thickBot="1" x14ac:dyDescent="0.35">
      <c r="A5" s="17" t="s">
        <v>344</v>
      </c>
      <c r="B5" s="24" t="s">
        <v>345</v>
      </c>
      <c r="C5" s="18">
        <v>40</v>
      </c>
      <c r="D5" s="24">
        <v>77.2</v>
      </c>
      <c r="E5" s="24">
        <v>67.5</v>
      </c>
      <c r="F5" s="24">
        <v>69.3</v>
      </c>
      <c r="G5" s="24">
        <v>0</v>
      </c>
      <c r="H5" s="24" t="s">
        <v>22</v>
      </c>
      <c r="I5" s="24">
        <v>5</v>
      </c>
      <c r="J5" s="24">
        <v>8</v>
      </c>
      <c r="K5" s="26">
        <v>1.0183</v>
      </c>
      <c r="L5">
        <f t="shared" si="0"/>
        <v>68.400000000000006</v>
      </c>
      <c r="R5">
        <f t="shared" si="1"/>
        <v>0.72895911322480611</v>
      </c>
      <c r="S5" s="30" t="s">
        <v>129</v>
      </c>
      <c r="T5" s="31">
        <v>115.03</v>
      </c>
      <c r="U5" s="31">
        <v>115.09</v>
      </c>
      <c r="V5" s="31">
        <v>108.71</v>
      </c>
      <c r="W5" s="31">
        <v>108.8</v>
      </c>
      <c r="X5" s="31">
        <v>108.8</v>
      </c>
      <c r="Y5" s="31" t="s">
        <v>130</v>
      </c>
      <c r="Z5">
        <f t="shared" si="2"/>
        <v>-1.2704174228675187E-2</v>
      </c>
    </row>
    <row r="6" spans="1:33" ht="58.2" thickBot="1" x14ac:dyDescent="0.35">
      <c r="A6" s="17" t="s">
        <v>346</v>
      </c>
      <c r="B6" s="24" t="s">
        <v>347</v>
      </c>
      <c r="C6" s="18">
        <v>65</v>
      </c>
      <c r="D6" s="24">
        <v>52.5</v>
      </c>
      <c r="E6" s="24">
        <v>45.25</v>
      </c>
      <c r="F6" s="24">
        <v>46.25</v>
      </c>
      <c r="G6" s="24">
        <v>0</v>
      </c>
      <c r="H6" s="24" t="s">
        <v>22</v>
      </c>
      <c r="I6" s="24">
        <v>6</v>
      </c>
      <c r="J6" s="24">
        <v>12</v>
      </c>
      <c r="K6" s="26">
        <v>0.74109999999999998</v>
      </c>
      <c r="L6">
        <f t="shared" si="0"/>
        <v>45.75</v>
      </c>
      <c r="R6">
        <f t="shared" si="1"/>
        <v>0.72895911322480611</v>
      </c>
      <c r="S6" s="30" t="s">
        <v>131</v>
      </c>
      <c r="T6" s="31">
        <v>115.54</v>
      </c>
      <c r="U6" s="31">
        <v>120.1</v>
      </c>
      <c r="V6" s="31">
        <v>115.54</v>
      </c>
      <c r="W6" s="31">
        <v>116.58</v>
      </c>
      <c r="X6" s="31">
        <v>116.58</v>
      </c>
      <c r="Y6" s="31" t="s">
        <v>132</v>
      </c>
      <c r="Z6">
        <f t="shared" si="2"/>
        <v>7.150735294117648E-2</v>
      </c>
    </row>
    <row r="7" spans="1:33" ht="58.2" thickBot="1" x14ac:dyDescent="0.35">
      <c r="A7" s="17" t="s">
        <v>348</v>
      </c>
      <c r="B7" s="24" t="s">
        <v>227</v>
      </c>
      <c r="C7" s="18">
        <v>70</v>
      </c>
      <c r="D7" s="24">
        <v>44.25</v>
      </c>
      <c r="E7" s="24">
        <v>41.05</v>
      </c>
      <c r="F7" s="24">
        <v>42.05</v>
      </c>
      <c r="G7" s="24">
        <v>0</v>
      </c>
      <c r="H7" s="24" t="s">
        <v>22</v>
      </c>
      <c r="I7" s="24">
        <v>1</v>
      </c>
      <c r="J7" s="24">
        <v>27</v>
      </c>
      <c r="K7" s="26">
        <v>0.70530000000000004</v>
      </c>
      <c r="L7">
        <f t="shared" si="0"/>
        <v>41.55</v>
      </c>
      <c r="R7">
        <f t="shared" si="1"/>
        <v>0.72895911322480611</v>
      </c>
      <c r="S7" s="30" t="s">
        <v>133</v>
      </c>
      <c r="T7" s="31">
        <v>118.36</v>
      </c>
      <c r="U7" s="31">
        <v>119.6</v>
      </c>
      <c r="V7" s="31">
        <v>115.74</v>
      </c>
      <c r="W7" s="31">
        <v>116.71</v>
      </c>
      <c r="X7" s="31">
        <v>116.71</v>
      </c>
      <c r="Y7" s="31" t="s">
        <v>134</v>
      </c>
      <c r="Z7">
        <f t="shared" si="2"/>
        <v>1.1151140847486315E-3</v>
      </c>
    </row>
    <row r="8" spans="1:33" ht="58.2" thickBot="1" x14ac:dyDescent="0.35">
      <c r="A8" s="17" t="s">
        <v>349</v>
      </c>
      <c r="B8" s="24" t="s">
        <v>350</v>
      </c>
      <c r="C8" s="18">
        <v>75</v>
      </c>
      <c r="D8" s="24">
        <v>40.450000000000003</v>
      </c>
      <c r="E8" s="24">
        <v>37.200000000000003</v>
      </c>
      <c r="F8" s="24">
        <v>37.950000000000003</v>
      </c>
      <c r="G8" s="24">
        <v>0</v>
      </c>
      <c r="H8" s="24" t="s">
        <v>22</v>
      </c>
      <c r="I8" s="24">
        <v>1</v>
      </c>
      <c r="J8" s="24">
        <v>53</v>
      </c>
      <c r="K8" s="26">
        <v>0.6774</v>
      </c>
      <c r="L8">
        <f t="shared" si="0"/>
        <v>37.575000000000003</v>
      </c>
      <c r="R8">
        <f t="shared" si="1"/>
        <v>0.72895911322480611</v>
      </c>
      <c r="S8" s="30" t="s">
        <v>135</v>
      </c>
      <c r="T8" s="31">
        <v>113.86</v>
      </c>
      <c r="U8" s="31">
        <v>116.23</v>
      </c>
      <c r="V8" s="31">
        <v>111.92</v>
      </c>
      <c r="W8" s="31">
        <v>115.09</v>
      </c>
      <c r="X8" s="31">
        <v>115.09</v>
      </c>
      <c r="Y8" s="31" t="s">
        <v>136</v>
      </c>
      <c r="Z8">
        <f t="shared" si="2"/>
        <v>-1.3880558649644336E-2</v>
      </c>
    </row>
    <row r="9" spans="1:33" ht="58.2" thickBot="1" x14ac:dyDescent="0.35">
      <c r="A9" s="17" t="s">
        <v>351</v>
      </c>
      <c r="B9" s="24" t="s">
        <v>352</v>
      </c>
      <c r="C9" s="18">
        <v>80</v>
      </c>
      <c r="D9" s="24">
        <v>41.75</v>
      </c>
      <c r="E9" s="24">
        <v>33.6</v>
      </c>
      <c r="F9" s="24">
        <v>34.35</v>
      </c>
      <c r="G9" s="24">
        <v>0</v>
      </c>
      <c r="H9" s="24" t="s">
        <v>22</v>
      </c>
      <c r="I9" s="24">
        <v>20</v>
      </c>
      <c r="J9" s="24">
        <v>101</v>
      </c>
      <c r="K9" s="26">
        <v>0.6613</v>
      </c>
      <c r="L9">
        <f t="shared" si="0"/>
        <v>33.975000000000001</v>
      </c>
      <c r="R9">
        <f t="shared" si="1"/>
        <v>0.72895911322480611</v>
      </c>
      <c r="S9" s="30" t="s">
        <v>137</v>
      </c>
      <c r="T9" s="31">
        <v>110.53</v>
      </c>
      <c r="U9" s="31">
        <v>113.86</v>
      </c>
      <c r="V9" s="31">
        <v>109.4</v>
      </c>
      <c r="W9" s="31">
        <v>112.99</v>
      </c>
      <c r="X9" s="31">
        <v>112.99</v>
      </c>
      <c r="Y9" s="31" t="s">
        <v>138</v>
      </c>
      <c r="Z9">
        <f t="shared" si="2"/>
        <v>-1.8246589625510543E-2</v>
      </c>
    </row>
    <row r="10" spans="1:33" ht="58.2" thickBot="1" x14ac:dyDescent="0.35">
      <c r="A10" s="17" t="s">
        <v>353</v>
      </c>
      <c r="B10" s="24" t="s">
        <v>354</v>
      </c>
      <c r="C10" s="18">
        <v>85</v>
      </c>
      <c r="D10" s="24">
        <v>33.03</v>
      </c>
      <c r="E10" s="24">
        <v>30</v>
      </c>
      <c r="F10" s="24">
        <v>31</v>
      </c>
      <c r="G10" s="24">
        <v>0</v>
      </c>
      <c r="H10" s="24" t="s">
        <v>22</v>
      </c>
      <c r="I10" s="24">
        <v>1</v>
      </c>
      <c r="J10" s="24">
        <v>85</v>
      </c>
      <c r="K10" s="26">
        <v>0.64359999999999995</v>
      </c>
      <c r="L10">
        <f t="shared" si="0"/>
        <v>30.5</v>
      </c>
      <c r="R10">
        <f t="shared" si="1"/>
        <v>0.72895911322480611</v>
      </c>
      <c r="S10" s="30" t="s">
        <v>139</v>
      </c>
      <c r="T10" s="31">
        <v>112.86</v>
      </c>
      <c r="U10" s="31">
        <v>116.5</v>
      </c>
      <c r="V10" s="31">
        <v>110.82</v>
      </c>
      <c r="W10" s="31">
        <v>115.15</v>
      </c>
      <c r="X10" s="31">
        <v>115.15</v>
      </c>
      <c r="Y10" s="31" t="s">
        <v>140</v>
      </c>
      <c r="Z10">
        <f t="shared" si="2"/>
        <v>1.9116735994335877E-2</v>
      </c>
    </row>
    <row r="11" spans="1:33" ht="58.2" thickBot="1" x14ac:dyDescent="0.35">
      <c r="A11" s="17" t="s">
        <v>355</v>
      </c>
      <c r="B11" s="24" t="s">
        <v>68</v>
      </c>
      <c r="C11" s="18">
        <v>90</v>
      </c>
      <c r="D11" s="24">
        <v>30.27</v>
      </c>
      <c r="E11" s="24">
        <v>26.55</v>
      </c>
      <c r="F11" s="24">
        <v>27.35</v>
      </c>
      <c r="G11" s="24">
        <v>0</v>
      </c>
      <c r="H11" s="24" t="s">
        <v>22</v>
      </c>
      <c r="I11" s="24">
        <v>2</v>
      </c>
      <c r="J11" s="24">
        <v>242</v>
      </c>
      <c r="K11" s="26">
        <v>0.61660000000000004</v>
      </c>
      <c r="L11">
        <f t="shared" si="0"/>
        <v>26.950000000000003</v>
      </c>
      <c r="R11">
        <f t="shared" si="1"/>
        <v>0.72895911322480611</v>
      </c>
      <c r="S11" s="30" t="s">
        <v>141</v>
      </c>
      <c r="T11" s="31">
        <v>115.7</v>
      </c>
      <c r="U11" s="31">
        <v>124.11</v>
      </c>
      <c r="V11" s="31">
        <v>112.68</v>
      </c>
      <c r="W11" s="31">
        <v>117.24</v>
      </c>
      <c r="X11" s="31">
        <v>117.24</v>
      </c>
      <c r="Y11" s="31" t="s">
        <v>142</v>
      </c>
      <c r="Z11">
        <f t="shared" si="2"/>
        <v>1.8150238818931734E-2</v>
      </c>
    </row>
    <row r="12" spans="1:33" ht="58.2" thickBot="1" x14ac:dyDescent="0.35">
      <c r="A12" s="17" t="s">
        <v>356</v>
      </c>
      <c r="B12" s="24" t="s">
        <v>357</v>
      </c>
      <c r="C12" s="18">
        <v>95</v>
      </c>
      <c r="D12" s="24">
        <v>26.77</v>
      </c>
      <c r="E12" s="24">
        <v>23.55</v>
      </c>
      <c r="F12" s="24">
        <v>24.5</v>
      </c>
      <c r="G12" s="24">
        <v>0</v>
      </c>
      <c r="H12" s="24" t="s">
        <v>22</v>
      </c>
      <c r="I12" s="24">
        <v>5</v>
      </c>
      <c r="J12" s="24">
        <v>179</v>
      </c>
      <c r="K12" s="26">
        <v>0.6069</v>
      </c>
      <c r="L12">
        <f t="shared" si="0"/>
        <v>24.024999999999999</v>
      </c>
      <c r="R12">
        <f t="shared" si="1"/>
        <v>0.72895911322480611</v>
      </c>
      <c r="S12" s="30" t="s">
        <v>143</v>
      </c>
      <c r="T12" s="31">
        <v>114.01</v>
      </c>
      <c r="U12" s="31">
        <v>118.24</v>
      </c>
      <c r="V12" s="31">
        <v>112.37</v>
      </c>
      <c r="W12" s="31">
        <v>114.99</v>
      </c>
      <c r="X12" s="31">
        <v>114.99</v>
      </c>
      <c r="Y12" s="31" t="s">
        <v>144</v>
      </c>
      <c r="Z12">
        <f t="shared" si="2"/>
        <v>-1.9191402251791199E-2</v>
      </c>
    </row>
    <row r="13" spans="1:33" ht="58.2" thickBot="1" x14ac:dyDescent="0.35">
      <c r="A13" s="17" t="s">
        <v>358</v>
      </c>
      <c r="B13" s="24" t="s">
        <v>359</v>
      </c>
      <c r="C13" s="18">
        <v>100</v>
      </c>
      <c r="D13" s="24">
        <v>21.35</v>
      </c>
      <c r="E13" s="24">
        <v>20.95</v>
      </c>
      <c r="F13" s="24">
        <v>21.6</v>
      </c>
      <c r="G13" s="24">
        <v>-2.4</v>
      </c>
      <c r="H13" s="25">
        <v>-0.1011</v>
      </c>
      <c r="I13" s="24">
        <v>10</v>
      </c>
      <c r="J13" s="24">
        <v>365</v>
      </c>
      <c r="K13" s="26">
        <v>0.59630000000000005</v>
      </c>
      <c r="L13">
        <f t="shared" si="0"/>
        <v>21.274999999999999</v>
      </c>
      <c r="R13">
        <f t="shared" si="1"/>
        <v>0.72895911322480611</v>
      </c>
      <c r="S13" s="30" t="s">
        <v>145</v>
      </c>
      <c r="T13" s="31">
        <v>102.81</v>
      </c>
      <c r="U13" s="31">
        <v>105.68</v>
      </c>
      <c r="V13" s="31">
        <v>98.7</v>
      </c>
      <c r="W13" s="31">
        <v>103.59</v>
      </c>
      <c r="X13" s="31">
        <v>103.59</v>
      </c>
      <c r="Y13" s="31" t="s">
        <v>146</v>
      </c>
      <c r="Z13">
        <f t="shared" si="2"/>
        <v>-9.9139055570049497E-2</v>
      </c>
    </row>
    <row r="14" spans="1:33" ht="58.2" thickBot="1" x14ac:dyDescent="0.35">
      <c r="A14" s="17" t="s">
        <v>360</v>
      </c>
      <c r="B14" s="24" t="s">
        <v>361</v>
      </c>
      <c r="C14" s="18">
        <v>105</v>
      </c>
      <c r="D14" s="24">
        <v>21</v>
      </c>
      <c r="E14" s="24">
        <v>18</v>
      </c>
      <c r="F14" s="24">
        <v>18.75</v>
      </c>
      <c r="G14" s="24">
        <v>0</v>
      </c>
      <c r="H14" s="24" t="s">
        <v>22</v>
      </c>
      <c r="I14" s="24">
        <v>26</v>
      </c>
      <c r="J14" s="24">
        <v>168</v>
      </c>
      <c r="K14" s="26">
        <v>0.57410000000000005</v>
      </c>
      <c r="L14">
        <f t="shared" si="0"/>
        <v>18.375</v>
      </c>
      <c r="R14">
        <f t="shared" si="1"/>
        <v>0.72895911322480611</v>
      </c>
      <c r="S14" s="30" t="s">
        <v>147</v>
      </c>
      <c r="T14" s="31">
        <v>100.5</v>
      </c>
      <c r="U14" s="31">
        <v>111.74</v>
      </c>
      <c r="V14" s="31">
        <v>99.6</v>
      </c>
      <c r="W14" s="31">
        <v>108.3</v>
      </c>
      <c r="X14" s="31">
        <v>108.3</v>
      </c>
      <c r="Y14" s="31" t="s">
        <v>148</v>
      </c>
      <c r="Z14">
        <f t="shared" si="2"/>
        <v>4.5467709238343409E-2</v>
      </c>
    </row>
    <row r="15" spans="1:33" ht="58.2" thickBot="1" x14ac:dyDescent="0.35">
      <c r="A15" s="40" t="s">
        <v>362</v>
      </c>
      <c r="B15" s="41" t="s">
        <v>363</v>
      </c>
      <c r="C15" s="42">
        <v>110</v>
      </c>
      <c r="D15" s="41">
        <v>18.399999999999999</v>
      </c>
      <c r="E15" s="41">
        <v>16.2</v>
      </c>
      <c r="F15" s="41">
        <v>16.7</v>
      </c>
      <c r="G15" s="41">
        <v>0</v>
      </c>
      <c r="H15" s="41" t="s">
        <v>22</v>
      </c>
      <c r="I15" s="41">
        <v>41</v>
      </c>
      <c r="J15" s="41">
        <v>379</v>
      </c>
      <c r="K15" s="47">
        <v>0.57740000000000002</v>
      </c>
      <c r="L15" s="48">
        <f t="shared" si="0"/>
        <v>16.45</v>
      </c>
      <c r="M15" s="39"/>
      <c r="N15" s="39"/>
      <c r="R15">
        <f t="shared" si="1"/>
        <v>0.72895911322480611</v>
      </c>
      <c r="S15" s="30" t="s">
        <v>149</v>
      </c>
      <c r="T15" s="31">
        <v>99.14</v>
      </c>
      <c r="U15" s="31">
        <v>101.89</v>
      </c>
      <c r="V15" s="31">
        <v>95.77</v>
      </c>
      <c r="W15" s="31">
        <v>100.37</v>
      </c>
      <c r="X15" s="31">
        <v>100.37</v>
      </c>
      <c r="Y15" s="31" t="s">
        <v>150</v>
      </c>
      <c r="Z15">
        <f t="shared" si="2"/>
        <v>-7.3222530009233538E-2</v>
      </c>
    </row>
    <row r="16" spans="1:33" ht="58.2" thickBot="1" x14ac:dyDescent="0.35">
      <c r="A16" s="17" t="s">
        <v>364</v>
      </c>
      <c r="B16" s="24" t="s">
        <v>365</v>
      </c>
      <c r="C16" s="18">
        <v>115</v>
      </c>
      <c r="D16" s="24">
        <v>14</v>
      </c>
      <c r="E16" s="24">
        <v>14</v>
      </c>
      <c r="F16" s="24">
        <v>14.45</v>
      </c>
      <c r="G16" s="24">
        <v>-2.25</v>
      </c>
      <c r="H16" s="25">
        <v>-0.13850000000000001</v>
      </c>
      <c r="I16" s="24">
        <v>2</v>
      </c>
      <c r="J16" s="24">
        <v>473</v>
      </c>
      <c r="K16" s="26">
        <v>0.5645</v>
      </c>
      <c r="L16">
        <f t="shared" si="0"/>
        <v>14.225</v>
      </c>
      <c r="R16">
        <f t="shared" si="1"/>
        <v>0.72895911322480611</v>
      </c>
      <c r="S16" s="30" t="s">
        <v>151</v>
      </c>
      <c r="T16" s="31">
        <v>92</v>
      </c>
      <c r="U16" s="31">
        <v>105.74</v>
      </c>
      <c r="V16" s="31">
        <v>87.12</v>
      </c>
      <c r="W16" s="31">
        <v>104.98</v>
      </c>
      <c r="X16" s="31">
        <v>104.98</v>
      </c>
      <c r="Y16" s="31" t="s">
        <v>152</v>
      </c>
      <c r="Z16">
        <f t="shared" si="2"/>
        <v>4.5930058782504724E-2</v>
      </c>
    </row>
    <row r="17" spans="1:26" ht="58.2" thickBot="1" x14ac:dyDescent="0.35">
      <c r="A17" s="17" t="s">
        <v>366</v>
      </c>
      <c r="B17" s="24" t="s">
        <v>367</v>
      </c>
      <c r="C17" s="18">
        <v>120</v>
      </c>
      <c r="D17" s="24">
        <v>13.85</v>
      </c>
      <c r="E17" s="24">
        <v>12.35</v>
      </c>
      <c r="F17" s="24">
        <v>12.7</v>
      </c>
      <c r="G17" s="24">
        <v>0</v>
      </c>
      <c r="H17" s="24" t="s">
        <v>22</v>
      </c>
      <c r="I17" s="24">
        <v>2</v>
      </c>
      <c r="J17" s="24">
        <v>337</v>
      </c>
      <c r="K17" s="26">
        <v>0.56240000000000001</v>
      </c>
      <c r="L17">
        <f t="shared" si="0"/>
        <v>12.524999999999999</v>
      </c>
      <c r="R17">
        <f t="shared" si="1"/>
        <v>0.72895911322480611</v>
      </c>
      <c r="S17" s="30" t="s">
        <v>153</v>
      </c>
      <c r="T17" s="31">
        <v>75.099999999999994</v>
      </c>
      <c r="U17" s="31">
        <v>80.14</v>
      </c>
      <c r="V17" s="31">
        <v>73.28</v>
      </c>
      <c r="W17" s="31">
        <v>76.760000000000005</v>
      </c>
      <c r="X17" s="31">
        <v>76.760000000000005</v>
      </c>
      <c r="Y17" s="31" t="s">
        <v>154</v>
      </c>
      <c r="Z17">
        <f t="shared" si="2"/>
        <v>-0.26881310725852542</v>
      </c>
    </row>
    <row r="18" spans="1:26" ht="58.2" thickBot="1" x14ac:dyDescent="0.35">
      <c r="A18" s="17" t="s">
        <v>368</v>
      </c>
      <c r="B18" s="24" t="s">
        <v>369</v>
      </c>
      <c r="C18" s="18">
        <v>125</v>
      </c>
      <c r="D18" s="24">
        <v>12.35</v>
      </c>
      <c r="E18" s="24">
        <v>10.65</v>
      </c>
      <c r="F18" s="24">
        <v>10.9</v>
      </c>
      <c r="G18" s="24">
        <v>0</v>
      </c>
      <c r="H18" s="24" t="s">
        <v>22</v>
      </c>
      <c r="I18" s="24">
        <v>29</v>
      </c>
      <c r="J18" s="24">
        <v>1.242</v>
      </c>
      <c r="K18" s="26">
        <v>0.55289999999999995</v>
      </c>
      <c r="L18">
        <f t="shared" si="0"/>
        <v>10.775</v>
      </c>
      <c r="R18">
        <f t="shared" si="1"/>
        <v>0.72895911322480611</v>
      </c>
      <c r="S18" s="30" t="s">
        <v>155</v>
      </c>
      <c r="T18" s="31">
        <v>80.7</v>
      </c>
      <c r="U18" s="31">
        <v>82.45</v>
      </c>
      <c r="V18" s="31">
        <v>77.08</v>
      </c>
      <c r="W18" s="31">
        <v>77.760000000000005</v>
      </c>
      <c r="X18" s="31">
        <v>77.760000000000005</v>
      </c>
      <c r="Y18" s="31" t="s">
        <v>156</v>
      </c>
      <c r="Z18">
        <f t="shared" si="2"/>
        <v>1.3027618551328815E-2</v>
      </c>
    </row>
    <row r="19" spans="1:26" ht="58.2" thickBot="1" x14ac:dyDescent="0.35">
      <c r="A19" s="17" t="s">
        <v>370</v>
      </c>
      <c r="B19" s="24" t="s">
        <v>371</v>
      </c>
      <c r="C19" s="18">
        <v>130</v>
      </c>
      <c r="D19" s="24">
        <v>9.51</v>
      </c>
      <c r="E19" s="24">
        <v>9.15</v>
      </c>
      <c r="F19" s="24">
        <v>9.4499999999999993</v>
      </c>
      <c r="G19" s="24">
        <v>-1.39</v>
      </c>
      <c r="H19" s="25">
        <v>-0.1275</v>
      </c>
      <c r="I19" s="24">
        <v>4</v>
      </c>
      <c r="J19" s="24">
        <v>297</v>
      </c>
      <c r="K19" s="26">
        <v>0.54669999999999996</v>
      </c>
      <c r="L19">
        <f t="shared" si="0"/>
        <v>9.3000000000000007</v>
      </c>
      <c r="R19">
        <f t="shared" si="1"/>
        <v>0.72895911322480611</v>
      </c>
      <c r="S19" s="30" t="s">
        <v>157</v>
      </c>
      <c r="T19" s="31">
        <v>93.26</v>
      </c>
      <c r="U19" s="31">
        <v>93.95</v>
      </c>
      <c r="V19" s="31">
        <v>86.68</v>
      </c>
      <c r="W19" s="31">
        <v>86.71</v>
      </c>
      <c r="X19" s="31">
        <v>86.71</v>
      </c>
      <c r="Y19" s="31" t="s">
        <v>158</v>
      </c>
      <c r="Z19">
        <f t="shared" si="2"/>
        <v>0.11509773662551424</v>
      </c>
    </row>
    <row r="20" spans="1:26" ht="58.2" thickBot="1" x14ac:dyDescent="0.35">
      <c r="A20" s="17" t="s">
        <v>372</v>
      </c>
      <c r="B20" s="24" t="s">
        <v>373</v>
      </c>
      <c r="C20" s="18">
        <v>135</v>
      </c>
      <c r="D20" s="24">
        <v>9.8000000000000007</v>
      </c>
      <c r="E20" s="24">
        <v>8.0500000000000007</v>
      </c>
      <c r="F20" s="24">
        <v>8.35</v>
      </c>
      <c r="G20" s="24">
        <v>0</v>
      </c>
      <c r="H20" s="24" t="s">
        <v>22</v>
      </c>
      <c r="I20" s="24">
        <v>1</v>
      </c>
      <c r="J20" s="24">
        <v>180</v>
      </c>
      <c r="K20" s="26">
        <v>0.54800000000000004</v>
      </c>
      <c r="L20">
        <f t="shared" si="0"/>
        <v>8.1999999999999993</v>
      </c>
      <c r="R20">
        <f t="shared" si="1"/>
        <v>0.72895911322480611</v>
      </c>
      <c r="S20" s="30" t="s">
        <v>159</v>
      </c>
      <c r="T20" s="31">
        <v>95.19</v>
      </c>
      <c r="U20" s="31">
        <v>95.7</v>
      </c>
      <c r="V20" s="31">
        <v>90.82</v>
      </c>
      <c r="W20" s="31">
        <v>92.92</v>
      </c>
      <c r="X20" s="31">
        <v>92.92</v>
      </c>
      <c r="Y20" s="31" t="s">
        <v>160</v>
      </c>
      <c r="Z20">
        <f t="shared" si="2"/>
        <v>7.1618037135278617E-2</v>
      </c>
    </row>
    <row r="21" spans="1:26" ht="58.2" thickBot="1" x14ac:dyDescent="0.35">
      <c r="A21" s="17" t="s">
        <v>374</v>
      </c>
      <c r="B21" s="24" t="s">
        <v>375</v>
      </c>
      <c r="C21" s="18">
        <v>140</v>
      </c>
      <c r="D21" s="24">
        <v>7.2</v>
      </c>
      <c r="E21" s="24">
        <v>7</v>
      </c>
      <c r="F21" s="24">
        <v>7.2</v>
      </c>
      <c r="G21" s="24">
        <v>-0.91</v>
      </c>
      <c r="H21" s="25">
        <v>-0.11219999999999999</v>
      </c>
      <c r="I21" s="24">
        <v>6</v>
      </c>
      <c r="J21" s="24">
        <v>550</v>
      </c>
      <c r="K21" s="26">
        <v>0.54459999999999997</v>
      </c>
      <c r="L21">
        <f t="shared" si="0"/>
        <v>7.1</v>
      </c>
      <c r="R21">
        <f t="shared" si="1"/>
        <v>0.72895911322480611</v>
      </c>
      <c r="S21" s="30" t="s">
        <v>161</v>
      </c>
      <c r="T21" s="31">
        <v>100.26</v>
      </c>
      <c r="U21" s="31">
        <v>100.97</v>
      </c>
      <c r="V21" s="31">
        <v>98.32</v>
      </c>
      <c r="W21" s="31">
        <v>100.93</v>
      </c>
      <c r="X21" s="31">
        <v>100.93</v>
      </c>
      <c r="Y21" s="31" t="s">
        <v>162</v>
      </c>
      <c r="Z21">
        <f t="shared" si="2"/>
        <v>8.6203185535944957E-2</v>
      </c>
    </row>
    <row r="22" spans="1:26" ht="58.2" thickBot="1" x14ac:dyDescent="0.35">
      <c r="A22" s="17" t="s">
        <v>376</v>
      </c>
      <c r="B22" s="24" t="s">
        <v>377</v>
      </c>
      <c r="C22" s="18">
        <v>145</v>
      </c>
      <c r="D22" s="24">
        <v>6.95</v>
      </c>
      <c r="E22" s="24">
        <v>5.9</v>
      </c>
      <c r="F22" s="24">
        <v>6.3</v>
      </c>
      <c r="G22" s="24">
        <v>0</v>
      </c>
      <c r="H22" s="24" t="s">
        <v>22</v>
      </c>
      <c r="I22" s="24">
        <v>28</v>
      </c>
      <c r="J22" s="24">
        <v>151</v>
      </c>
      <c r="K22" s="26">
        <v>0.54</v>
      </c>
      <c r="L22">
        <f t="shared" si="0"/>
        <v>6.1</v>
      </c>
      <c r="R22">
        <f t="shared" si="1"/>
        <v>0.72895911322480611</v>
      </c>
      <c r="S22" s="30" t="s">
        <v>163</v>
      </c>
      <c r="T22" s="31">
        <v>99.32</v>
      </c>
      <c r="U22" s="31">
        <v>100.91</v>
      </c>
      <c r="V22" s="31">
        <v>95.57</v>
      </c>
      <c r="W22" s="31">
        <v>97.5</v>
      </c>
      <c r="X22" s="31">
        <v>97.5</v>
      </c>
      <c r="Y22" s="31" t="s">
        <v>164</v>
      </c>
      <c r="Z22">
        <f t="shared" si="2"/>
        <v>-3.3983949271772583E-2</v>
      </c>
    </row>
    <row r="23" spans="1:26" ht="58.2" thickBot="1" x14ac:dyDescent="0.35">
      <c r="A23" s="17" t="s">
        <v>378</v>
      </c>
      <c r="B23" s="24" t="s">
        <v>379</v>
      </c>
      <c r="C23" s="18">
        <v>150</v>
      </c>
      <c r="D23" s="24">
        <v>5.35</v>
      </c>
      <c r="E23" s="24">
        <v>5.0999999999999996</v>
      </c>
      <c r="F23" s="24">
        <v>5.45</v>
      </c>
      <c r="G23" s="24">
        <v>-0.82</v>
      </c>
      <c r="H23" s="25">
        <v>-0.13289999999999999</v>
      </c>
      <c r="I23" s="24">
        <v>3</v>
      </c>
      <c r="J23" s="24">
        <v>439</v>
      </c>
      <c r="K23" s="26">
        <v>0.53769999999999996</v>
      </c>
      <c r="L23">
        <f t="shared" si="0"/>
        <v>5.2750000000000004</v>
      </c>
      <c r="R23">
        <f t="shared" si="1"/>
        <v>0.72895911322480611</v>
      </c>
      <c r="S23" s="30" t="s">
        <v>165</v>
      </c>
      <c r="T23" s="31">
        <v>99.56</v>
      </c>
      <c r="U23" s="31">
        <v>103.36</v>
      </c>
      <c r="V23" s="31">
        <v>98.6</v>
      </c>
      <c r="W23" s="31">
        <v>98.66</v>
      </c>
      <c r="X23" s="31">
        <v>98.66</v>
      </c>
      <c r="Y23" s="31" t="s">
        <v>166</v>
      </c>
      <c r="Z23">
        <f t="shared" si="2"/>
        <v>1.1897435897435863E-2</v>
      </c>
    </row>
    <row r="24" spans="1:26" ht="58.2" thickBot="1" x14ac:dyDescent="0.35">
      <c r="A24" s="17" t="s">
        <v>380</v>
      </c>
      <c r="B24" s="24" t="s">
        <v>381</v>
      </c>
      <c r="C24" s="18">
        <v>155</v>
      </c>
      <c r="D24" s="24">
        <v>5.25</v>
      </c>
      <c r="E24" s="24">
        <v>4.45</v>
      </c>
      <c r="F24" s="24">
        <v>4.7</v>
      </c>
      <c r="G24" s="24">
        <v>0</v>
      </c>
      <c r="H24" s="24" t="s">
        <v>22</v>
      </c>
      <c r="I24" s="24">
        <v>15</v>
      </c>
      <c r="J24" s="24">
        <v>302</v>
      </c>
      <c r="K24" s="26">
        <v>0.53649999999999998</v>
      </c>
      <c r="L24">
        <f t="shared" si="0"/>
        <v>4.5750000000000002</v>
      </c>
      <c r="R24">
        <f t="shared" si="1"/>
        <v>0.72895911322480611</v>
      </c>
      <c r="S24" s="30" t="s">
        <v>256</v>
      </c>
      <c r="T24" s="31">
        <v>100.29</v>
      </c>
      <c r="U24" s="31">
        <v>104.39</v>
      </c>
      <c r="V24" s="31">
        <v>99.33</v>
      </c>
      <c r="W24" s="31">
        <v>100.6</v>
      </c>
      <c r="X24" s="31">
        <v>100.6</v>
      </c>
      <c r="Y24" s="31" t="s">
        <v>257</v>
      </c>
      <c r="Z24">
        <f t="shared" si="2"/>
        <v>1.9663490776403787E-2</v>
      </c>
    </row>
    <row r="25" spans="1:26" ht="58.2" thickBot="1" x14ac:dyDescent="0.35">
      <c r="A25" s="17" t="s">
        <v>382</v>
      </c>
      <c r="B25" s="24" t="s">
        <v>383</v>
      </c>
      <c r="C25" s="18">
        <v>160</v>
      </c>
      <c r="D25" s="24">
        <v>3.9</v>
      </c>
      <c r="E25" s="24">
        <v>3.8</v>
      </c>
      <c r="F25" s="24">
        <v>4.05</v>
      </c>
      <c r="G25" s="24">
        <v>-0.65</v>
      </c>
      <c r="H25" s="25">
        <v>-0.1429</v>
      </c>
      <c r="I25" s="24">
        <v>10</v>
      </c>
      <c r="J25" s="24">
        <v>423</v>
      </c>
      <c r="K25" s="26">
        <v>0.53349999999999997</v>
      </c>
      <c r="L25">
        <f t="shared" si="0"/>
        <v>3.9249999999999998</v>
      </c>
      <c r="R25">
        <f t="shared" si="1"/>
        <v>0.72895911322480611</v>
      </c>
      <c r="S25" s="30" t="s">
        <v>258</v>
      </c>
      <c r="T25" s="31">
        <v>106.03</v>
      </c>
      <c r="U25" s="31">
        <v>106.63</v>
      </c>
      <c r="V25" s="31">
        <v>101.07</v>
      </c>
      <c r="W25" s="31">
        <v>102.05</v>
      </c>
      <c r="X25" s="31">
        <v>102.05</v>
      </c>
      <c r="Y25" s="31" t="s">
        <v>259</v>
      </c>
      <c r="Z25">
        <f t="shared" si="2"/>
        <v>1.441351888667995E-2</v>
      </c>
    </row>
    <row r="26" spans="1:26" ht="58.2" thickBot="1" x14ac:dyDescent="0.35">
      <c r="A26" s="17" t="s">
        <v>384</v>
      </c>
      <c r="B26" s="24" t="s">
        <v>198</v>
      </c>
      <c r="C26" s="18">
        <v>165</v>
      </c>
      <c r="D26" s="24">
        <v>4.04</v>
      </c>
      <c r="E26" s="24">
        <v>3.3</v>
      </c>
      <c r="F26" s="24">
        <v>3.5</v>
      </c>
      <c r="G26" s="24">
        <v>0</v>
      </c>
      <c r="H26" s="24" t="s">
        <v>22</v>
      </c>
      <c r="I26" s="24">
        <v>35</v>
      </c>
      <c r="J26" s="24">
        <v>203</v>
      </c>
      <c r="K26" s="26">
        <v>0.53259999999999996</v>
      </c>
      <c r="L26">
        <f t="shared" si="0"/>
        <v>3.4</v>
      </c>
      <c r="R26">
        <f t="shared" si="1"/>
        <v>0.72895911322480611</v>
      </c>
      <c r="S26" s="30" t="s">
        <v>260</v>
      </c>
      <c r="T26" s="31">
        <v>107.39</v>
      </c>
      <c r="U26" s="31">
        <v>107.39</v>
      </c>
      <c r="V26" s="31">
        <v>103.24</v>
      </c>
      <c r="W26" s="31">
        <v>105.42</v>
      </c>
      <c r="X26" s="31">
        <v>105.42</v>
      </c>
      <c r="Y26" s="31" t="s">
        <v>261</v>
      </c>
      <c r="Z26">
        <f t="shared" si="2"/>
        <v>3.302302792748657E-2</v>
      </c>
    </row>
    <row r="27" spans="1:26" ht="58.2" thickBot="1" x14ac:dyDescent="0.35">
      <c r="A27" s="17" t="s">
        <v>385</v>
      </c>
      <c r="B27" s="24" t="s">
        <v>386</v>
      </c>
      <c r="C27" s="18">
        <v>170</v>
      </c>
      <c r="D27" s="24">
        <v>3.51</v>
      </c>
      <c r="E27" s="24">
        <v>2.83</v>
      </c>
      <c r="F27" s="24">
        <v>3.1</v>
      </c>
      <c r="G27" s="24">
        <v>0</v>
      </c>
      <c r="H27" s="24" t="s">
        <v>22</v>
      </c>
      <c r="I27" s="24">
        <v>13</v>
      </c>
      <c r="J27" s="24">
        <v>218</v>
      </c>
      <c r="K27" s="26">
        <v>0.53280000000000005</v>
      </c>
      <c r="L27">
        <f t="shared" si="0"/>
        <v>2.9649999999999999</v>
      </c>
      <c r="R27">
        <f t="shared" si="1"/>
        <v>0.72895911322480611</v>
      </c>
      <c r="S27" s="30" t="s">
        <v>262</v>
      </c>
      <c r="T27" s="31">
        <v>105.85</v>
      </c>
      <c r="U27" s="31">
        <v>111.25</v>
      </c>
      <c r="V27" s="31">
        <v>105.85</v>
      </c>
      <c r="W27" s="31">
        <v>107.09</v>
      </c>
      <c r="X27" s="31">
        <v>107.09</v>
      </c>
      <c r="Y27" s="31" t="s">
        <v>263</v>
      </c>
      <c r="Z27">
        <f t="shared" si="2"/>
        <v>1.5841396319483985E-2</v>
      </c>
    </row>
    <row r="28" spans="1:26" ht="58.2" thickBot="1" x14ac:dyDescent="0.35">
      <c r="A28" s="17" t="s">
        <v>387</v>
      </c>
      <c r="B28" s="24" t="s">
        <v>388</v>
      </c>
      <c r="C28" s="18">
        <v>175</v>
      </c>
      <c r="D28" s="24">
        <v>2.96</v>
      </c>
      <c r="E28" s="24">
        <v>2.37</v>
      </c>
      <c r="F28" s="24">
        <v>2.79</v>
      </c>
      <c r="G28" s="24">
        <v>0</v>
      </c>
      <c r="H28" s="24" t="s">
        <v>22</v>
      </c>
      <c r="I28" s="24">
        <v>18</v>
      </c>
      <c r="J28" s="24">
        <v>340</v>
      </c>
      <c r="K28" s="26">
        <v>0.53280000000000005</v>
      </c>
      <c r="L28">
        <f t="shared" si="0"/>
        <v>2.58</v>
      </c>
      <c r="R28">
        <f t="shared" si="1"/>
        <v>0.72895911322480611</v>
      </c>
      <c r="S28" s="30" t="s">
        <v>264</v>
      </c>
      <c r="T28" s="31">
        <v>105.97</v>
      </c>
      <c r="U28" s="31">
        <v>107.49</v>
      </c>
      <c r="V28" s="31">
        <v>103.64</v>
      </c>
      <c r="W28" s="31">
        <v>105.19</v>
      </c>
      <c r="X28" s="31">
        <v>105.19</v>
      </c>
      <c r="Y28" s="31" t="s">
        <v>265</v>
      </c>
      <c r="Z28">
        <f t="shared" si="2"/>
        <v>-1.7742086095807318E-2</v>
      </c>
    </row>
    <row r="29" spans="1:26" ht="58.2" thickBot="1" x14ac:dyDescent="0.35">
      <c r="A29" s="17" t="s">
        <v>389</v>
      </c>
      <c r="B29" s="24" t="s">
        <v>386</v>
      </c>
      <c r="C29" s="18">
        <v>180</v>
      </c>
      <c r="D29" s="24">
        <v>2.79</v>
      </c>
      <c r="E29" s="24">
        <v>2.08</v>
      </c>
      <c r="F29" s="24">
        <v>2.35</v>
      </c>
      <c r="G29" s="24">
        <v>0</v>
      </c>
      <c r="H29" s="24" t="s">
        <v>22</v>
      </c>
      <c r="I29" s="24">
        <v>19</v>
      </c>
      <c r="J29" s="24">
        <v>179</v>
      </c>
      <c r="K29" s="26">
        <v>0.53090000000000004</v>
      </c>
      <c r="L29">
        <f t="shared" si="0"/>
        <v>2.2149999999999999</v>
      </c>
      <c r="R29">
        <f t="shared" si="1"/>
        <v>0.72895911322480611</v>
      </c>
      <c r="S29" s="30" t="s">
        <v>266</v>
      </c>
      <c r="T29" s="31">
        <v>107.89</v>
      </c>
      <c r="U29" s="31">
        <v>108.55</v>
      </c>
      <c r="V29" s="31">
        <v>104</v>
      </c>
      <c r="W29" s="31">
        <v>107.94</v>
      </c>
      <c r="X29" s="31">
        <v>107.94</v>
      </c>
      <c r="Y29" s="31" t="s">
        <v>267</v>
      </c>
      <c r="Z29">
        <f t="shared" si="2"/>
        <v>2.6143169502804448E-2</v>
      </c>
    </row>
    <row r="30" spans="1:26" ht="58.2" thickBot="1" x14ac:dyDescent="0.35">
      <c r="A30" s="17" t="s">
        <v>390</v>
      </c>
      <c r="B30" s="24" t="s">
        <v>371</v>
      </c>
      <c r="C30" s="18">
        <v>185</v>
      </c>
      <c r="D30" s="24">
        <v>2.06</v>
      </c>
      <c r="E30" s="24">
        <v>1.79</v>
      </c>
      <c r="F30" s="24">
        <v>2.04</v>
      </c>
      <c r="G30" s="24">
        <v>-0.28999999999999998</v>
      </c>
      <c r="H30" s="25">
        <v>-0.1234</v>
      </c>
      <c r="I30" s="24">
        <v>1</v>
      </c>
      <c r="J30" s="24">
        <v>58</v>
      </c>
      <c r="K30" s="26">
        <v>0.53</v>
      </c>
      <c r="L30">
        <f t="shared" si="0"/>
        <v>1.915</v>
      </c>
      <c r="R30">
        <f t="shared" si="1"/>
        <v>0.72895911322480611</v>
      </c>
      <c r="S30" s="30" t="s">
        <v>268</v>
      </c>
      <c r="T30" s="31">
        <v>100.07</v>
      </c>
      <c r="U30" s="31">
        <v>108.95</v>
      </c>
      <c r="V30" s="31">
        <v>100.02</v>
      </c>
      <c r="W30" s="31">
        <v>108.93</v>
      </c>
      <c r="X30" s="31">
        <v>108.93</v>
      </c>
      <c r="Y30" s="31" t="s">
        <v>269</v>
      </c>
      <c r="Z30">
        <f t="shared" si="2"/>
        <v>9.1717620900501114E-3</v>
      </c>
    </row>
    <row r="31" spans="1:26" ht="58.2" thickBot="1" x14ac:dyDescent="0.35">
      <c r="A31" s="17" t="s">
        <v>391</v>
      </c>
      <c r="B31" s="24" t="s">
        <v>392</v>
      </c>
      <c r="C31" s="18">
        <v>190</v>
      </c>
      <c r="D31" s="24">
        <v>2.0499999999999998</v>
      </c>
      <c r="E31" s="24">
        <v>1.65</v>
      </c>
      <c r="F31" s="24">
        <v>1.93</v>
      </c>
      <c r="G31" s="24">
        <v>0</v>
      </c>
      <c r="H31" s="24" t="s">
        <v>22</v>
      </c>
      <c r="I31" s="24">
        <v>1</v>
      </c>
      <c r="J31" s="24">
        <v>53</v>
      </c>
      <c r="K31" s="26">
        <v>0.53910000000000002</v>
      </c>
      <c r="L31">
        <f t="shared" si="0"/>
        <v>1.79</v>
      </c>
      <c r="R31">
        <f t="shared" si="1"/>
        <v>0.72895911322480611</v>
      </c>
      <c r="S31" s="30" t="s">
        <v>270</v>
      </c>
      <c r="T31" s="31">
        <v>115.1</v>
      </c>
      <c r="U31" s="31">
        <v>115.4</v>
      </c>
      <c r="V31" s="31">
        <v>109.6</v>
      </c>
      <c r="W31" s="31">
        <v>109.72</v>
      </c>
      <c r="X31" s="31">
        <v>109.72</v>
      </c>
      <c r="Y31" s="31" t="s">
        <v>271</v>
      </c>
      <c r="Z31">
        <f t="shared" si="2"/>
        <v>7.252363903424144E-3</v>
      </c>
    </row>
    <row r="32" spans="1:26" ht="58.2" thickBot="1" x14ac:dyDescent="0.35">
      <c r="A32" s="17" t="s">
        <v>393</v>
      </c>
      <c r="B32" s="24" t="s">
        <v>241</v>
      </c>
      <c r="C32" s="18">
        <v>195</v>
      </c>
      <c r="D32" s="24">
        <v>1.81</v>
      </c>
      <c r="E32" s="24">
        <v>1.44</v>
      </c>
      <c r="F32" s="24">
        <v>1.57</v>
      </c>
      <c r="G32" s="24">
        <v>0</v>
      </c>
      <c r="H32" s="24" t="s">
        <v>22</v>
      </c>
      <c r="I32" s="24">
        <v>1</v>
      </c>
      <c r="J32" s="24">
        <v>43</v>
      </c>
      <c r="K32" s="26">
        <v>0.53459999999999996</v>
      </c>
      <c r="L32">
        <f t="shared" si="0"/>
        <v>1.5049999999999999</v>
      </c>
      <c r="R32">
        <f t="shared" si="1"/>
        <v>0.72895911322480611</v>
      </c>
      <c r="S32" s="30" t="s">
        <v>272</v>
      </c>
      <c r="T32" s="31">
        <v>114</v>
      </c>
      <c r="U32" s="31">
        <v>114.85</v>
      </c>
      <c r="V32" s="31">
        <v>112.06</v>
      </c>
      <c r="W32" s="31">
        <v>112.93</v>
      </c>
      <c r="X32" s="31">
        <v>112.93</v>
      </c>
      <c r="Y32" s="31" t="s">
        <v>273</v>
      </c>
      <c r="Z32">
        <f t="shared" si="2"/>
        <v>2.9256288734961795E-2</v>
      </c>
    </row>
    <row r="33" spans="1:26" ht="58.2" thickBot="1" x14ac:dyDescent="0.35">
      <c r="A33" s="17" t="s">
        <v>394</v>
      </c>
      <c r="B33" s="24" t="s">
        <v>395</v>
      </c>
      <c r="C33" s="18">
        <v>200</v>
      </c>
      <c r="D33" s="24">
        <v>1.25</v>
      </c>
      <c r="E33" s="24">
        <v>1.3</v>
      </c>
      <c r="F33" s="24">
        <v>1.39</v>
      </c>
      <c r="G33" s="24">
        <v>-0.3</v>
      </c>
      <c r="H33" s="25">
        <v>-0.19350000000000001</v>
      </c>
      <c r="I33" s="24">
        <v>1</v>
      </c>
      <c r="J33" s="24">
        <v>148</v>
      </c>
      <c r="K33" s="26">
        <v>0.53739999999999999</v>
      </c>
      <c r="L33">
        <f t="shared" si="0"/>
        <v>1.345</v>
      </c>
      <c r="R33">
        <f t="shared" si="1"/>
        <v>0.72895911322480611</v>
      </c>
      <c r="S33" s="30" t="s">
        <v>274</v>
      </c>
      <c r="T33" s="31">
        <v>120.88</v>
      </c>
      <c r="U33" s="31">
        <v>120.88</v>
      </c>
      <c r="V33" s="31">
        <v>117.2</v>
      </c>
      <c r="W33" s="31">
        <v>118.99</v>
      </c>
      <c r="X33" s="31">
        <v>118.99</v>
      </c>
      <c r="Y33" s="31" t="s">
        <v>275</v>
      </c>
      <c r="Z33">
        <f t="shared" si="2"/>
        <v>5.3661560258567144E-2</v>
      </c>
    </row>
    <row r="34" spans="1:26" ht="58.2" thickBot="1" x14ac:dyDescent="0.35">
      <c r="A34" s="17" t="s">
        <v>396</v>
      </c>
      <c r="B34" s="24" t="s">
        <v>397</v>
      </c>
      <c r="C34" s="18">
        <v>205</v>
      </c>
      <c r="D34" s="24">
        <v>1.5</v>
      </c>
      <c r="E34" s="24">
        <v>1.06</v>
      </c>
      <c r="F34" s="24">
        <v>1.24</v>
      </c>
      <c r="G34" s="24">
        <v>0</v>
      </c>
      <c r="H34" s="24" t="s">
        <v>22</v>
      </c>
      <c r="I34" s="24">
        <v>24</v>
      </c>
      <c r="J34" s="24">
        <v>32</v>
      </c>
      <c r="K34" s="26">
        <v>0.53520000000000001</v>
      </c>
      <c r="L34">
        <f t="shared" si="0"/>
        <v>1.1499999999999999</v>
      </c>
      <c r="R34">
        <f t="shared" si="1"/>
        <v>0.72895911322480611</v>
      </c>
      <c r="S34" s="30" t="s">
        <v>276</v>
      </c>
      <c r="T34" s="31">
        <v>125</v>
      </c>
      <c r="U34" s="31">
        <v>129.4</v>
      </c>
      <c r="V34" s="31">
        <v>124.06</v>
      </c>
      <c r="W34" s="31">
        <v>124.43</v>
      </c>
      <c r="X34" s="31">
        <v>124.43</v>
      </c>
      <c r="Y34" s="31" t="s">
        <v>277</v>
      </c>
      <c r="Z34">
        <f t="shared" si="2"/>
        <v>4.5718127573745798E-2</v>
      </c>
    </row>
    <row r="35" spans="1:26" ht="58.2" thickBot="1" x14ac:dyDescent="0.35">
      <c r="A35" s="17" t="s">
        <v>398</v>
      </c>
      <c r="B35" s="24" t="s">
        <v>399</v>
      </c>
      <c r="C35" s="18">
        <v>210</v>
      </c>
      <c r="D35" s="24">
        <v>1.55</v>
      </c>
      <c r="E35" s="24">
        <v>0.95</v>
      </c>
      <c r="F35" s="24">
        <v>1.07</v>
      </c>
      <c r="G35" s="24">
        <v>0</v>
      </c>
      <c r="H35" s="24" t="s">
        <v>22</v>
      </c>
      <c r="I35" s="24">
        <v>9</v>
      </c>
      <c r="J35" s="24">
        <v>305</v>
      </c>
      <c r="K35" s="26">
        <v>0.53580000000000005</v>
      </c>
      <c r="L35">
        <f t="shared" si="0"/>
        <v>1.01</v>
      </c>
      <c r="R35">
        <f t="shared" si="1"/>
        <v>0.72895911322480611</v>
      </c>
      <c r="S35" s="30" t="s">
        <v>278</v>
      </c>
      <c r="T35" s="31">
        <v>125.61</v>
      </c>
      <c r="U35" s="31">
        <v>127.58</v>
      </c>
      <c r="V35" s="31">
        <v>124.51</v>
      </c>
      <c r="W35" s="31">
        <v>125.56</v>
      </c>
      <c r="X35" s="31">
        <v>125.56</v>
      </c>
      <c r="Y35" s="31" t="s">
        <v>279</v>
      </c>
      <c r="Z35">
        <f t="shared" si="2"/>
        <v>9.0814112352326243E-3</v>
      </c>
    </row>
    <row r="36" spans="1:26" ht="58.2" thickBot="1" x14ac:dyDescent="0.35">
      <c r="A36" s="17" t="s">
        <v>400</v>
      </c>
      <c r="B36" s="24" t="s">
        <v>401</v>
      </c>
      <c r="C36" s="18">
        <v>215</v>
      </c>
      <c r="D36" s="24">
        <v>1.41</v>
      </c>
      <c r="E36" s="24">
        <v>0.86</v>
      </c>
      <c r="F36" s="24">
        <v>0.94</v>
      </c>
      <c r="G36" s="24">
        <v>0</v>
      </c>
      <c r="H36" s="24" t="s">
        <v>22</v>
      </c>
      <c r="I36" s="24">
        <v>1</v>
      </c>
      <c r="J36" s="24">
        <v>131</v>
      </c>
      <c r="K36" s="26">
        <v>0.53779999999999994</v>
      </c>
      <c r="L36">
        <f t="shared" si="0"/>
        <v>0.89999999999999991</v>
      </c>
      <c r="R36">
        <f t="shared" si="1"/>
        <v>0.72895911322480611</v>
      </c>
      <c r="S36" s="30" t="s">
        <v>280</v>
      </c>
      <c r="T36" s="31">
        <v>123.77</v>
      </c>
      <c r="U36" s="31">
        <v>126.81</v>
      </c>
      <c r="V36" s="31">
        <v>123.38</v>
      </c>
      <c r="W36" s="31">
        <v>126.24</v>
      </c>
      <c r="X36" s="31">
        <v>126.24</v>
      </c>
      <c r="Y36" s="31" t="s">
        <v>281</v>
      </c>
      <c r="Z36">
        <f t="shared" si="2"/>
        <v>5.415737496017781E-3</v>
      </c>
    </row>
    <row r="37" spans="1:26" ht="58.2" thickBot="1" x14ac:dyDescent="0.35">
      <c r="A37" s="17" t="s">
        <v>402</v>
      </c>
      <c r="B37" s="24" t="s">
        <v>403</v>
      </c>
      <c r="C37" s="18">
        <v>220</v>
      </c>
      <c r="D37" s="24">
        <v>0.96</v>
      </c>
      <c r="E37" s="24">
        <v>0.69</v>
      </c>
      <c r="F37" s="24">
        <v>0.89</v>
      </c>
      <c r="G37" s="24">
        <v>0</v>
      </c>
      <c r="H37" s="24" t="s">
        <v>22</v>
      </c>
      <c r="I37" s="24">
        <v>6</v>
      </c>
      <c r="J37" s="24">
        <v>282</v>
      </c>
      <c r="K37" s="26">
        <v>0.53810000000000002</v>
      </c>
      <c r="L37">
        <f t="shared" si="0"/>
        <v>0.79</v>
      </c>
      <c r="R37">
        <f t="shared" si="1"/>
        <v>0.72895911322480611</v>
      </c>
      <c r="S37" s="30" t="s">
        <v>282</v>
      </c>
      <c r="T37" s="31">
        <v>120.56</v>
      </c>
      <c r="U37" s="31">
        <v>122.38</v>
      </c>
      <c r="V37" s="31">
        <v>119.37</v>
      </c>
      <c r="W37" s="31">
        <v>121.92</v>
      </c>
      <c r="X37" s="31">
        <v>121.92</v>
      </c>
      <c r="Y37" s="31" t="s">
        <v>283</v>
      </c>
      <c r="Z37">
        <f t="shared" si="2"/>
        <v>-3.4220532319391581E-2</v>
      </c>
    </row>
    <row r="38" spans="1:26" ht="58.2" thickBot="1" x14ac:dyDescent="0.35">
      <c r="A38" s="17" t="s">
        <v>404</v>
      </c>
      <c r="B38" s="24" t="s">
        <v>405</v>
      </c>
      <c r="C38" s="18">
        <v>225</v>
      </c>
      <c r="D38" s="24">
        <v>0.85</v>
      </c>
      <c r="E38" s="24">
        <v>0.65</v>
      </c>
      <c r="F38" s="24">
        <v>0.84</v>
      </c>
      <c r="G38" s="24">
        <v>0</v>
      </c>
      <c r="H38" s="24" t="s">
        <v>22</v>
      </c>
      <c r="I38" s="24">
        <v>19</v>
      </c>
      <c r="J38" s="24">
        <v>1.143</v>
      </c>
      <c r="K38" s="26">
        <v>0.54520000000000002</v>
      </c>
      <c r="L38">
        <f t="shared" si="0"/>
        <v>0.745</v>
      </c>
      <c r="R38">
        <f t="shared" si="1"/>
        <v>0.72895911322480611</v>
      </c>
      <c r="S38" s="30" t="s">
        <v>284</v>
      </c>
      <c r="T38" s="31">
        <v>125.33</v>
      </c>
      <c r="U38" s="31">
        <v>126.72</v>
      </c>
      <c r="V38" s="31">
        <v>121.94</v>
      </c>
      <c r="W38" s="31">
        <v>122.25</v>
      </c>
      <c r="X38" s="31">
        <v>122.25</v>
      </c>
      <c r="Y38" s="31" t="s">
        <v>285</v>
      </c>
      <c r="Z38">
        <f t="shared" si="2"/>
        <v>2.7066929133858129E-3</v>
      </c>
    </row>
    <row r="39" spans="1:26" ht="15" thickBot="1" x14ac:dyDescent="0.35">
      <c r="S39" s="30" t="s">
        <v>286</v>
      </c>
      <c r="T39" s="31">
        <v>124.11</v>
      </c>
      <c r="U39" s="31">
        <v>128.34</v>
      </c>
      <c r="V39" s="31">
        <v>123.4</v>
      </c>
      <c r="W39" s="31">
        <v>123.98</v>
      </c>
      <c r="X39" s="31">
        <v>123.98</v>
      </c>
      <c r="Y39" s="31" t="s">
        <v>287</v>
      </c>
      <c r="Z39">
        <f t="shared" si="2"/>
        <v>1.4151329243353815E-2</v>
      </c>
    </row>
    <row r="40" spans="1:26" ht="15" thickBot="1" x14ac:dyDescent="0.35">
      <c r="S40" s="30" t="s">
        <v>288</v>
      </c>
      <c r="T40" s="31">
        <v>123.09</v>
      </c>
      <c r="U40" s="31">
        <v>126.8</v>
      </c>
      <c r="V40" s="31">
        <v>121.94</v>
      </c>
      <c r="W40" s="31">
        <v>126.5</v>
      </c>
      <c r="X40" s="31">
        <v>126.5</v>
      </c>
      <c r="Y40" s="31" t="s">
        <v>289</v>
      </c>
      <c r="Z40">
        <f t="shared" si="2"/>
        <v>2.0325859009517631E-2</v>
      </c>
    </row>
    <row r="41" spans="1:26" ht="15" thickBot="1" x14ac:dyDescent="0.35">
      <c r="S41" s="30" t="s">
        <v>290</v>
      </c>
      <c r="T41" s="31">
        <v>118.16</v>
      </c>
      <c r="U41" s="31">
        <v>122.24</v>
      </c>
      <c r="V41" s="31">
        <v>116.8</v>
      </c>
      <c r="W41" s="31">
        <v>121.9</v>
      </c>
      <c r="X41" s="31">
        <v>121.9</v>
      </c>
      <c r="Y41" s="31" t="s">
        <v>291</v>
      </c>
      <c r="Z41">
        <f t="shared" si="2"/>
        <v>-3.636363636363632E-2</v>
      </c>
    </row>
    <row r="42" spans="1:26" ht="15" thickBot="1" x14ac:dyDescent="0.35">
      <c r="S42" s="30" t="s">
        <v>292</v>
      </c>
      <c r="T42" s="31">
        <v>116.1</v>
      </c>
      <c r="U42" s="31">
        <v>116.55</v>
      </c>
      <c r="V42" s="31">
        <v>113.6</v>
      </c>
      <c r="W42" s="31">
        <v>114.82</v>
      </c>
      <c r="X42" s="31">
        <v>114.82</v>
      </c>
      <c r="Y42" s="31" t="s">
        <v>293</v>
      </c>
      <c r="Z42">
        <f t="shared" si="2"/>
        <v>-5.8080393765381558E-2</v>
      </c>
    </row>
    <row r="43" spans="1:26" ht="15" thickBot="1" x14ac:dyDescent="0.35">
      <c r="S43" s="30" t="s">
        <v>294</v>
      </c>
      <c r="T43" s="31">
        <v>121.27</v>
      </c>
      <c r="U43" s="31">
        <v>123.94</v>
      </c>
      <c r="V43" s="31">
        <v>119.66</v>
      </c>
      <c r="W43" s="31">
        <v>122.22</v>
      </c>
      <c r="X43" s="31">
        <v>122.22</v>
      </c>
      <c r="Y43" s="31" t="s">
        <v>295</v>
      </c>
      <c r="Z43">
        <f t="shared" si="2"/>
        <v>6.4448702316669618E-2</v>
      </c>
    </row>
    <row r="44" spans="1:26" ht="15" thickBot="1" x14ac:dyDescent="0.35">
      <c r="S44" s="30" t="s">
        <v>296</v>
      </c>
      <c r="T44" s="31">
        <v>121.55</v>
      </c>
      <c r="U44" s="31">
        <v>125.27</v>
      </c>
      <c r="V44" s="31">
        <v>120.73</v>
      </c>
      <c r="W44" s="31">
        <v>123.47</v>
      </c>
      <c r="X44" s="31">
        <v>123.47</v>
      </c>
      <c r="Y44" s="31" t="s">
        <v>297</v>
      </c>
      <c r="Z44">
        <f t="shared" si="2"/>
        <v>1.0227458681066929E-2</v>
      </c>
    </row>
    <row r="45" spans="1:26" ht="15" thickBot="1" x14ac:dyDescent="0.35">
      <c r="S45" s="30" t="s">
        <v>298</v>
      </c>
      <c r="T45" s="31">
        <v>127.63</v>
      </c>
      <c r="U45" s="31">
        <v>127.63</v>
      </c>
      <c r="V45" s="31">
        <v>121.17</v>
      </c>
      <c r="W45" s="31">
        <v>122.88</v>
      </c>
      <c r="X45" s="31">
        <v>122.88</v>
      </c>
      <c r="Y45" s="31" t="s">
        <v>299</v>
      </c>
      <c r="Z45">
        <f t="shared" si="2"/>
        <v>-4.7784887017089444E-3</v>
      </c>
    </row>
    <row r="46" spans="1:26" ht="15" thickBot="1" x14ac:dyDescent="0.35">
      <c r="S46" s="30" t="s">
        <v>300</v>
      </c>
      <c r="T46" s="31">
        <v>124.81</v>
      </c>
      <c r="U46" s="31">
        <v>128</v>
      </c>
      <c r="V46" s="31">
        <v>122.97</v>
      </c>
      <c r="W46" s="31">
        <v>127.22</v>
      </c>
      <c r="X46" s="31">
        <v>127.22</v>
      </c>
      <c r="Y46" s="31" t="s">
        <v>301</v>
      </c>
      <c r="Z46">
        <f t="shared" si="2"/>
        <v>3.5319010416666699E-2</v>
      </c>
    </row>
    <row r="47" spans="1:26" ht="15" thickBot="1" x14ac:dyDescent="0.35">
      <c r="S47" s="30" t="s">
        <v>302</v>
      </c>
      <c r="T47" s="31">
        <v>118.17</v>
      </c>
      <c r="U47" s="31">
        <v>125.87</v>
      </c>
      <c r="V47" s="31">
        <v>117.5</v>
      </c>
      <c r="W47" s="31">
        <v>125.79</v>
      </c>
      <c r="X47" s="31">
        <v>125.79</v>
      </c>
      <c r="Y47" s="31" t="s">
        <v>303</v>
      </c>
      <c r="Z47">
        <f t="shared" si="2"/>
        <v>-1.1240371010847293E-2</v>
      </c>
    </row>
    <row r="48" spans="1:26" ht="15" thickBot="1" x14ac:dyDescent="0.35">
      <c r="S48" s="30" t="s">
        <v>304</v>
      </c>
      <c r="T48" s="31">
        <v>113.25</v>
      </c>
      <c r="U48" s="31">
        <v>115.32</v>
      </c>
      <c r="V48" s="31">
        <v>110.06</v>
      </c>
      <c r="W48" s="31">
        <v>115.23</v>
      </c>
      <c r="X48" s="31">
        <v>115.23</v>
      </c>
      <c r="Y48" s="31" t="s">
        <v>305</v>
      </c>
      <c r="Z48">
        <f t="shared" si="2"/>
        <v>-8.3949439542093982E-2</v>
      </c>
    </row>
    <row r="49" spans="19:26" ht="15" thickBot="1" x14ac:dyDescent="0.35">
      <c r="S49" s="30" t="s">
        <v>306</v>
      </c>
      <c r="T49" s="31">
        <v>113.11</v>
      </c>
      <c r="U49" s="31">
        <v>114.54</v>
      </c>
      <c r="V49" s="31">
        <v>110.27</v>
      </c>
      <c r="W49" s="31">
        <v>111.79</v>
      </c>
      <c r="X49" s="31">
        <v>111.79</v>
      </c>
      <c r="Y49" s="31" t="s">
        <v>307</v>
      </c>
      <c r="Z49">
        <f t="shared" si="2"/>
        <v>-2.9853336804651544E-2</v>
      </c>
    </row>
    <row r="50" spans="19:26" ht="15" thickBot="1" x14ac:dyDescent="0.35">
      <c r="S50" s="30" t="s">
        <v>308</v>
      </c>
      <c r="T50" s="31">
        <v>120.93</v>
      </c>
      <c r="U50" s="31">
        <v>120.93</v>
      </c>
      <c r="V50" s="31">
        <v>112.96</v>
      </c>
      <c r="W50" s="31">
        <v>113.37</v>
      </c>
      <c r="X50" s="31">
        <v>113.37</v>
      </c>
      <c r="Y50" s="31" t="s">
        <v>309</v>
      </c>
      <c r="Z50">
        <f t="shared" si="2"/>
        <v>1.4133643438590198E-2</v>
      </c>
    </row>
    <row r="51" spans="19:26" ht="15" thickBot="1" x14ac:dyDescent="0.35">
      <c r="S51" s="30" t="s">
        <v>310</v>
      </c>
      <c r="T51" s="31">
        <v>119.91</v>
      </c>
      <c r="U51" s="31">
        <v>122.46</v>
      </c>
      <c r="V51" s="31">
        <v>118.04</v>
      </c>
      <c r="W51" s="31">
        <v>119.14</v>
      </c>
      <c r="X51" s="31">
        <v>119.14</v>
      </c>
      <c r="Y51" s="31" t="s">
        <v>311</v>
      </c>
      <c r="Z51">
        <f t="shared" si="2"/>
        <v>5.0895298579871184E-2</v>
      </c>
    </row>
    <row r="52" spans="19:26" ht="15" thickBot="1" x14ac:dyDescent="0.35">
      <c r="S52" s="30" t="s">
        <v>312</v>
      </c>
      <c r="T52" s="31">
        <v>119.32</v>
      </c>
      <c r="U52" s="31">
        <v>120.78</v>
      </c>
      <c r="V52" s="31">
        <v>115.32</v>
      </c>
      <c r="W52" s="31">
        <v>120.37</v>
      </c>
      <c r="X52" s="31">
        <v>120.37</v>
      </c>
      <c r="Y52" s="31" t="s">
        <v>313</v>
      </c>
      <c r="Z52">
        <f t="shared" si="2"/>
        <v>1.0323988584858184E-2</v>
      </c>
    </row>
    <row r="53" spans="19:26" ht="15" thickBot="1" x14ac:dyDescent="0.35">
      <c r="S53" s="30" t="s">
        <v>314</v>
      </c>
      <c r="T53" s="31">
        <v>128.22999999999999</v>
      </c>
      <c r="U53" s="31">
        <v>128.96</v>
      </c>
      <c r="V53" s="31">
        <v>122.52</v>
      </c>
      <c r="W53" s="31">
        <v>123.23</v>
      </c>
      <c r="X53" s="31">
        <v>123.23</v>
      </c>
      <c r="Y53" s="31" t="s">
        <v>315</v>
      </c>
      <c r="Z53">
        <f t="shared" si="2"/>
        <v>2.3760073107917251E-2</v>
      </c>
    </row>
    <row r="54" spans="19:26" ht="15" thickBot="1" x14ac:dyDescent="0.35">
      <c r="S54" s="30" t="s">
        <v>316</v>
      </c>
      <c r="T54" s="31">
        <v>135.77000000000001</v>
      </c>
      <c r="U54" s="31">
        <v>136.75</v>
      </c>
      <c r="V54" s="31">
        <v>130.68</v>
      </c>
      <c r="W54" s="31">
        <v>131.03</v>
      </c>
      <c r="X54" s="31">
        <v>131.03</v>
      </c>
      <c r="Y54" s="31" t="s">
        <v>317</v>
      </c>
      <c r="Z54">
        <f t="shared" si="2"/>
        <v>6.3296275257648277E-2</v>
      </c>
    </row>
    <row r="55" spans="19:26" ht="15" thickBot="1" x14ac:dyDescent="0.35">
      <c r="S55" s="30" t="s">
        <v>318</v>
      </c>
      <c r="T55" s="31">
        <v>128.1</v>
      </c>
      <c r="U55" s="31">
        <v>130.86000000000001</v>
      </c>
      <c r="V55" s="31">
        <v>127.13</v>
      </c>
      <c r="W55" s="31">
        <v>127.74</v>
      </c>
      <c r="X55" s="31">
        <v>127.74</v>
      </c>
      <c r="Y55" s="31" t="s">
        <v>319</v>
      </c>
      <c r="Z55">
        <f t="shared" si="2"/>
        <v>-2.5108753720522067E-2</v>
      </c>
    </row>
    <row r="56" spans="19:26" ht="15" thickBot="1" x14ac:dyDescent="0.35">
      <c r="S56" s="30" t="s">
        <v>320</v>
      </c>
      <c r="T56" s="31">
        <v>126.27</v>
      </c>
      <c r="U56" s="31">
        <v>132.13</v>
      </c>
      <c r="V56" s="31">
        <v>124.82</v>
      </c>
      <c r="W56" s="31">
        <v>128.6</v>
      </c>
      <c r="X56" s="31">
        <v>128.6</v>
      </c>
      <c r="Y56" s="31" t="s">
        <v>321</v>
      </c>
      <c r="Z56">
        <f t="shared" si="2"/>
        <v>6.7324252387662396E-3</v>
      </c>
    </row>
    <row r="57" spans="19:26" ht="15" thickBot="1" x14ac:dyDescent="0.35">
      <c r="S57" s="30" t="s">
        <v>322</v>
      </c>
      <c r="T57" s="31">
        <v>132.81</v>
      </c>
      <c r="U57" s="31">
        <v>134.36000000000001</v>
      </c>
      <c r="V57" s="31">
        <v>129.35</v>
      </c>
      <c r="W57" s="31">
        <v>131.57</v>
      </c>
      <c r="X57" s="31">
        <v>131.57</v>
      </c>
      <c r="Y57" s="31" t="s">
        <v>323</v>
      </c>
      <c r="Z57">
        <f t="shared" si="2"/>
        <v>2.3094867807153956E-2</v>
      </c>
    </row>
    <row r="58" spans="19:26" ht="15" thickBot="1" x14ac:dyDescent="0.35">
      <c r="S58" s="30" t="s">
        <v>324</v>
      </c>
      <c r="T58" s="31">
        <v>135.19999999999999</v>
      </c>
      <c r="U58" s="31">
        <v>135.91999999999999</v>
      </c>
      <c r="V58" s="31">
        <v>131.30000000000001</v>
      </c>
      <c r="W58" s="31">
        <v>131.37</v>
      </c>
      <c r="X58" s="31">
        <v>131.37</v>
      </c>
      <c r="Y58" s="31" t="s">
        <v>325</v>
      </c>
      <c r="Z58">
        <f t="shared" si="2"/>
        <v>-1.5201033670288716E-3</v>
      </c>
    </row>
    <row r="59" spans="19:26" ht="15" thickBot="1" x14ac:dyDescent="0.35">
      <c r="S59" s="30" t="s">
        <v>326</v>
      </c>
      <c r="T59" s="31">
        <v>136.02000000000001</v>
      </c>
      <c r="U59" s="31">
        <v>138.69999999999999</v>
      </c>
      <c r="V59" s="31">
        <v>135.59</v>
      </c>
      <c r="W59" s="31">
        <v>137.41</v>
      </c>
      <c r="X59" s="31">
        <v>137.41</v>
      </c>
      <c r="Y59" s="31" t="s">
        <v>327</v>
      </c>
      <c r="Z59">
        <f t="shared" si="2"/>
        <v>4.597701149425281E-2</v>
      </c>
    </row>
    <row r="60" spans="19:26" ht="15" thickBot="1" x14ac:dyDescent="0.35">
      <c r="S60" s="30" t="s">
        <v>328</v>
      </c>
      <c r="T60" s="31">
        <v>129.21</v>
      </c>
      <c r="U60" s="31">
        <v>134.22999999999999</v>
      </c>
      <c r="V60" s="31">
        <v>127.47</v>
      </c>
      <c r="W60" s="31">
        <v>132.19</v>
      </c>
      <c r="X60" s="31">
        <v>132.19</v>
      </c>
      <c r="Y60" s="31" t="s">
        <v>329</v>
      </c>
      <c r="Z60">
        <f t="shared" si="2"/>
        <v>-3.79885015646605E-2</v>
      </c>
    </row>
    <row r="61" spans="19:26" ht="15" thickBot="1" x14ac:dyDescent="0.35">
      <c r="S61" s="30" t="s">
        <v>330</v>
      </c>
      <c r="T61" s="31">
        <v>131.99</v>
      </c>
      <c r="U61" s="31">
        <v>132.6</v>
      </c>
      <c r="V61" s="31">
        <v>126.23</v>
      </c>
      <c r="W61" s="31">
        <v>128.30000000000001</v>
      </c>
      <c r="X61" s="31">
        <v>128.30000000000001</v>
      </c>
      <c r="Y61" s="31" t="s">
        <v>331</v>
      </c>
      <c r="Z61">
        <f t="shared" si="2"/>
        <v>-2.9427339435660688E-2</v>
      </c>
    </row>
    <row r="62" spans="19:26" ht="15" thickBot="1" x14ac:dyDescent="0.35">
      <c r="S62" s="30" t="s">
        <v>332</v>
      </c>
      <c r="T62" s="31">
        <v>130.24</v>
      </c>
      <c r="U62" s="31">
        <v>133.88</v>
      </c>
      <c r="V62" s="31">
        <v>128.18</v>
      </c>
      <c r="W62" s="31">
        <v>129.81</v>
      </c>
      <c r="X62" s="31">
        <v>129.81</v>
      </c>
      <c r="Y62" s="31" t="s">
        <v>333</v>
      </c>
      <c r="Z62">
        <f t="shared" si="2"/>
        <v>1.1769290724863529E-2</v>
      </c>
    </row>
    <row r="63" spans="19:26" ht="15" thickBot="1" x14ac:dyDescent="0.35">
      <c r="S63" s="30" t="s">
        <v>334</v>
      </c>
      <c r="T63" s="31">
        <v>124.26</v>
      </c>
      <c r="U63" s="31">
        <v>128.4</v>
      </c>
      <c r="V63" s="31">
        <v>123.46</v>
      </c>
      <c r="W63" s="31">
        <v>126.63</v>
      </c>
      <c r="X63" s="31">
        <v>126.63</v>
      </c>
      <c r="Y63" s="31" t="s">
        <v>335</v>
      </c>
      <c r="Z63">
        <f t="shared" si="2"/>
        <v>-2.4497342269470816E-2</v>
      </c>
    </row>
    <row r="64" spans="19:26" ht="15" thickBot="1" x14ac:dyDescent="0.35">
      <c r="S64" s="30" t="s">
        <v>407</v>
      </c>
      <c r="T64" s="31">
        <v>118</v>
      </c>
      <c r="U64" s="31">
        <v>126.62</v>
      </c>
      <c r="V64" s="31">
        <v>117.7</v>
      </c>
      <c r="W64" s="31">
        <v>121.16</v>
      </c>
      <c r="X64" s="31">
        <v>121.16</v>
      </c>
      <c r="Y64" s="31" t="s">
        <v>408</v>
      </c>
      <c r="Z64">
        <f t="shared" si="2"/>
        <v>-4.3196714838505873E-2</v>
      </c>
    </row>
    <row r="65" spans="19:26" ht="15" thickBot="1" x14ac:dyDescent="0.35">
      <c r="S65" s="30" t="s">
        <v>409</v>
      </c>
      <c r="T65" s="31">
        <v>119.53</v>
      </c>
      <c r="U65" s="31">
        <v>120.87</v>
      </c>
      <c r="V65" s="31">
        <v>115.77</v>
      </c>
      <c r="W65" s="31">
        <v>119.56</v>
      </c>
      <c r="X65" s="31">
        <v>119.56</v>
      </c>
      <c r="Y65" s="31" t="s">
        <v>410</v>
      </c>
      <c r="Z65">
        <f t="shared" si="2"/>
        <v>-1.3205678441729898E-2</v>
      </c>
    </row>
    <row r="66" spans="19:26" ht="15" thickBot="1" x14ac:dyDescent="0.35">
      <c r="S66" s="30" t="s">
        <v>411</v>
      </c>
      <c r="T66" s="31">
        <v>119.38</v>
      </c>
      <c r="U66" s="31">
        <v>121.95</v>
      </c>
      <c r="V66" s="31">
        <v>115.82</v>
      </c>
      <c r="W66" s="31">
        <v>120.38</v>
      </c>
      <c r="X66" s="31">
        <v>120.38</v>
      </c>
      <c r="Y66" s="31" t="s">
        <v>412</v>
      </c>
      <c r="Z66">
        <f t="shared" si="2"/>
        <v>6.8584810973569181E-3</v>
      </c>
    </row>
    <row r="67" spans="19:26" ht="15" thickBot="1" x14ac:dyDescent="0.35">
      <c r="S67" s="30" t="s">
        <v>413</v>
      </c>
      <c r="T67" s="31">
        <v>121.23</v>
      </c>
      <c r="U67" s="31">
        <v>122.91</v>
      </c>
      <c r="V67" s="31">
        <v>118.59</v>
      </c>
      <c r="W67" s="31">
        <v>118.79</v>
      </c>
      <c r="X67" s="31">
        <v>118.79</v>
      </c>
      <c r="Y67" s="31" t="s">
        <v>414</v>
      </c>
      <c r="Z67">
        <f t="shared" si="2"/>
        <v>-1.3208174115301455E-2</v>
      </c>
    </row>
    <row r="68" spans="19:26" ht="15" thickBot="1" x14ac:dyDescent="0.35">
      <c r="S68" s="30" t="s">
        <v>415</v>
      </c>
      <c r="T68" s="31">
        <v>112.63</v>
      </c>
      <c r="U68" s="31">
        <v>124.3</v>
      </c>
      <c r="V68" s="31">
        <v>112.3</v>
      </c>
      <c r="W68" s="31">
        <v>122.99</v>
      </c>
      <c r="X68" s="31">
        <v>122.99</v>
      </c>
      <c r="Y68" s="31" t="s">
        <v>416</v>
      </c>
      <c r="Z68">
        <f t="shared" ref="Z68:Z127" si="3">(X68-X67)/X67</f>
        <v>3.535651149086614E-2</v>
      </c>
    </row>
    <row r="69" spans="19:26" ht="15" thickBot="1" x14ac:dyDescent="0.35">
      <c r="S69" s="30" t="s">
        <v>417</v>
      </c>
      <c r="T69" s="31">
        <v>113.8</v>
      </c>
      <c r="U69" s="31">
        <v>114.2</v>
      </c>
      <c r="V69" s="31">
        <v>110.38</v>
      </c>
      <c r="W69" s="31">
        <v>112.09</v>
      </c>
      <c r="X69" s="31">
        <v>112.09</v>
      </c>
      <c r="Y69" s="31" t="s">
        <v>418</v>
      </c>
      <c r="Z69">
        <f t="shared" si="3"/>
        <v>-8.8625091470851222E-2</v>
      </c>
    </row>
    <row r="70" spans="19:26" ht="15" thickBot="1" x14ac:dyDescent="0.35">
      <c r="S70" s="30" t="s">
        <v>419</v>
      </c>
      <c r="T70" s="31">
        <v>116.26</v>
      </c>
      <c r="U70" s="31">
        <v>116.42</v>
      </c>
      <c r="V70" s="31">
        <v>114.47</v>
      </c>
      <c r="W70" s="31">
        <v>114.8</v>
      </c>
      <c r="X70" s="31">
        <v>114.8</v>
      </c>
      <c r="Y70" s="31" t="s">
        <v>420</v>
      </c>
      <c r="Z70">
        <f t="shared" si="3"/>
        <v>2.4177000624498114E-2</v>
      </c>
    </row>
    <row r="71" spans="19:26" ht="15" thickBot="1" x14ac:dyDescent="0.35">
      <c r="S71" s="30" t="s">
        <v>421</v>
      </c>
      <c r="T71" s="31">
        <v>117.8</v>
      </c>
      <c r="U71" s="31">
        <v>121.8</v>
      </c>
      <c r="V71" s="31">
        <v>116.1</v>
      </c>
      <c r="W71" s="31">
        <v>116.59</v>
      </c>
      <c r="X71" s="31">
        <v>116.59</v>
      </c>
      <c r="Y71" s="31" t="s">
        <v>422</v>
      </c>
      <c r="Z71">
        <f t="shared" si="3"/>
        <v>1.5592334494773574E-2</v>
      </c>
    </row>
    <row r="72" spans="19:26" ht="15" thickBot="1" x14ac:dyDescent="0.35">
      <c r="S72" s="30" t="s">
        <v>423</v>
      </c>
      <c r="T72" s="31">
        <v>116.8</v>
      </c>
      <c r="U72" s="31">
        <v>119.59</v>
      </c>
      <c r="V72" s="31">
        <v>115.39</v>
      </c>
      <c r="W72" s="31">
        <v>118.66</v>
      </c>
      <c r="X72" s="31">
        <v>118.66</v>
      </c>
      <c r="Y72" s="31" t="s">
        <v>424</v>
      </c>
      <c r="Z72">
        <f t="shared" si="3"/>
        <v>1.7754524401749662E-2</v>
      </c>
    </row>
    <row r="73" spans="19:26" ht="15" thickBot="1" x14ac:dyDescent="0.35">
      <c r="S73" s="30" t="s">
        <v>425</v>
      </c>
      <c r="T73" s="31">
        <v>117.09</v>
      </c>
      <c r="U73" s="31">
        <v>118.66</v>
      </c>
      <c r="V73" s="31">
        <v>115.15</v>
      </c>
      <c r="W73" s="31">
        <v>117.81</v>
      </c>
      <c r="X73" s="31">
        <v>117.81</v>
      </c>
      <c r="Y73" s="31" t="s">
        <v>426</v>
      </c>
      <c r="Z73">
        <f t="shared" si="3"/>
        <v>-7.1633237822349097E-3</v>
      </c>
    </row>
    <row r="74" spans="19:26" ht="15" thickBot="1" x14ac:dyDescent="0.35">
      <c r="S74" s="30" t="s">
        <v>427</v>
      </c>
      <c r="T74" s="31">
        <v>116.85</v>
      </c>
      <c r="U74" s="31">
        <v>122.98</v>
      </c>
      <c r="V74" s="31">
        <v>116.6</v>
      </c>
      <c r="W74" s="31">
        <v>122.98</v>
      </c>
      <c r="X74" s="31">
        <v>122.98</v>
      </c>
      <c r="Y74" s="31" t="s">
        <v>428</v>
      </c>
      <c r="Z74">
        <f t="shared" si="3"/>
        <v>4.3884220354808601E-2</v>
      </c>
    </row>
    <row r="75" spans="19:26" ht="15" thickBot="1" x14ac:dyDescent="0.35">
      <c r="S75" s="30" t="s">
        <v>429</v>
      </c>
      <c r="T75" s="31">
        <v>118.5</v>
      </c>
      <c r="U75" s="31">
        <v>118.83</v>
      </c>
      <c r="V75" s="31">
        <v>113.69</v>
      </c>
      <c r="W75" s="31">
        <v>115</v>
      </c>
      <c r="X75" s="31">
        <v>115</v>
      </c>
      <c r="Y75" s="31" t="s">
        <v>430</v>
      </c>
      <c r="Z75">
        <f t="shared" si="3"/>
        <v>-6.4888599772320726E-2</v>
      </c>
    </row>
    <row r="76" spans="19:26" ht="15" thickBot="1" x14ac:dyDescent="0.35">
      <c r="S76" s="30" t="s">
        <v>431</v>
      </c>
      <c r="T76" s="31">
        <v>119.49</v>
      </c>
      <c r="U76" s="31">
        <v>122.87</v>
      </c>
      <c r="V76" s="31">
        <v>117.81</v>
      </c>
      <c r="W76" s="31">
        <v>122.1</v>
      </c>
      <c r="X76" s="31">
        <v>122.1</v>
      </c>
      <c r="Y76" s="31" t="s">
        <v>432</v>
      </c>
      <c r="Z76">
        <f t="shared" si="3"/>
        <v>6.173913043478256E-2</v>
      </c>
    </row>
    <row r="77" spans="19:26" ht="15" thickBot="1" x14ac:dyDescent="0.35">
      <c r="S77" s="30" t="s">
        <v>433</v>
      </c>
      <c r="T77" s="31">
        <v>122.32</v>
      </c>
      <c r="U77" s="31">
        <v>125.69</v>
      </c>
      <c r="V77" s="31">
        <v>118.9</v>
      </c>
      <c r="W77" s="31">
        <v>120.25</v>
      </c>
      <c r="X77" s="31">
        <v>120.25</v>
      </c>
      <c r="Y77" s="31" t="s">
        <v>434</v>
      </c>
      <c r="Z77">
        <f t="shared" si="3"/>
        <v>-1.5151515151515105E-2</v>
      </c>
    </row>
    <row r="78" spans="19:26" ht="15" thickBot="1" x14ac:dyDescent="0.35">
      <c r="S78" s="30" t="s">
        <v>435</v>
      </c>
      <c r="T78" s="31">
        <v>122.63</v>
      </c>
      <c r="U78" s="31">
        <v>123.59</v>
      </c>
      <c r="V78" s="31">
        <v>117.77</v>
      </c>
      <c r="W78" s="31">
        <v>122.47</v>
      </c>
      <c r="X78" s="31">
        <v>122.47</v>
      </c>
      <c r="Y78" s="31" t="s">
        <v>436</v>
      </c>
      <c r="Z78">
        <f t="shared" si="3"/>
        <v>1.8461538461538453E-2</v>
      </c>
    </row>
    <row r="79" spans="19:26" ht="15" thickBot="1" x14ac:dyDescent="0.35">
      <c r="S79" s="30" t="s">
        <v>437</v>
      </c>
      <c r="T79" s="31">
        <v>120.93</v>
      </c>
      <c r="U79" s="31">
        <v>127.65</v>
      </c>
      <c r="V79" s="31">
        <v>120.3</v>
      </c>
      <c r="W79" s="31">
        <v>126.58</v>
      </c>
      <c r="X79" s="31">
        <v>126.58</v>
      </c>
      <c r="Y79" s="31" t="s">
        <v>438</v>
      </c>
      <c r="Z79">
        <f t="shared" si="3"/>
        <v>3.3559238997305459E-2</v>
      </c>
    </row>
    <row r="80" spans="19:26" ht="15" thickBot="1" x14ac:dyDescent="0.35">
      <c r="S80" s="30" t="s">
        <v>439</v>
      </c>
      <c r="T80" s="31">
        <v>123</v>
      </c>
      <c r="U80" s="31">
        <v>123.25</v>
      </c>
      <c r="V80" s="31">
        <v>119.75</v>
      </c>
      <c r="W80" s="31">
        <v>122.24</v>
      </c>
      <c r="X80" s="31">
        <v>122.24</v>
      </c>
      <c r="Y80" s="31" t="s">
        <v>440</v>
      </c>
      <c r="Z80">
        <f t="shared" si="3"/>
        <v>-3.4286617159108891E-2</v>
      </c>
    </row>
    <row r="81" spans="19:26" ht="15" thickBot="1" x14ac:dyDescent="0.35">
      <c r="S81" s="30" t="s">
        <v>441</v>
      </c>
      <c r="T81" s="31">
        <v>123.22</v>
      </c>
      <c r="U81" s="31">
        <v>125.21</v>
      </c>
      <c r="V81" s="31">
        <v>122.78</v>
      </c>
      <c r="W81" s="31">
        <v>125.06</v>
      </c>
      <c r="X81" s="31">
        <v>125.06</v>
      </c>
      <c r="Y81" s="31" t="s">
        <v>442</v>
      </c>
      <c r="Z81">
        <f t="shared" si="3"/>
        <v>2.3069371727748752E-2</v>
      </c>
    </row>
    <row r="82" spans="19:26" ht="15" thickBot="1" x14ac:dyDescent="0.35">
      <c r="S82" s="30" t="s">
        <v>443</v>
      </c>
      <c r="T82" s="31">
        <v>124.63</v>
      </c>
      <c r="U82" s="31">
        <v>127.76</v>
      </c>
      <c r="V82" s="31">
        <v>123.21</v>
      </c>
      <c r="W82" s="31">
        <v>123.91</v>
      </c>
      <c r="X82" s="31">
        <v>123.91</v>
      </c>
      <c r="Y82" s="31" t="s">
        <v>444</v>
      </c>
      <c r="Z82">
        <f t="shared" si="3"/>
        <v>-9.1955861186630867E-3</v>
      </c>
    </row>
    <row r="83" spans="19:26" ht="15" thickBot="1" x14ac:dyDescent="0.35">
      <c r="S83" s="30" t="s">
        <v>445</v>
      </c>
      <c r="T83" s="31">
        <v>123.21</v>
      </c>
      <c r="U83" s="31">
        <v>126.97</v>
      </c>
      <c r="V83" s="31">
        <v>121.32</v>
      </c>
      <c r="W83" s="31">
        <v>125.08</v>
      </c>
      <c r="X83" s="31">
        <v>125.08</v>
      </c>
      <c r="Y83" s="31" t="s">
        <v>446</v>
      </c>
      <c r="Z83">
        <f t="shared" si="3"/>
        <v>9.4423371802114572E-3</v>
      </c>
    </row>
    <row r="84" spans="19:26" ht="15" thickBot="1" x14ac:dyDescent="0.35">
      <c r="S84" s="30" t="s">
        <v>447</v>
      </c>
      <c r="T84" s="31">
        <v>129.30000000000001</v>
      </c>
      <c r="U84" s="31">
        <v>129.44999999999999</v>
      </c>
      <c r="V84" s="31">
        <v>123.46</v>
      </c>
      <c r="W84" s="31">
        <v>125.54</v>
      </c>
      <c r="X84" s="31">
        <v>125.54</v>
      </c>
      <c r="Y84" s="31" t="s">
        <v>448</v>
      </c>
      <c r="Z84">
        <f t="shared" si="3"/>
        <v>3.6776463063639907E-3</v>
      </c>
    </row>
    <row r="85" spans="19:26" ht="15" thickBot="1" x14ac:dyDescent="0.35">
      <c r="S85" s="30" t="s">
        <v>449</v>
      </c>
      <c r="T85" s="31">
        <v>113.64</v>
      </c>
      <c r="U85" s="31">
        <v>123.82</v>
      </c>
      <c r="V85" s="31">
        <v>113.43</v>
      </c>
      <c r="W85" s="31">
        <v>123.6</v>
      </c>
      <c r="X85" s="31">
        <v>123.6</v>
      </c>
      <c r="Y85" s="31" t="s">
        <v>450</v>
      </c>
      <c r="Z85">
        <f t="shared" si="3"/>
        <v>-1.5453241994583493E-2</v>
      </c>
    </row>
    <row r="86" spans="19:26" ht="15" thickBot="1" x14ac:dyDescent="0.35">
      <c r="S86" s="30" t="s">
        <v>451</v>
      </c>
      <c r="T86" s="31">
        <v>118</v>
      </c>
      <c r="U86" s="31">
        <v>118.19</v>
      </c>
      <c r="V86" s="31">
        <v>108.7</v>
      </c>
      <c r="W86" s="31">
        <v>111.96</v>
      </c>
      <c r="X86" s="31">
        <v>111.96</v>
      </c>
      <c r="Y86" s="31" t="s">
        <v>452</v>
      </c>
      <c r="Z86">
        <f t="shared" si="3"/>
        <v>-9.4174757281553403E-2</v>
      </c>
    </row>
    <row r="87" spans="19:26" ht="15" thickBot="1" x14ac:dyDescent="0.35">
      <c r="S87" s="30" t="s">
        <v>453</v>
      </c>
      <c r="T87" s="31">
        <v>123.02</v>
      </c>
      <c r="U87" s="31">
        <v>125</v>
      </c>
      <c r="V87" s="31">
        <v>119.34</v>
      </c>
      <c r="W87" s="31">
        <v>122</v>
      </c>
      <c r="X87" s="31">
        <v>122</v>
      </c>
      <c r="Y87" s="31" t="s">
        <v>454</v>
      </c>
      <c r="Z87">
        <f t="shared" si="3"/>
        <v>8.9674883887102597E-2</v>
      </c>
    </row>
    <row r="88" spans="19:26" ht="15" thickBot="1" x14ac:dyDescent="0.35">
      <c r="S88" s="30" t="s">
        <v>455</v>
      </c>
      <c r="T88" s="31">
        <v>128.37</v>
      </c>
      <c r="U88" s="31">
        <v>129.15</v>
      </c>
      <c r="V88" s="31">
        <v>121.9</v>
      </c>
      <c r="W88" s="31">
        <v>122.49</v>
      </c>
      <c r="X88" s="31">
        <v>122.49</v>
      </c>
      <c r="Y88" s="31" t="s">
        <v>456</v>
      </c>
      <c r="Z88">
        <f t="shared" si="3"/>
        <v>4.0163934426229089E-3</v>
      </c>
    </row>
    <row r="89" spans="19:26" ht="15" thickBot="1" x14ac:dyDescent="0.35">
      <c r="S89" s="30" t="s">
        <v>457</v>
      </c>
      <c r="T89" s="31">
        <v>129.9</v>
      </c>
      <c r="U89" s="31">
        <v>131.32</v>
      </c>
      <c r="V89" s="31">
        <v>126.13</v>
      </c>
      <c r="W89" s="31">
        <v>127.53</v>
      </c>
      <c r="X89" s="31">
        <v>127.53</v>
      </c>
      <c r="Y89" s="31" t="s">
        <v>458</v>
      </c>
      <c r="Z89">
        <f t="shared" si="3"/>
        <v>4.1146216017634143E-2</v>
      </c>
    </row>
    <row r="90" spans="19:26" ht="15" thickBot="1" x14ac:dyDescent="0.35">
      <c r="S90" s="30" t="s">
        <v>459</v>
      </c>
      <c r="T90" s="31">
        <v>134.25</v>
      </c>
      <c r="U90" s="31">
        <v>134.55000000000001</v>
      </c>
      <c r="V90" s="31">
        <v>130.55000000000001</v>
      </c>
      <c r="W90" s="31">
        <v>131.61000000000001</v>
      </c>
      <c r="X90" s="31">
        <v>131.61000000000001</v>
      </c>
      <c r="Y90" s="31" t="s">
        <v>460</v>
      </c>
      <c r="Z90">
        <f t="shared" si="3"/>
        <v>3.1992472359444933E-2</v>
      </c>
    </row>
    <row r="91" spans="19:26" ht="15" thickBot="1" x14ac:dyDescent="0.35">
      <c r="S91" s="30" t="s">
        <v>461</v>
      </c>
      <c r="T91" s="31">
        <v>132.93</v>
      </c>
      <c r="U91" s="31">
        <v>133.97999999999999</v>
      </c>
      <c r="V91" s="31">
        <v>131.22</v>
      </c>
      <c r="W91" s="31">
        <v>133.35</v>
      </c>
      <c r="X91" s="31">
        <v>133.35</v>
      </c>
      <c r="Y91" s="31" t="s">
        <v>462</v>
      </c>
      <c r="Z91">
        <f t="shared" si="3"/>
        <v>1.3220879872349977E-2</v>
      </c>
    </row>
    <row r="92" spans="19:26" ht="15" thickBot="1" x14ac:dyDescent="0.35">
      <c r="S92" s="30" t="s">
        <v>463</v>
      </c>
      <c r="T92" s="31">
        <v>133.1</v>
      </c>
      <c r="U92" s="31">
        <v>136.76</v>
      </c>
      <c r="V92" s="31">
        <v>131.22</v>
      </c>
      <c r="W92" s="31">
        <v>136.52000000000001</v>
      </c>
      <c r="X92" s="31">
        <v>136.52000000000001</v>
      </c>
      <c r="Y92" s="31" t="s">
        <v>464</v>
      </c>
      <c r="Z92">
        <f t="shared" si="3"/>
        <v>2.3772028496438065E-2</v>
      </c>
    </row>
    <row r="93" spans="19:26" ht="15" thickBot="1" x14ac:dyDescent="0.35">
      <c r="S93" s="30" t="s">
        <v>465</v>
      </c>
      <c r="T93" s="31">
        <v>136.03</v>
      </c>
      <c r="U93" s="31">
        <v>136.85</v>
      </c>
      <c r="V93" s="31">
        <v>133.31</v>
      </c>
      <c r="W93" s="31">
        <v>133.66</v>
      </c>
      <c r="X93" s="31">
        <v>133.66</v>
      </c>
      <c r="Y93" s="31" t="s">
        <v>466</v>
      </c>
      <c r="Z93">
        <f t="shared" si="3"/>
        <v>-2.0949311456196992E-2</v>
      </c>
    </row>
    <row r="94" spans="19:26" ht="15" thickBot="1" x14ac:dyDescent="0.35">
      <c r="S94" s="30" t="s">
        <v>467</v>
      </c>
      <c r="T94" s="31">
        <v>139.9</v>
      </c>
      <c r="U94" s="31">
        <v>140.69999999999999</v>
      </c>
      <c r="V94" s="31">
        <v>135.21</v>
      </c>
      <c r="W94" s="31">
        <v>136.62</v>
      </c>
      <c r="X94" s="31">
        <v>136.62</v>
      </c>
      <c r="Y94" s="31" t="s">
        <v>468</v>
      </c>
      <c r="Z94">
        <f t="shared" si="3"/>
        <v>2.2145742929821997E-2</v>
      </c>
    </row>
    <row r="95" spans="19:26" ht="15" thickBot="1" x14ac:dyDescent="0.35">
      <c r="S95" s="30" t="s">
        <v>469</v>
      </c>
      <c r="T95" s="31">
        <v>143.04</v>
      </c>
      <c r="U95" s="31">
        <v>145.06</v>
      </c>
      <c r="V95" s="31">
        <v>140</v>
      </c>
      <c r="W95" s="31">
        <v>140.34</v>
      </c>
      <c r="X95" s="31">
        <v>140.34</v>
      </c>
      <c r="Y95" s="31" t="s">
        <v>470</v>
      </c>
      <c r="Z95">
        <f t="shared" si="3"/>
        <v>2.7228809837505481E-2</v>
      </c>
    </row>
    <row r="96" spans="19:26" ht="15" thickBot="1" x14ac:dyDescent="0.35">
      <c r="S96" s="30" t="s">
        <v>471</v>
      </c>
      <c r="T96" s="31">
        <v>146.91</v>
      </c>
      <c r="U96" s="31">
        <v>148.5</v>
      </c>
      <c r="V96" s="31">
        <v>141.88999999999999</v>
      </c>
      <c r="W96" s="31">
        <v>143.6</v>
      </c>
      <c r="X96" s="31">
        <v>143.6</v>
      </c>
      <c r="Y96" s="31" t="s">
        <v>472</v>
      </c>
      <c r="Z96">
        <f t="shared" si="3"/>
        <v>2.3229300270770921E-2</v>
      </c>
    </row>
    <row r="97" spans="19:26" ht="15" thickBot="1" x14ac:dyDescent="0.35">
      <c r="S97" s="30" t="s">
        <v>473</v>
      </c>
      <c r="T97" s="31">
        <v>168.02</v>
      </c>
      <c r="U97" s="31">
        <v>168.3</v>
      </c>
      <c r="V97" s="31">
        <v>161.13</v>
      </c>
      <c r="W97" s="31">
        <v>161.58000000000001</v>
      </c>
      <c r="X97" s="31">
        <v>161.58000000000001</v>
      </c>
      <c r="Y97" s="31" t="s">
        <v>474</v>
      </c>
      <c r="Z97">
        <f t="shared" si="3"/>
        <v>0.1252089136490252</v>
      </c>
    </row>
    <row r="98" spans="19:26" ht="15" thickBot="1" x14ac:dyDescent="0.35">
      <c r="S98" s="30" t="s">
        <v>475</v>
      </c>
      <c r="T98" s="31">
        <v>168.6</v>
      </c>
      <c r="U98" s="31">
        <v>169.94</v>
      </c>
      <c r="V98" s="31">
        <v>166.67</v>
      </c>
      <c r="W98" s="31">
        <v>168.43</v>
      </c>
      <c r="X98" s="31">
        <v>168.43</v>
      </c>
      <c r="Y98" s="31" t="s">
        <v>476</v>
      </c>
      <c r="Z98">
        <f t="shared" si="3"/>
        <v>4.2393860626315102E-2</v>
      </c>
    </row>
    <row r="99" spans="19:26" ht="15" thickBot="1" x14ac:dyDescent="0.35">
      <c r="S99" s="30" t="s">
        <v>477</v>
      </c>
      <c r="T99" s="31">
        <v>167.22</v>
      </c>
      <c r="U99" s="31">
        <v>168.46</v>
      </c>
      <c r="V99" s="31">
        <v>165.67</v>
      </c>
      <c r="W99" s="31">
        <v>166.54</v>
      </c>
      <c r="X99" s="31">
        <v>166.54</v>
      </c>
      <c r="Y99" s="31" t="s">
        <v>478</v>
      </c>
      <c r="Z99">
        <f t="shared" si="3"/>
        <v>-1.1221278869560142E-2</v>
      </c>
    </row>
    <row r="100" spans="19:26" ht="15" thickBot="1" x14ac:dyDescent="0.35">
      <c r="S100" s="30" t="s">
        <v>479</v>
      </c>
      <c r="T100" s="31">
        <v>165.17</v>
      </c>
      <c r="U100" s="31">
        <v>167.8</v>
      </c>
      <c r="V100" s="31">
        <v>163.4</v>
      </c>
      <c r="W100" s="31">
        <v>166.81</v>
      </c>
      <c r="X100" s="31">
        <v>166.81</v>
      </c>
      <c r="Y100" s="31" t="s">
        <v>480</v>
      </c>
      <c r="Z100">
        <f t="shared" si="3"/>
        <v>1.6212321364237434E-3</v>
      </c>
    </row>
    <row r="101" spans="19:26" ht="15" thickBot="1" x14ac:dyDescent="0.35">
      <c r="S101" s="30" t="s">
        <v>481</v>
      </c>
      <c r="T101" s="31">
        <v>166.56</v>
      </c>
      <c r="U101" s="31">
        <v>169.63</v>
      </c>
      <c r="V101" s="31">
        <v>166.56</v>
      </c>
      <c r="W101" s="31">
        <v>167.85</v>
      </c>
      <c r="X101" s="31">
        <v>167.85</v>
      </c>
      <c r="Y101" s="31" t="s">
        <v>482</v>
      </c>
      <c r="Z101">
        <f t="shared" si="3"/>
        <v>6.2346382111383731E-3</v>
      </c>
    </row>
    <row r="102" spans="19:26" ht="15" thickBot="1" x14ac:dyDescent="0.35">
      <c r="S102" s="30" t="s">
        <v>483</v>
      </c>
      <c r="T102" s="31">
        <v>163.68</v>
      </c>
      <c r="U102" s="31">
        <v>166.48</v>
      </c>
      <c r="V102" s="31">
        <v>161.82</v>
      </c>
      <c r="W102" s="31">
        <v>163.97</v>
      </c>
      <c r="X102" s="31">
        <v>163.97</v>
      </c>
      <c r="Y102" s="31" t="s">
        <v>484</v>
      </c>
      <c r="Z102">
        <f t="shared" si="3"/>
        <v>-2.3115877271373222E-2</v>
      </c>
    </row>
    <row r="103" spans="19:26" ht="15" thickBot="1" x14ac:dyDescent="0.35">
      <c r="S103" s="30" t="s">
        <v>485</v>
      </c>
      <c r="T103" s="31">
        <v>162.16</v>
      </c>
      <c r="U103" s="31">
        <v>164.48</v>
      </c>
      <c r="V103" s="31">
        <v>159.54</v>
      </c>
      <c r="W103" s="31">
        <v>160.19</v>
      </c>
      <c r="X103" s="31">
        <v>160.19</v>
      </c>
      <c r="Y103" s="31" t="s">
        <v>486</v>
      </c>
      <c r="Z103">
        <f t="shared" si="3"/>
        <v>-2.3052997499542607E-2</v>
      </c>
    </row>
    <row r="104" spans="19:26" ht="15" thickBot="1" x14ac:dyDescent="0.35">
      <c r="S104" s="30" t="s">
        <v>487</v>
      </c>
      <c r="T104" s="31">
        <v>161.76</v>
      </c>
      <c r="U104" s="31">
        <v>162.16</v>
      </c>
      <c r="V104" s="31">
        <v>159.47999999999999</v>
      </c>
      <c r="W104" s="31">
        <v>162.16</v>
      </c>
      <c r="X104" s="31">
        <v>162.16</v>
      </c>
      <c r="Y104" s="31" t="s">
        <v>488</v>
      </c>
      <c r="Z104">
        <f t="shared" si="3"/>
        <v>1.2297896248205249E-2</v>
      </c>
    </row>
    <row r="105" spans="19:26" ht="15" thickBot="1" x14ac:dyDescent="0.35">
      <c r="S105" s="30" t="s">
        <v>489</v>
      </c>
      <c r="T105" s="31">
        <v>164.79</v>
      </c>
      <c r="U105" s="31">
        <v>164.79</v>
      </c>
      <c r="V105" s="31">
        <v>158.30000000000001</v>
      </c>
      <c r="W105" s="31">
        <v>158.72999999999999</v>
      </c>
      <c r="X105" s="31">
        <v>158.72999999999999</v>
      </c>
      <c r="Y105" s="31" t="s">
        <v>490</v>
      </c>
      <c r="Z105">
        <f t="shared" si="3"/>
        <v>-2.1151948692649278E-2</v>
      </c>
    </row>
    <row r="106" spans="19:26" ht="15" thickBot="1" x14ac:dyDescent="0.35">
      <c r="S106" s="30" t="s">
        <v>491</v>
      </c>
      <c r="T106" s="31">
        <v>169.28</v>
      </c>
      <c r="U106" s="31">
        <v>169.94</v>
      </c>
      <c r="V106" s="31">
        <v>164.5</v>
      </c>
      <c r="W106" s="31">
        <v>164.79</v>
      </c>
      <c r="X106" s="31">
        <v>164.79</v>
      </c>
      <c r="Y106" s="31" t="s">
        <v>492</v>
      </c>
      <c r="Z106">
        <f t="shared" si="3"/>
        <v>3.8178038178038193E-2</v>
      </c>
    </row>
    <row r="107" spans="19:26" ht="15" thickBot="1" x14ac:dyDescent="0.35">
      <c r="S107" s="30" t="s">
        <v>493</v>
      </c>
      <c r="T107" s="31">
        <v>165.36</v>
      </c>
      <c r="U107" s="31">
        <v>166.65</v>
      </c>
      <c r="V107" s="31">
        <v>163.11000000000001</v>
      </c>
      <c r="W107" s="31">
        <v>166.24</v>
      </c>
      <c r="X107" s="31">
        <v>166.24</v>
      </c>
      <c r="Y107" s="31" t="s">
        <v>494</v>
      </c>
      <c r="Z107">
        <f t="shared" si="3"/>
        <v>8.7990776139329884E-3</v>
      </c>
    </row>
    <row r="108" spans="19:26" ht="15" thickBot="1" x14ac:dyDescent="0.35">
      <c r="S108" s="30" t="s">
        <v>495</v>
      </c>
      <c r="T108" s="31">
        <v>167.1</v>
      </c>
      <c r="U108" s="31">
        <v>167.1</v>
      </c>
      <c r="V108" s="31">
        <v>162.76</v>
      </c>
      <c r="W108" s="31">
        <v>162.9</v>
      </c>
      <c r="X108" s="31">
        <v>162.9</v>
      </c>
      <c r="Y108" s="31" t="s">
        <v>496</v>
      </c>
      <c r="Z108">
        <f t="shared" si="3"/>
        <v>-2.0091434071222349E-2</v>
      </c>
    </row>
    <row r="109" spans="19:26" ht="15" thickBot="1" x14ac:dyDescent="0.35">
      <c r="S109" s="30" t="s">
        <v>497</v>
      </c>
      <c r="T109" s="31">
        <v>165.84</v>
      </c>
      <c r="U109" s="31">
        <v>171.9</v>
      </c>
      <c r="V109" s="31">
        <v>165.8</v>
      </c>
      <c r="W109" s="31">
        <v>170.17</v>
      </c>
      <c r="X109" s="31">
        <v>170.17</v>
      </c>
      <c r="Y109" s="31" t="s">
        <v>498</v>
      </c>
      <c r="Z109">
        <f t="shared" si="3"/>
        <v>4.462860650705943E-2</v>
      </c>
    </row>
    <row r="110" spans="19:26" ht="15" thickBot="1" x14ac:dyDescent="0.35">
      <c r="S110" s="30" t="s">
        <v>499</v>
      </c>
      <c r="T110" s="31">
        <v>167.07</v>
      </c>
      <c r="U110" s="31">
        <v>168.56</v>
      </c>
      <c r="V110" s="31">
        <v>162.72</v>
      </c>
      <c r="W110" s="31">
        <v>164.94</v>
      </c>
      <c r="X110" s="31">
        <v>164.94</v>
      </c>
      <c r="Y110" s="31" t="s">
        <v>500</v>
      </c>
      <c r="Z110">
        <f t="shared" si="3"/>
        <v>-3.0733971910442442E-2</v>
      </c>
    </row>
    <row r="111" spans="19:26" ht="15" thickBot="1" x14ac:dyDescent="0.35">
      <c r="S111" s="30" t="s">
        <v>501</v>
      </c>
      <c r="T111" s="31">
        <v>168.49</v>
      </c>
      <c r="U111" s="31">
        <v>170.35</v>
      </c>
      <c r="V111" s="31">
        <v>166.77</v>
      </c>
      <c r="W111" s="31">
        <v>169.79</v>
      </c>
      <c r="X111" s="31">
        <v>169.79</v>
      </c>
      <c r="Y111" s="31" t="s">
        <v>502</v>
      </c>
      <c r="Z111">
        <f t="shared" si="3"/>
        <v>2.940463198738932E-2</v>
      </c>
    </row>
    <row r="112" spans="19:26" ht="15" thickBot="1" x14ac:dyDescent="0.35">
      <c r="S112" s="30" t="s">
        <v>503</v>
      </c>
      <c r="T112" s="31">
        <v>167.53</v>
      </c>
      <c r="U112" s="31">
        <v>172.45</v>
      </c>
      <c r="V112" s="31">
        <v>167.34</v>
      </c>
      <c r="W112" s="31">
        <v>169.23</v>
      </c>
      <c r="X112" s="31">
        <v>169.23</v>
      </c>
      <c r="Y112" s="31" t="s">
        <v>504</v>
      </c>
      <c r="Z112">
        <f t="shared" si="3"/>
        <v>-3.2981918840921274E-3</v>
      </c>
    </row>
    <row r="113" spans="19:26" ht="15" thickBot="1" x14ac:dyDescent="0.35">
      <c r="S113" s="30" t="s">
        <v>505</v>
      </c>
      <c r="T113" s="31">
        <v>174.48</v>
      </c>
      <c r="U113" s="31">
        <v>174.9</v>
      </c>
      <c r="V113" s="31">
        <v>167.48</v>
      </c>
      <c r="W113" s="31">
        <v>169.99</v>
      </c>
      <c r="X113" s="31">
        <v>169.99</v>
      </c>
      <c r="Y113" s="31" t="s">
        <v>506</v>
      </c>
      <c r="Z113">
        <f t="shared" si="3"/>
        <v>4.4909295042251333E-3</v>
      </c>
    </row>
    <row r="114" spans="19:26" ht="15" thickBot="1" x14ac:dyDescent="0.35">
      <c r="S114" s="30" t="s">
        <v>507</v>
      </c>
      <c r="T114" s="31">
        <v>177.86</v>
      </c>
      <c r="U114" s="31">
        <v>178.28</v>
      </c>
      <c r="V114" s="31">
        <v>173.83</v>
      </c>
      <c r="W114" s="31">
        <v>176.17</v>
      </c>
      <c r="X114" s="31">
        <v>176.17</v>
      </c>
      <c r="Y114" s="31" t="s">
        <v>508</v>
      </c>
      <c r="Z114">
        <f t="shared" si="3"/>
        <v>3.635507971057108E-2</v>
      </c>
    </row>
    <row r="115" spans="19:26" ht="15" thickBot="1" x14ac:dyDescent="0.35">
      <c r="S115" s="30" t="s">
        <v>509</v>
      </c>
      <c r="T115" s="31">
        <v>179.08</v>
      </c>
      <c r="U115" s="31">
        <v>182.09</v>
      </c>
      <c r="V115" s="31">
        <v>175.81</v>
      </c>
      <c r="W115" s="31">
        <v>177.7</v>
      </c>
      <c r="X115" s="31">
        <v>177.7</v>
      </c>
      <c r="Y115" s="31" t="s">
        <v>510</v>
      </c>
      <c r="Z115">
        <f t="shared" si="3"/>
        <v>8.6847930975762124E-3</v>
      </c>
    </row>
    <row r="116" spans="19:26" ht="15" thickBot="1" x14ac:dyDescent="0.35">
      <c r="S116" s="30" t="s">
        <v>511</v>
      </c>
      <c r="T116" s="31">
        <v>177</v>
      </c>
      <c r="U116" s="31">
        <v>179.78</v>
      </c>
      <c r="V116" s="31">
        <v>176.71</v>
      </c>
      <c r="W116" s="31">
        <v>177.42</v>
      </c>
      <c r="X116" s="31">
        <v>177.42</v>
      </c>
      <c r="Y116" s="31" t="s">
        <v>512</v>
      </c>
      <c r="Z116">
        <f t="shared" si="3"/>
        <v>-1.5756893640967988E-3</v>
      </c>
    </row>
    <row r="117" spans="19:26" ht="15" thickBot="1" x14ac:dyDescent="0.35">
      <c r="S117" s="30" t="s">
        <v>513</v>
      </c>
      <c r="T117" s="31">
        <v>180.95</v>
      </c>
      <c r="U117" s="31">
        <v>182.09</v>
      </c>
      <c r="V117" s="31">
        <v>176.13</v>
      </c>
      <c r="W117" s="31">
        <v>177.18</v>
      </c>
      <c r="X117" s="31">
        <v>177.18</v>
      </c>
      <c r="Y117" s="31" t="s">
        <v>514</v>
      </c>
      <c r="Z117">
        <f t="shared" si="3"/>
        <v>-1.3527223537367866E-3</v>
      </c>
    </row>
    <row r="118" spans="19:26" ht="15" thickBot="1" x14ac:dyDescent="0.35">
      <c r="S118" s="30" t="s">
        <v>515</v>
      </c>
      <c r="T118" s="31">
        <v>170.6</v>
      </c>
      <c r="U118" s="31">
        <v>177.44</v>
      </c>
      <c r="V118" s="31">
        <v>170.45</v>
      </c>
      <c r="W118" s="31">
        <v>177</v>
      </c>
      <c r="X118" s="31">
        <v>177</v>
      </c>
      <c r="Y118" s="31" t="s">
        <v>516</v>
      </c>
      <c r="Z118">
        <f t="shared" si="3"/>
        <v>-1.0159160176092495E-3</v>
      </c>
    </row>
    <row r="119" spans="19:26" ht="15" thickBot="1" x14ac:dyDescent="0.35">
      <c r="S119" s="30" t="s">
        <v>517</v>
      </c>
      <c r="T119" s="31">
        <v>166.58</v>
      </c>
      <c r="U119" s="31">
        <v>169.25</v>
      </c>
      <c r="V119" s="31">
        <v>166.58</v>
      </c>
      <c r="W119" s="31">
        <v>166.82</v>
      </c>
      <c r="X119" s="31">
        <v>166.82</v>
      </c>
      <c r="Y119" s="31" t="s">
        <v>518</v>
      </c>
      <c r="Z119">
        <f t="shared" si="3"/>
        <v>-5.751412429378535E-2</v>
      </c>
    </row>
    <row r="120" spans="19:26" ht="15" thickBot="1" x14ac:dyDescent="0.35">
      <c r="S120" s="30" t="s">
        <v>519</v>
      </c>
      <c r="T120" s="31">
        <v>166.99</v>
      </c>
      <c r="U120" s="31">
        <v>169.8</v>
      </c>
      <c r="V120" s="31">
        <v>165.43</v>
      </c>
      <c r="W120" s="31">
        <v>168</v>
      </c>
      <c r="X120" s="31">
        <v>168</v>
      </c>
      <c r="Y120" s="31" t="s">
        <v>520</v>
      </c>
      <c r="Z120">
        <f t="shared" si="3"/>
        <v>7.0734923870039972E-3</v>
      </c>
    </row>
    <row r="121" spans="19:26" ht="15" thickBot="1" x14ac:dyDescent="0.35">
      <c r="S121" s="30" t="s">
        <v>521</v>
      </c>
      <c r="T121" s="31">
        <v>168.26</v>
      </c>
      <c r="U121" s="31">
        <v>168.99</v>
      </c>
      <c r="V121" s="31">
        <v>164.46</v>
      </c>
      <c r="W121" s="31">
        <v>166.78</v>
      </c>
      <c r="X121" s="31">
        <v>166.78</v>
      </c>
      <c r="Y121" s="31" t="s">
        <v>522</v>
      </c>
      <c r="Z121">
        <f t="shared" si="3"/>
        <v>-7.261904761904755E-3</v>
      </c>
    </row>
    <row r="122" spans="19:26" ht="15" thickBot="1" x14ac:dyDescent="0.35">
      <c r="S122" s="30" t="s">
        <v>523</v>
      </c>
      <c r="T122" s="31">
        <v>164.38</v>
      </c>
      <c r="U122" s="31">
        <v>168.26</v>
      </c>
      <c r="V122" s="31">
        <v>163.6</v>
      </c>
      <c r="W122" s="31">
        <v>167.4</v>
      </c>
      <c r="X122" s="31">
        <v>167.4</v>
      </c>
      <c r="Y122" s="31" t="s">
        <v>524</v>
      </c>
      <c r="Z122">
        <f t="shared" si="3"/>
        <v>3.717472118959135E-3</v>
      </c>
    </row>
    <row r="123" spans="19:26" ht="15" thickBot="1" x14ac:dyDescent="0.35">
      <c r="S123" s="30" t="s">
        <v>525</v>
      </c>
      <c r="T123" s="31">
        <v>163.82</v>
      </c>
      <c r="U123" s="31">
        <v>165.73</v>
      </c>
      <c r="V123" s="31">
        <v>162.24</v>
      </c>
      <c r="W123" s="31">
        <v>163</v>
      </c>
      <c r="X123" s="31">
        <v>163</v>
      </c>
      <c r="Y123" s="31" t="s">
        <v>526</v>
      </c>
      <c r="Z123">
        <f t="shared" si="3"/>
        <v>-2.6284348864994058E-2</v>
      </c>
    </row>
    <row r="124" spans="19:26" ht="15" thickBot="1" x14ac:dyDescent="0.35">
      <c r="S124" s="30" t="s">
        <v>527</v>
      </c>
      <c r="T124" s="31">
        <v>169.61</v>
      </c>
      <c r="U124" s="31">
        <v>169.8</v>
      </c>
      <c r="V124" s="31">
        <v>163.95</v>
      </c>
      <c r="W124" s="31">
        <v>163.95</v>
      </c>
      <c r="X124" s="31">
        <v>163.95</v>
      </c>
      <c r="Y124" s="31" t="s">
        <v>528</v>
      </c>
      <c r="Z124">
        <f t="shared" si="3"/>
        <v>5.8282208588956354E-3</v>
      </c>
    </row>
    <row r="125" spans="19:26" ht="15" thickBot="1" x14ac:dyDescent="0.35">
      <c r="S125" s="30" t="s">
        <v>529</v>
      </c>
      <c r="T125" s="31">
        <v>159.86000000000001</v>
      </c>
      <c r="U125" s="31">
        <v>162.78</v>
      </c>
      <c r="V125" s="31">
        <v>157.91</v>
      </c>
      <c r="W125" s="31">
        <v>161.52000000000001</v>
      </c>
      <c r="X125" s="31">
        <v>161.52000000000001</v>
      </c>
      <c r="Y125" s="31" t="s">
        <v>530</v>
      </c>
      <c r="Z125">
        <f t="shared" si="3"/>
        <v>-1.4821591948764737E-2</v>
      </c>
    </row>
    <row r="126" spans="19:26" ht="15" thickBot="1" x14ac:dyDescent="0.35">
      <c r="S126" s="30" t="s">
        <v>531</v>
      </c>
      <c r="T126" s="31">
        <v>151.05000000000001</v>
      </c>
      <c r="U126" s="31">
        <v>158.29</v>
      </c>
      <c r="V126" s="31">
        <v>150.75</v>
      </c>
      <c r="W126" s="31">
        <v>156</v>
      </c>
      <c r="X126" s="31">
        <v>156</v>
      </c>
      <c r="Y126" s="31" t="s">
        <v>532</v>
      </c>
      <c r="Z126">
        <f t="shared" si="3"/>
        <v>-3.4175334323922793E-2</v>
      </c>
    </row>
    <row r="127" spans="19:26" x14ac:dyDescent="0.3">
      <c r="S127" s="30" t="s">
        <v>533</v>
      </c>
      <c r="T127" s="31">
        <v>140.56</v>
      </c>
      <c r="U127" s="31">
        <v>144.88999999999999</v>
      </c>
      <c r="V127" s="31">
        <v>139.96</v>
      </c>
      <c r="W127" s="31">
        <v>144.1</v>
      </c>
      <c r="X127" s="31">
        <v>144.1</v>
      </c>
      <c r="Y127" s="31" t="s">
        <v>534</v>
      </c>
      <c r="Z127">
        <f t="shared" si="3"/>
        <v>-7.6282051282051316E-2</v>
      </c>
    </row>
  </sheetData>
  <mergeCells count="1">
    <mergeCell ref="AG3:AG4"/>
  </mergeCells>
  <hyperlinks>
    <hyperlink ref="A2" r:id="rId1" display="https://finance.yahoo.com/quote/BABA221021C00025000?p=BABA221021C00025000" xr:uid="{26109FFF-638F-4179-B78D-D48A3F5B4037}"/>
    <hyperlink ref="C2" r:id="rId2" display="https://finance.yahoo.com/quote/BABA/options?strike=25&amp;straddle=false" xr:uid="{8DE86EB4-77EE-4766-A6F2-B7F78726F5ED}"/>
    <hyperlink ref="A3" r:id="rId3" display="https://finance.yahoo.com/quote/BABA221021C00030000?p=BABA221021C00030000" xr:uid="{F448B1C8-D7A7-4D9A-9438-0A652D540743}"/>
    <hyperlink ref="C3" r:id="rId4" display="https://finance.yahoo.com/quote/BABA/options?strike=30&amp;straddle=false" xr:uid="{A5E14979-AF01-48AD-B543-5855D60FC3B8}"/>
    <hyperlink ref="A4" r:id="rId5" display="https://finance.yahoo.com/quote/BABA221021C00035000?p=BABA221021C00035000" xr:uid="{7731CAFB-B024-4A21-8E94-263CE5AE3DEE}"/>
    <hyperlink ref="C4" r:id="rId6" display="https://finance.yahoo.com/quote/BABA/options?strike=35&amp;straddle=false" xr:uid="{8E6B8342-E647-4E60-AE2D-4446F4B78C23}"/>
    <hyperlink ref="A5" r:id="rId7" display="https://finance.yahoo.com/quote/BABA221021C00040000?p=BABA221021C00040000" xr:uid="{9D2B3000-3EA1-41F2-A302-C46215580686}"/>
    <hyperlink ref="C5" r:id="rId8" display="https://finance.yahoo.com/quote/BABA/options?strike=40&amp;straddle=false" xr:uid="{19C58B53-FCD6-4B58-89B9-04ACB2DC7893}"/>
    <hyperlink ref="A6" r:id="rId9" display="https://finance.yahoo.com/quote/BABA221021C00065000?p=BABA221021C00065000" xr:uid="{3B81EDBE-C433-4AB1-BE0F-B9E77EF14B0D}"/>
    <hyperlink ref="C6" r:id="rId10" display="https://finance.yahoo.com/quote/BABA/options?strike=65&amp;straddle=false" xr:uid="{22490F53-1CD8-40C6-B2CE-7D74339DBD91}"/>
    <hyperlink ref="A7" r:id="rId11" display="https://finance.yahoo.com/quote/BABA221021C00070000?p=BABA221021C00070000" xr:uid="{936C4566-B29B-48D3-AD53-3831FF75B937}"/>
    <hyperlink ref="C7" r:id="rId12" display="https://finance.yahoo.com/quote/BABA/options?strike=70&amp;straddle=false" xr:uid="{8D143CF6-8615-4700-B29E-0F0760D13E99}"/>
    <hyperlink ref="A8" r:id="rId13" display="https://finance.yahoo.com/quote/BABA221021C00075000?p=BABA221021C00075000" xr:uid="{BAB59622-11AA-4F72-80FF-F4433513AAA9}"/>
    <hyperlink ref="C8" r:id="rId14" display="https://finance.yahoo.com/quote/BABA/options?strike=75&amp;straddle=false" xr:uid="{52F94078-32EB-4A97-98D4-B6518D2E40CA}"/>
    <hyperlink ref="A9" r:id="rId15" display="https://finance.yahoo.com/quote/BABA221021C00080000?p=BABA221021C00080000" xr:uid="{C0FD0D41-C333-4155-8BA6-E27DB0031035}"/>
    <hyperlink ref="C9" r:id="rId16" display="https://finance.yahoo.com/quote/BABA/options?strike=80&amp;straddle=false" xr:uid="{D7EBB58D-E608-4A89-8C3D-4B3BABF264CE}"/>
    <hyperlink ref="A10" r:id="rId17" display="https://finance.yahoo.com/quote/BABA221021C00085000?p=BABA221021C00085000" xr:uid="{17CFFDB4-0519-4941-8AED-BDD3E62A0F21}"/>
    <hyperlink ref="C10" r:id="rId18" display="https://finance.yahoo.com/quote/BABA/options?strike=85&amp;straddle=false" xr:uid="{781C7C9F-E732-4DD9-834B-3E233BBB56DB}"/>
    <hyperlink ref="A11" r:id="rId19" display="https://finance.yahoo.com/quote/BABA221021C00090000?p=BABA221021C00090000" xr:uid="{7318DBD2-D338-483E-916F-DC473D7F379B}"/>
    <hyperlink ref="C11" r:id="rId20" display="https://finance.yahoo.com/quote/BABA/options?strike=90&amp;straddle=false" xr:uid="{7B353CC2-4FB6-468B-AA68-FFF8737B9C14}"/>
    <hyperlink ref="A12" r:id="rId21" display="https://finance.yahoo.com/quote/BABA221021C00095000?p=BABA221021C00095000" xr:uid="{D70F2E4B-58FE-4857-82A8-9F9AC4482691}"/>
    <hyperlink ref="C12" r:id="rId22" display="https://finance.yahoo.com/quote/BABA/options?strike=95&amp;straddle=false" xr:uid="{7A56EBD7-AC64-4BBC-B8B7-0D1190C8A51B}"/>
    <hyperlink ref="A13" r:id="rId23" display="https://finance.yahoo.com/quote/BABA221021C00100000?p=BABA221021C00100000" xr:uid="{5FB59970-2497-470F-B0D8-1D2975BD5120}"/>
    <hyperlink ref="C13" r:id="rId24" display="https://finance.yahoo.com/quote/BABA/options?strike=100&amp;straddle=false" xr:uid="{2A19DDFD-16E8-4417-9443-E159CEEA4379}"/>
    <hyperlink ref="A14" r:id="rId25" display="https://finance.yahoo.com/quote/BABA221021C00105000?p=BABA221021C00105000" xr:uid="{83A1A678-B104-438E-BAF9-158FBA9560EB}"/>
    <hyperlink ref="C14" r:id="rId26" display="https://finance.yahoo.com/quote/BABA/options?strike=105&amp;straddle=false" xr:uid="{47EC7F4E-3F2D-453B-AB65-2BD97ECF5482}"/>
    <hyperlink ref="A15" r:id="rId27" display="https://finance.yahoo.com/quote/BABA221021C00110000?p=BABA221021C00110000" xr:uid="{71B7E728-1075-41A8-B97A-3C71BF4C9D48}"/>
    <hyperlink ref="C15" r:id="rId28" display="https://finance.yahoo.com/quote/BABA/options?strike=110&amp;straddle=false" xr:uid="{CFBCA10B-7607-431F-8143-C0C508DB6C76}"/>
    <hyperlink ref="A16" r:id="rId29" display="https://finance.yahoo.com/quote/BABA221021C00115000?p=BABA221021C00115000" xr:uid="{23042E54-9CFC-4972-A606-C9344FC98125}"/>
    <hyperlink ref="C16" r:id="rId30" display="https://finance.yahoo.com/quote/BABA/options?strike=115&amp;straddle=false" xr:uid="{34E45BE5-A404-4033-81CD-2A9E02F79F61}"/>
    <hyperlink ref="A17" r:id="rId31" display="https://finance.yahoo.com/quote/BABA221021C00120000?p=BABA221021C00120000" xr:uid="{F0DE214E-B980-48B6-AC71-6D04EB135851}"/>
    <hyperlink ref="C17" r:id="rId32" display="https://finance.yahoo.com/quote/BABA/options?strike=120&amp;straddle=false" xr:uid="{3DACF8B8-090A-4B2E-AAD0-6E8A1AEDCE39}"/>
    <hyperlink ref="A18" r:id="rId33" display="https://finance.yahoo.com/quote/BABA221021C00125000?p=BABA221021C00125000" xr:uid="{BF53B319-4F31-4CFD-9E98-C6D684C717CA}"/>
    <hyperlink ref="C18" r:id="rId34" display="https://finance.yahoo.com/quote/BABA/options?strike=125&amp;straddle=false" xr:uid="{A5CD0135-6A20-4FBD-9A9A-079ECB20A4F2}"/>
    <hyperlink ref="A19" r:id="rId35" display="https://finance.yahoo.com/quote/BABA221021C00130000?p=BABA221021C00130000" xr:uid="{3E7525CC-12C1-4944-AD78-768AB1E7F227}"/>
    <hyperlink ref="C19" r:id="rId36" display="https://finance.yahoo.com/quote/BABA/options?strike=130&amp;straddle=false" xr:uid="{F193806E-13FB-448B-A563-B08F0C51CC8E}"/>
    <hyperlink ref="A20" r:id="rId37" display="https://finance.yahoo.com/quote/BABA221021C00135000?p=BABA221021C00135000" xr:uid="{8909E8C4-75D5-4DCB-A449-F74A85BBD2D6}"/>
    <hyperlink ref="C20" r:id="rId38" display="https://finance.yahoo.com/quote/BABA/options?strike=135&amp;straddle=false" xr:uid="{F19A77DC-D1F4-4FEB-ACEE-1AD56BDD74B6}"/>
    <hyperlink ref="A21" r:id="rId39" display="https://finance.yahoo.com/quote/BABA221021C00140000?p=BABA221021C00140000" xr:uid="{1733D36F-D895-4395-8C33-10126D1EA769}"/>
    <hyperlink ref="C21" r:id="rId40" display="https://finance.yahoo.com/quote/BABA/options?strike=140&amp;straddle=false" xr:uid="{75964E96-5F25-41F9-905B-E9198520645D}"/>
    <hyperlink ref="A22" r:id="rId41" display="https://finance.yahoo.com/quote/BABA221021C00145000?p=BABA221021C00145000" xr:uid="{461BF00B-CED2-49CE-89DA-F7109AAC9F87}"/>
    <hyperlink ref="C22" r:id="rId42" display="https://finance.yahoo.com/quote/BABA/options?strike=145&amp;straddle=false" xr:uid="{1BF6F0CE-87FB-4ADA-90A5-055EA398C7EF}"/>
    <hyperlink ref="A23" r:id="rId43" display="https://finance.yahoo.com/quote/BABA221021C00150000?p=BABA221021C00150000" xr:uid="{4D3CBB7D-B534-4DA5-984F-CB7B2E5D84E6}"/>
    <hyperlink ref="C23" r:id="rId44" display="https://finance.yahoo.com/quote/BABA/options?strike=150&amp;straddle=false" xr:uid="{D81276AA-9222-4B3E-850E-13FA2274DEDB}"/>
    <hyperlink ref="A24" r:id="rId45" display="https://finance.yahoo.com/quote/BABA221021C00155000?p=BABA221021C00155000" xr:uid="{B659727C-C0B8-4E6F-B6A8-DDEEB17A97EC}"/>
    <hyperlink ref="C24" r:id="rId46" display="https://finance.yahoo.com/quote/BABA/options?strike=155&amp;straddle=false" xr:uid="{458E5361-C71A-4F0F-BB49-DD9FF3D0E10E}"/>
    <hyperlink ref="A25" r:id="rId47" display="https://finance.yahoo.com/quote/BABA221021C00160000?p=BABA221021C00160000" xr:uid="{F98CE1E5-816D-435B-A1E8-47B6116C31AB}"/>
    <hyperlink ref="C25" r:id="rId48" display="https://finance.yahoo.com/quote/BABA/options?strike=160&amp;straddle=false" xr:uid="{44D33D92-892E-4AC3-A3AB-D6700A6B3ECB}"/>
    <hyperlink ref="A26" r:id="rId49" display="https://finance.yahoo.com/quote/BABA221021C00165000?p=BABA221021C00165000" xr:uid="{2B4ACF9C-CEF9-4918-8190-919130C4AC43}"/>
    <hyperlink ref="C26" r:id="rId50" display="https://finance.yahoo.com/quote/BABA/options?strike=165&amp;straddle=false" xr:uid="{3A30A100-CBE1-4906-96F3-4185EBE5948B}"/>
    <hyperlink ref="A27" r:id="rId51" display="https://finance.yahoo.com/quote/BABA221021C00170000?p=BABA221021C00170000" xr:uid="{D7D63C68-BE92-40D8-8730-262D042F5FAA}"/>
    <hyperlink ref="C27" r:id="rId52" display="https://finance.yahoo.com/quote/BABA/options?strike=170&amp;straddle=false" xr:uid="{9214A85E-4A2C-4D49-9ACB-3D993C6499C7}"/>
    <hyperlink ref="A28" r:id="rId53" display="https://finance.yahoo.com/quote/BABA221021C00175000?p=BABA221021C00175000" xr:uid="{CC34D241-87D0-4C0F-824C-216E311FEAC1}"/>
    <hyperlink ref="C28" r:id="rId54" display="https://finance.yahoo.com/quote/BABA/options?strike=175&amp;straddle=false" xr:uid="{650043F3-1822-4444-B65A-4FE6CD3F454A}"/>
    <hyperlink ref="A29" r:id="rId55" display="https://finance.yahoo.com/quote/BABA221021C00180000?p=BABA221021C00180000" xr:uid="{74D2B93E-C60D-4C22-AE03-F26C662CDA57}"/>
    <hyperlink ref="C29" r:id="rId56" display="https://finance.yahoo.com/quote/BABA/options?strike=180&amp;straddle=false" xr:uid="{F372D026-6A44-4FFF-A1A2-02AF48CA8E9A}"/>
    <hyperlink ref="A30" r:id="rId57" display="https://finance.yahoo.com/quote/BABA221021C00185000?p=BABA221021C00185000" xr:uid="{96C75F90-BAEA-41B5-95DF-DA9C38A56064}"/>
    <hyperlink ref="C30" r:id="rId58" display="https://finance.yahoo.com/quote/BABA/options?strike=185&amp;straddle=false" xr:uid="{3A551534-A993-4838-9A1E-74C68EE5F325}"/>
    <hyperlink ref="A31" r:id="rId59" display="https://finance.yahoo.com/quote/BABA221021C00190000?p=BABA221021C00190000" xr:uid="{B0B04FEB-E3D6-49C1-A7C1-BBA75C8FEE32}"/>
    <hyperlink ref="C31" r:id="rId60" display="https://finance.yahoo.com/quote/BABA/options?strike=190&amp;straddle=false" xr:uid="{A9E58DAB-614C-4DF1-A812-120C740C0AD5}"/>
    <hyperlink ref="A32" r:id="rId61" display="https://finance.yahoo.com/quote/BABA221021C00195000?p=BABA221021C00195000" xr:uid="{5DE034E2-37BF-4A8E-8C21-1418AEF88F2F}"/>
    <hyperlink ref="C32" r:id="rId62" display="https://finance.yahoo.com/quote/BABA/options?strike=195&amp;straddle=false" xr:uid="{2ED0E0A0-235F-4290-9D82-F743AB4C9CB2}"/>
    <hyperlink ref="A33" r:id="rId63" display="https://finance.yahoo.com/quote/BABA221021C00200000?p=BABA221021C00200000" xr:uid="{E27BEF7B-7EAC-43F0-AD9B-29D2D9CFC8A7}"/>
    <hyperlink ref="C33" r:id="rId64" display="https://finance.yahoo.com/quote/BABA/options?strike=200&amp;straddle=false" xr:uid="{4778521B-56AE-427F-A11C-4A51395018D4}"/>
    <hyperlink ref="A34" r:id="rId65" display="https://finance.yahoo.com/quote/BABA221021C00205000?p=BABA221021C00205000" xr:uid="{D8677CBB-F58D-44CA-AC5A-D8A5C9285F6A}"/>
    <hyperlink ref="C34" r:id="rId66" display="https://finance.yahoo.com/quote/BABA/options?strike=205&amp;straddle=false" xr:uid="{61D74EBE-7513-42A7-BE06-548C7DD69E49}"/>
    <hyperlink ref="A35" r:id="rId67" display="https://finance.yahoo.com/quote/BABA221021C00210000?p=BABA221021C00210000" xr:uid="{8FFDDC8A-E9E7-4E91-9FCD-87FC4A790020}"/>
    <hyperlink ref="C35" r:id="rId68" display="https://finance.yahoo.com/quote/BABA/options?strike=210&amp;straddle=false" xr:uid="{351C9259-3146-45F3-9EAC-5074E1432EAB}"/>
    <hyperlink ref="A36" r:id="rId69" display="https://finance.yahoo.com/quote/BABA221021C00215000?p=BABA221021C00215000" xr:uid="{79B7319E-C3FD-4105-BD9B-5CFCDF20F7EE}"/>
    <hyperlink ref="C36" r:id="rId70" display="https://finance.yahoo.com/quote/BABA/options?strike=215&amp;straddle=false" xr:uid="{894F7F62-1725-4AC9-B524-DDB2CBFFC13E}"/>
    <hyperlink ref="A37" r:id="rId71" display="https://finance.yahoo.com/quote/BABA221021C00220000?p=BABA221021C00220000" xr:uid="{693D04A5-46D7-467A-B24F-43EFECE95430}"/>
    <hyperlink ref="C37" r:id="rId72" display="https://finance.yahoo.com/quote/BABA/options?strike=220&amp;straddle=false" xr:uid="{DB088D29-2C00-409F-A9D2-08CC45A5F7A7}"/>
    <hyperlink ref="A38" r:id="rId73" display="https://finance.yahoo.com/quote/BABA221021C00225000?p=BABA221021C00225000" xr:uid="{3BE635C3-D058-4EB0-856E-4A54EAA9AE21}"/>
    <hyperlink ref="C38" r:id="rId74" display="https://finance.yahoo.com/quote/BABA/options?strike=225&amp;straddle=false" xr:uid="{3364B3B5-6274-4CE2-98CA-5ED1F05D3221}"/>
  </hyperlinks>
  <pageMargins left="0.7" right="0.7" top="0.75" bottom="0.75" header="0.3" footer="0.3"/>
  <drawing r:id="rId7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160CC-D585-4E3E-90E7-FC6B471D3BC9}">
  <sheetPr codeName="Foglio5"/>
  <dimension ref="A1:AG192"/>
  <sheetViews>
    <sheetView workbookViewId="0">
      <selection activeCell="P2" sqref="P2"/>
    </sheetView>
  </sheetViews>
  <sheetFormatPr defaultRowHeight="14.4" x14ac:dyDescent="0.3"/>
  <cols>
    <col min="13" max="13" width="10.5546875" bestFit="1" customWidth="1"/>
    <col min="31" max="31" width="9.21875" bestFit="1" customWidth="1"/>
  </cols>
  <sheetData>
    <row r="1" spans="1:33" ht="43.8" thickBot="1" x14ac:dyDescent="0.35">
      <c r="A1" s="21" t="s">
        <v>11</v>
      </c>
      <c r="B1" s="22" t="s">
        <v>12</v>
      </c>
      <c r="C1" s="23" t="s">
        <v>13</v>
      </c>
      <c r="D1" s="22" t="s">
        <v>14</v>
      </c>
      <c r="E1" s="22" t="s">
        <v>15</v>
      </c>
      <c r="F1" s="22" t="s">
        <v>16</v>
      </c>
      <c r="G1" s="22" t="s">
        <v>17</v>
      </c>
      <c r="H1" s="22" t="s">
        <v>18</v>
      </c>
      <c r="I1" s="22" t="s">
        <v>19</v>
      </c>
      <c r="J1" s="22" t="s">
        <v>20</v>
      </c>
      <c r="K1" s="22" t="s">
        <v>21</v>
      </c>
      <c r="L1" s="22" t="s">
        <v>116</v>
      </c>
      <c r="M1" s="22" t="s">
        <v>991</v>
      </c>
      <c r="O1" s="22" t="s">
        <v>1582</v>
      </c>
      <c r="P1" s="22" t="s">
        <v>1581</v>
      </c>
      <c r="Q1" t="s">
        <v>337</v>
      </c>
      <c r="R1" t="s">
        <v>338</v>
      </c>
      <c r="S1" s="27" t="s">
        <v>119</v>
      </c>
      <c r="T1" s="28" t="s">
        <v>120</v>
      </c>
      <c r="U1" s="28" t="s">
        <v>121</v>
      </c>
      <c r="V1" s="28" t="s">
        <v>122</v>
      </c>
      <c r="W1" s="28" t="s">
        <v>123</v>
      </c>
      <c r="X1" s="29" t="s">
        <v>124</v>
      </c>
      <c r="Y1" s="28" t="s">
        <v>19</v>
      </c>
      <c r="Z1" s="28" t="s">
        <v>336</v>
      </c>
    </row>
    <row r="2" spans="1:33" ht="58.2" thickBot="1" x14ac:dyDescent="0.35">
      <c r="A2" s="17" t="s">
        <v>866</v>
      </c>
      <c r="B2" s="24" t="s">
        <v>867</v>
      </c>
      <c r="C2" s="18">
        <v>20</v>
      </c>
      <c r="D2" s="24">
        <v>94.96</v>
      </c>
      <c r="E2" s="24">
        <v>87.75</v>
      </c>
      <c r="F2" s="24">
        <v>89.1</v>
      </c>
      <c r="G2" s="24">
        <v>0</v>
      </c>
      <c r="H2" s="24" t="s">
        <v>22</v>
      </c>
      <c r="I2" s="24">
        <v>4</v>
      </c>
      <c r="J2" s="24">
        <v>9</v>
      </c>
      <c r="K2" s="26">
        <v>1.2870999999999999</v>
      </c>
      <c r="L2">
        <f>AVERAGE(E2,F2)</f>
        <v>88.424999999999997</v>
      </c>
      <c r="M2">
        <f>9/12</f>
        <v>0.75</v>
      </c>
      <c r="O2">
        <v>1.73292</v>
      </c>
      <c r="P2">
        <v>-0.24351</v>
      </c>
      <c r="Q2">
        <f>_xlfn.STDEV.S(Z3:Z192)</f>
        <v>4.0425585053368358E-2</v>
      </c>
      <c r="R2">
        <f>Q2*SQRT(252)</f>
        <v>0.64173626793301475</v>
      </c>
      <c r="S2" s="30" t="s">
        <v>254</v>
      </c>
      <c r="T2" s="31">
        <v>115</v>
      </c>
      <c r="U2" s="31">
        <v>115</v>
      </c>
      <c r="V2" s="31">
        <v>110.23</v>
      </c>
      <c r="W2" s="31">
        <v>111</v>
      </c>
      <c r="X2" s="31">
        <v>111</v>
      </c>
      <c r="Y2" s="31" t="s">
        <v>255</v>
      </c>
      <c r="AD2" s="46"/>
      <c r="AE2" s="46" t="s">
        <v>1583</v>
      </c>
      <c r="AF2" s="46" t="s">
        <v>1584</v>
      </c>
      <c r="AG2" s="46" t="s">
        <v>116</v>
      </c>
    </row>
    <row r="3" spans="1:33" ht="58.2" thickBot="1" x14ac:dyDescent="0.35">
      <c r="A3" s="17" t="s">
        <v>868</v>
      </c>
      <c r="B3" s="24" t="s">
        <v>869</v>
      </c>
      <c r="C3" s="18">
        <v>25</v>
      </c>
      <c r="D3" s="24">
        <v>90</v>
      </c>
      <c r="E3" s="24">
        <v>82.2</v>
      </c>
      <c r="F3" s="24">
        <v>84.1</v>
      </c>
      <c r="G3" s="24">
        <v>0</v>
      </c>
      <c r="H3" s="24" t="s">
        <v>22</v>
      </c>
      <c r="I3" s="24">
        <v>1</v>
      </c>
      <c r="J3" s="24">
        <v>2</v>
      </c>
      <c r="K3" s="26">
        <v>1.0645</v>
      </c>
      <c r="L3">
        <f t="shared" ref="L3:L66" si="0">AVERAGE(E3,F3)</f>
        <v>83.15</v>
      </c>
      <c r="M3" s="20">
        <v>44946</v>
      </c>
      <c r="R3">
        <f>$R$2</f>
        <v>0.64173626793301475</v>
      </c>
      <c r="S3" s="30" t="s">
        <v>125</v>
      </c>
      <c r="T3" s="31">
        <v>115.7</v>
      </c>
      <c r="U3" s="31">
        <v>118.22</v>
      </c>
      <c r="V3" s="31">
        <v>113.38</v>
      </c>
      <c r="W3" s="31">
        <v>117.5</v>
      </c>
      <c r="X3" s="31">
        <v>117.5</v>
      </c>
      <c r="Y3" s="31" t="s">
        <v>126</v>
      </c>
      <c r="Z3">
        <f>(W3-W2)/W2</f>
        <v>5.8558558558558557E-2</v>
      </c>
      <c r="AD3" s="46" t="s">
        <v>1585</v>
      </c>
      <c r="AE3" s="46" cm="1">
        <f t="array" ref="AE3">BSCall('T=1m'!$N$2,$C$20,O2,$R$2,$M$2)</f>
        <v>81.009372366747584</v>
      </c>
      <c r="AF3" s="46" cm="1">
        <f t="array" ref="AF3">BSCall('T=1m'!$N$2,$C$20,P2,$R$2,$M$2)</f>
        <v>17.28148499573124</v>
      </c>
      <c r="AG3" s="59">
        <f>L20</f>
        <v>19.825000000000003</v>
      </c>
    </row>
    <row r="4" spans="1:33" ht="58.2" thickBot="1" x14ac:dyDescent="0.35">
      <c r="A4" s="17" t="s">
        <v>870</v>
      </c>
      <c r="B4" s="24" t="s">
        <v>871</v>
      </c>
      <c r="C4" s="18">
        <v>30</v>
      </c>
      <c r="D4" s="24">
        <v>65.709999999999994</v>
      </c>
      <c r="E4" s="24">
        <v>77.8</v>
      </c>
      <c r="F4" s="24">
        <v>79.400000000000006</v>
      </c>
      <c r="G4" s="24">
        <v>0</v>
      </c>
      <c r="H4" s="24" t="s">
        <v>22</v>
      </c>
      <c r="I4" s="24" t="s">
        <v>22</v>
      </c>
      <c r="J4" s="24">
        <v>2</v>
      </c>
      <c r="K4" s="26">
        <v>1.0081</v>
      </c>
      <c r="L4">
        <f t="shared" si="0"/>
        <v>78.599999999999994</v>
      </c>
      <c r="R4">
        <f t="shared" ref="R4:R67" si="1">$R$2</f>
        <v>0.64173626793301475</v>
      </c>
      <c r="S4" s="30" t="s">
        <v>127</v>
      </c>
      <c r="T4" s="31">
        <v>117.62</v>
      </c>
      <c r="U4" s="31">
        <v>118.95</v>
      </c>
      <c r="V4" s="31">
        <v>109.75</v>
      </c>
      <c r="W4" s="31">
        <v>110.2</v>
      </c>
      <c r="X4" s="31">
        <v>110.2</v>
      </c>
      <c r="Y4" s="31" t="s">
        <v>128</v>
      </c>
      <c r="Z4">
        <f t="shared" ref="Z4:Z67" si="2">(W4-W3)/W3</f>
        <v>-6.2127659574468058E-2</v>
      </c>
      <c r="AD4" s="46" t="s">
        <v>1586</v>
      </c>
      <c r="AE4" s="46" cm="1">
        <f t="array" ref="AE4">BSCall('T=1m'!$N$2,$C$20,O2,$K$20,$M$2)</f>
        <v>80.940833011240585</v>
      </c>
      <c r="AF4" s="46" cm="1">
        <f t="array" ref="AF4">BSCall('T=1m'!$N$2,$C$20,P2,$K$20,$M$2)</f>
        <v>14.113874440285798</v>
      </c>
      <c r="AG4" s="59"/>
    </row>
    <row r="5" spans="1:33" ht="58.2" thickBot="1" x14ac:dyDescent="0.35">
      <c r="A5" s="17" t="s">
        <v>872</v>
      </c>
      <c r="B5" s="24" t="s">
        <v>873</v>
      </c>
      <c r="C5" s="18">
        <v>35</v>
      </c>
      <c r="D5" s="24">
        <v>68.95</v>
      </c>
      <c r="E5" s="24">
        <v>73.55</v>
      </c>
      <c r="F5" s="24">
        <v>74.400000000000006</v>
      </c>
      <c r="G5" s="24">
        <v>0</v>
      </c>
      <c r="H5" s="24" t="s">
        <v>22</v>
      </c>
      <c r="I5" s="24" t="s">
        <v>22</v>
      </c>
      <c r="J5" s="24">
        <v>1</v>
      </c>
      <c r="K5" s="26">
        <v>0.94140000000000001</v>
      </c>
      <c r="L5">
        <f t="shared" si="0"/>
        <v>73.974999999999994</v>
      </c>
      <c r="R5">
        <f t="shared" si="1"/>
        <v>0.64173626793301475</v>
      </c>
      <c r="S5" s="30" t="s">
        <v>129</v>
      </c>
      <c r="T5" s="31">
        <v>115.03</v>
      </c>
      <c r="U5" s="31">
        <v>115.09</v>
      </c>
      <c r="V5" s="31">
        <v>108.71</v>
      </c>
      <c r="W5" s="31">
        <v>108.8</v>
      </c>
      <c r="X5" s="31">
        <v>108.8</v>
      </c>
      <c r="Y5" s="31" t="s">
        <v>130</v>
      </c>
      <c r="Z5">
        <f t="shared" si="2"/>
        <v>-1.2704174228675187E-2</v>
      </c>
    </row>
    <row r="6" spans="1:33" ht="58.2" thickBot="1" x14ac:dyDescent="0.35">
      <c r="A6" s="17" t="s">
        <v>874</v>
      </c>
      <c r="B6" s="24" t="s">
        <v>875</v>
      </c>
      <c r="C6" s="18">
        <v>40</v>
      </c>
      <c r="D6" s="24">
        <v>78.150000000000006</v>
      </c>
      <c r="E6" s="24">
        <v>68.099999999999994</v>
      </c>
      <c r="F6" s="24">
        <v>70</v>
      </c>
      <c r="G6" s="24">
        <v>0</v>
      </c>
      <c r="H6" s="24" t="s">
        <v>22</v>
      </c>
      <c r="I6" s="24">
        <v>4</v>
      </c>
      <c r="J6" s="24">
        <v>51</v>
      </c>
      <c r="K6" s="26">
        <v>0.84719999999999995</v>
      </c>
      <c r="L6">
        <f t="shared" si="0"/>
        <v>69.05</v>
      </c>
      <c r="R6">
        <f t="shared" si="1"/>
        <v>0.64173626793301475</v>
      </c>
      <c r="S6" s="30" t="s">
        <v>131</v>
      </c>
      <c r="T6" s="31">
        <v>115.54</v>
      </c>
      <c r="U6" s="31">
        <v>120.1</v>
      </c>
      <c r="V6" s="31">
        <v>115.54</v>
      </c>
      <c r="W6" s="31">
        <v>116.58</v>
      </c>
      <c r="X6" s="31">
        <v>116.58</v>
      </c>
      <c r="Y6" s="31" t="s">
        <v>132</v>
      </c>
      <c r="Z6">
        <f t="shared" si="2"/>
        <v>7.150735294117648E-2</v>
      </c>
    </row>
    <row r="7" spans="1:33" ht="58.2" thickBot="1" x14ac:dyDescent="0.35">
      <c r="A7" s="17" t="s">
        <v>876</v>
      </c>
      <c r="B7" s="24" t="s">
        <v>877</v>
      </c>
      <c r="C7" s="18">
        <v>45</v>
      </c>
      <c r="D7" s="24">
        <v>58.04</v>
      </c>
      <c r="E7" s="24">
        <v>63.75</v>
      </c>
      <c r="F7" s="24">
        <v>65.25</v>
      </c>
      <c r="G7" s="24">
        <v>0</v>
      </c>
      <c r="H7" s="24" t="s">
        <v>22</v>
      </c>
      <c r="I7" s="24" t="s">
        <v>22</v>
      </c>
      <c r="J7" s="24">
        <v>32</v>
      </c>
      <c r="K7" s="26">
        <v>0.79969999999999997</v>
      </c>
      <c r="L7">
        <f t="shared" si="0"/>
        <v>64.5</v>
      </c>
      <c r="R7">
        <f t="shared" si="1"/>
        <v>0.64173626793301475</v>
      </c>
      <c r="S7" s="30" t="s">
        <v>133</v>
      </c>
      <c r="T7" s="31">
        <v>118.36</v>
      </c>
      <c r="U7" s="31">
        <v>119.6</v>
      </c>
      <c r="V7" s="31">
        <v>115.74</v>
      </c>
      <c r="W7" s="31">
        <v>116.71</v>
      </c>
      <c r="X7" s="31">
        <v>116.71</v>
      </c>
      <c r="Y7" s="31" t="s">
        <v>134</v>
      </c>
      <c r="Z7">
        <f t="shared" si="2"/>
        <v>1.1151140847486315E-3</v>
      </c>
    </row>
    <row r="8" spans="1:33" ht="58.2" thickBot="1" x14ac:dyDescent="0.35">
      <c r="A8" s="17" t="s">
        <v>878</v>
      </c>
      <c r="B8" s="24" t="s">
        <v>388</v>
      </c>
      <c r="C8" s="18">
        <v>50</v>
      </c>
      <c r="D8" s="24">
        <v>63.3</v>
      </c>
      <c r="E8" s="24">
        <v>59.75</v>
      </c>
      <c r="F8" s="24">
        <v>60.7</v>
      </c>
      <c r="G8" s="24">
        <v>0</v>
      </c>
      <c r="H8" s="24" t="s">
        <v>22</v>
      </c>
      <c r="I8" s="24">
        <v>1</v>
      </c>
      <c r="J8" s="24">
        <v>255</v>
      </c>
      <c r="K8" s="26">
        <v>0.77310000000000001</v>
      </c>
      <c r="L8">
        <f t="shared" si="0"/>
        <v>60.225000000000001</v>
      </c>
      <c r="R8">
        <f t="shared" si="1"/>
        <v>0.64173626793301475</v>
      </c>
      <c r="S8" s="30" t="s">
        <v>135</v>
      </c>
      <c r="T8" s="31">
        <v>113.86</v>
      </c>
      <c r="U8" s="31">
        <v>116.23</v>
      </c>
      <c r="V8" s="31">
        <v>111.92</v>
      </c>
      <c r="W8" s="31">
        <v>115.09</v>
      </c>
      <c r="X8" s="31">
        <v>115.09</v>
      </c>
      <c r="Y8" s="31" t="s">
        <v>136</v>
      </c>
      <c r="Z8">
        <f t="shared" si="2"/>
        <v>-1.3880558649644336E-2</v>
      </c>
    </row>
    <row r="9" spans="1:33" ht="58.2" thickBot="1" x14ac:dyDescent="0.35">
      <c r="A9" s="17" t="s">
        <v>879</v>
      </c>
      <c r="B9" s="24" t="s">
        <v>880</v>
      </c>
      <c r="C9" s="18">
        <v>55</v>
      </c>
      <c r="D9" s="24">
        <v>60.35</v>
      </c>
      <c r="E9" s="24">
        <v>55.75</v>
      </c>
      <c r="F9" s="24">
        <v>56.25</v>
      </c>
      <c r="G9" s="24">
        <v>0</v>
      </c>
      <c r="H9" s="24" t="s">
        <v>22</v>
      </c>
      <c r="I9" s="24">
        <v>9</v>
      </c>
      <c r="J9" s="24">
        <v>25</v>
      </c>
      <c r="K9" s="26">
        <v>0.74450000000000005</v>
      </c>
      <c r="L9">
        <f t="shared" si="0"/>
        <v>56</v>
      </c>
      <c r="R9">
        <f t="shared" si="1"/>
        <v>0.64173626793301475</v>
      </c>
      <c r="S9" s="30" t="s">
        <v>137</v>
      </c>
      <c r="T9" s="31">
        <v>110.53</v>
      </c>
      <c r="U9" s="31">
        <v>113.86</v>
      </c>
      <c r="V9" s="31">
        <v>109.4</v>
      </c>
      <c r="W9" s="31">
        <v>112.99</v>
      </c>
      <c r="X9" s="31">
        <v>112.99</v>
      </c>
      <c r="Y9" s="31" t="s">
        <v>138</v>
      </c>
      <c r="Z9">
        <f t="shared" si="2"/>
        <v>-1.8246589625510543E-2</v>
      </c>
    </row>
    <row r="10" spans="1:33" ht="58.2" thickBot="1" x14ac:dyDescent="0.35">
      <c r="A10" s="17" t="s">
        <v>881</v>
      </c>
      <c r="B10" s="24" t="s">
        <v>882</v>
      </c>
      <c r="C10" s="18">
        <v>60</v>
      </c>
      <c r="D10" s="24">
        <v>54.95</v>
      </c>
      <c r="E10" s="24">
        <v>51</v>
      </c>
      <c r="F10" s="24">
        <v>52.1</v>
      </c>
      <c r="G10" s="24">
        <v>0</v>
      </c>
      <c r="H10" s="24" t="s">
        <v>22</v>
      </c>
      <c r="I10" s="24">
        <v>40</v>
      </c>
      <c r="J10" s="24">
        <v>362</v>
      </c>
      <c r="K10" s="26">
        <v>0.69930000000000003</v>
      </c>
      <c r="L10">
        <f t="shared" si="0"/>
        <v>51.55</v>
      </c>
      <c r="R10">
        <f t="shared" si="1"/>
        <v>0.64173626793301475</v>
      </c>
      <c r="S10" s="30" t="s">
        <v>139</v>
      </c>
      <c r="T10" s="31">
        <v>112.86</v>
      </c>
      <c r="U10" s="31">
        <v>116.5</v>
      </c>
      <c r="V10" s="31">
        <v>110.82</v>
      </c>
      <c r="W10" s="31">
        <v>115.15</v>
      </c>
      <c r="X10" s="31">
        <v>115.15</v>
      </c>
      <c r="Y10" s="31" t="s">
        <v>140</v>
      </c>
      <c r="Z10">
        <f t="shared" si="2"/>
        <v>1.9116735994335877E-2</v>
      </c>
    </row>
    <row r="11" spans="1:33" ht="58.2" thickBot="1" x14ac:dyDescent="0.35">
      <c r="A11" s="17" t="s">
        <v>883</v>
      </c>
      <c r="B11" s="24" t="s">
        <v>202</v>
      </c>
      <c r="C11" s="18">
        <v>65</v>
      </c>
      <c r="D11" s="24">
        <v>47.48</v>
      </c>
      <c r="E11" s="24">
        <v>47.45</v>
      </c>
      <c r="F11" s="24">
        <v>48</v>
      </c>
      <c r="G11" s="24">
        <v>-3.42</v>
      </c>
      <c r="H11" s="25">
        <v>-6.7199999999999996E-2</v>
      </c>
      <c r="I11" s="24">
        <v>2</v>
      </c>
      <c r="J11" s="24">
        <v>290</v>
      </c>
      <c r="K11" s="26">
        <v>0.68559999999999999</v>
      </c>
      <c r="L11">
        <f t="shared" si="0"/>
        <v>47.725000000000001</v>
      </c>
      <c r="R11">
        <f t="shared" si="1"/>
        <v>0.64173626793301475</v>
      </c>
      <c r="S11" s="30" t="s">
        <v>141</v>
      </c>
      <c r="T11" s="31">
        <v>115.7</v>
      </c>
      <c r="U11" s="31">
        <v>124.11</v>
      </c>
      <c r="V11" s="31">
        <v>112.68</v>
      </c>
      <c r="W11" s="31">
        <v>117.24</v>
      </c>
      <c r="X11" s="31">
        <v>117.24</v>
      </c>
      <c r="Y11" s="31" t="s">
        <v>142</v>
      </c>
      <c r="Z11">
        <f t="shared" si="2"/>
        <v>1.8150238818931734E-2</v>
      </c>
    </row>
    <row r="12" spans="1:33" ht="58.2" thickBot="1" x14ac:dyDescent="0.35">
      <c r="A12" s="17" t="s">
        <v>884</v>
      </c>
      <c r="B12" s="24" t="s">
        <v>83</v>
      </c>
      <c r="C12" s="18">
        <v>70</v>
      </c>
      <c r="D12" s="24">
        <v>43</v>
      </c>
      <c r="E12" s="24">
        <v>43.3</v>
      </c>
      <c r="F12" s="24">
        <v>44.1</v>
      </c>
      <c r="G12" s="24">
        <v>-5.63</v>
      </c>
      <c r="H12" s="25">
        <v>-0.1158</v>
      </c>
      <c r="I12" s="24">
        <v>1</v>
      </c>
      <c r="J12" s="24">
        <v>350</v>
      </c>
      <c r="K12" s="26">
        <v>0.65659999999999996</v>
      </c>
      <c r="L12">
        <f t="shared" si="0"/>
        <v>43.7</v>
      </c>
      <c r="R12">
        <f t="shared" si="1"/>
        <v>0.64173626793301475</v>
      </c>
      <c r="S12" s="30" t="s">
        <v>143</v>
      </c>
      <c r="T12" s="31">
        <v>114.01</v>
      </c>
      <c r="U12" s="31">
        <v>118.24</v>
      </c>
      <c r="V12" s="31">
        <v>112.37</v>
      </c>
      <c r="W12" s="31">
        <v>114.99</v>
      </c>
      <c r="X12" s="31">
        <v>114.99</v>
      </c>
      <c r="Y12" s="31" t="s">
        <v>144</v>
      </c>
      <c r="Z12">
        <f t="shared" si="2"/>
        <v>-1.9191402251791199E-2</v>
      </c>
    </row>
    <row r="13" spans="1:33" ht="58.2" thickBot="1" x14ac:dyDescent="0.35">
      <c r="A13" s="17" t="s">
        <v>885</v>
      </c>
      <c r="B13" s="24" t="s">
        <v>395</v>
      </c>
      <c r="C13" s="18">
        <v>75</v>
      </c>
      <c r="D13" s="24">
        <v>39.5</v>
      </c>
      <c r="E13" s="24">
        <v>39.4</v>
      </c>
      <c r="F13" s="24">
        <v>40.4</v>
      </c>
      <c r="G13" s="24">
        <v>-4.3</v>
      </c>
      <c r="H13" s="25">
        <v>-9.8199999999999996E-2</v>
      </c>
      <c r="I13" s="24">
        <v>3</v>
      </c>
      <c r="J13" s="24">
        <v>307</v>
      </c>
      <c r="K13" s="26">
        <v>0.63380000000000003</v>
      </c>
      <c r="L13">
        <f t="shared" si="0"/>
        <v>39.9</v>
      </c>
      <c r="R13">
        <f t="shared" si="1"/>
        <v>0.64173626793301475</v>
      </c>
      <c r="S13" s="30" t="s">
        <v>145</v>
      </c>
      <c r="T13" s="31">
        <v>102.81</v>
      </c>
      <c r="U13" s="31">
        <v>105.68</v>
      </c>
      <c r="V13" s="31">
        <v>98.7</v>
      </c>
      <c r="W13" s="31">
        <v>103.59</v>
      </c>
      <c r="X13" s="31">
        <v>103.59</v>
      </c>
      <c r="Y13" s="31" t="s">
        <v>146</v>
      </c>
      <c r="Z13">
        <f t="shared" si="2"/>
        <v>-9.9139055570049497E-2</v>
      </c>
    </row>
    <row r="14" spans="1:33" ht="58.2" thickBot="1" x14ac:dyDescent="0.35">
      <c r="A14" s="17" t="s">
        <v>886</v>
      </c>
      <c r="B14" s="24" t="s">
        <v>887</v>
      </c>
      <c r="C14" s="18">
        <v>80</v>
      </c>
      <c r="D14" s="24">
        <v>35.9</v>
      </c>
      <c r="E14" s="24">
        <v>35.65</v>
      </c>
      <c r="F14" s="24">
        <v>36.9</v>
      </c>
      <c r="G14" s="24">
        <v>-4.4000000000000004</v>
      </c>
      <c r="H14" s="25">
        <v>-0.10920000000000001</v>
      </c>
      <c r="I14" s="24">
        <v>26</v>
      </c>
      <c r="J14" s="24">
        <v>1.5620000000000001</v>
      </c>
      <c r="K14" s="26">
        <v>0.61350000000000005</v>
      </c>
      <c r="L14">
        <f t="shared" si="0"/>
        <v>36.274999999999999</v>
      </c>
      <c r="R14">
        <f t="shared" si="1"/>
        <v>0.64173626793301475</v>
      </c>
      <c r="S14" s="30" t="s">
        <v>147</v>
      </c>
      <c r="T14" s="31">
        <v>100.5</v>
      </c>
      <c r="U14" s="31">
        <v>111.74</v>
      </c>
      <c r="V14" s="31">
        <v>99.6</v>
      </c>
      <c r="W14" s="31">
        <v>108.3</v>
      </c>
      <c r="X14" s="31">
        <v>108.3</v>
      </c>
      <c r="Y14" s="31" t="s">
        <v>148</v>
      </c>
      <c r="Z14">
        <f t="shared" si="2"/>
        <v>4.5467709238343409E-2</v>
      </c>
    </row>
    <row r="15" spans="1:33" ht="58.2" thickBot="1" x14ac:dyDescent="0.35">
      <c r="A15" s="17" t="s">
        <v>888</v>
      </c>
      <c r="B15" s="24" t="s">
        <v>889</v>
      </c>
      <c r="C15" s="18">
        <v>85</v>
      </c>
      <c r="D15" s="24">
        <v>33.450000000000003</v>
      </c>
      <c r="E15" s="24">
        <v>33</v>
      </c>
      <c r="F15" s="24">
        <v>33.700000000000003</v>
      </c>
      <c r="G15" s="24">
        <v>-2.35</v>
      </c>
      <c r="H15" s="25">
        <v>-6.5600000000000006E-2</v>
      </c>
      <c r="I15" s="24">
        <v>21</v>
      </c>
      <c r="J15" s="24">
        <v>1.506</v>
      </c>
      <c r="K15" s="26">
        <v>0.61260000000000003</v>
      </c>
      <c r="L15">
        <f t="shared" si="0"/>
        <v>33.35</v>
      </c>
      <c r="R15">
        <f t="shared" si="1"/>
        <v>0.64173626793301475</v>
      </c>
      <c r="S15" s="30" t="s">
        <v>149</v>
      </c>
      <c r="T15" s="31">
        <v>99.14</v>
      </c>
      <c r="U15" s="31">
        <v>101.89</v>
      </c>
      <c r="V15" s="31">
        <v>95.77</v>
      </c>
      <c r="W15" s="31">
        <v>100.37</v>
      </c>
      <c r="X15" s="31">
        <v>100.37</v>
      </c>
      <c r="Y15" s="31" t="s">
        <v>150</v>
      </c>
      <c r="Z15">
        <f t="shared" si="2"/>
        <v>-7.3222530009233538E-2</v>
      </c>
    </row>
    <row r="16" spans="1:33" ht="58.2" thickBot="1" x14ac:dyDescent="0.35">
      <c r="A16" s="17" t="s">
        <v>890</v>
      </c>
      <c r="B16" s="24" t="s">
        <v>891</v>
      </c>
      <c r="C16" s="18">
        <v>90</v>
      </c>
      <c r="D16" s="24">
        <v>29.62</v>
      </c>
      <c r="E16" s="24">
        <v>29.6</v>
      </c>
      <c r="F16" s="24">
        <v>30.55</v>
      </c>
      <c r="G16" s="24">
        <v>-3.38</v>
      </c>
      <c r="H16" s="25">
        <v>-0.1024</v>
      </c>
      <c r="I16" s="24">
        <v>3</v>
      </c>
      <c r="J16" s="24">
        <v>2.7469999999999999</v>
      </c>
      <c r="K16" s="26">
        <v>0.59419999999999995</v>
      </c>
      <c r="L16">
        <f t="shared" si="0"/>
        <v>30.075000000000003</v>
      </c>
      <c r="R16">
        <f t="shared" si="1"/>
        <v>0.64173626793301475</v>
      </c>
      <c r="S16" s="30" t="s">
        <v>151</v>
      </c>
      <c r="T16" s="31">
        <v>92</v>
      </c>
      <c r="U16" s="31">
        <v>105.74</v>
      </c>
      <c r="V16" s="31">
        <v>87.12</v>
      </c>
      <c r="W16" s="31">
        <v>104.98</v>
      </c>
      <c r="X16" s="31">
        <v>104.98</v>
      </c>
      <c r="Y16" s="31" t="s">
        <v>152</v>
      </c>
      <c r="Z16">
        <f t="shared" si="2"/>
        <v>4.5930058782504724E-2</v>
      </c>
    </row>
    <row r="17" spans="1:26" ht="58.2" thickBot="1" x14ac:dyDescent="0.35">
      <c r="A17" s="17" t="s">
        <v>892</v>
      </c>
      <c r="B17" s="24" t="s">
        <v>893</v>
      </c>
      <c r="C17" s="18">
        <v>95</v>
      </c>
      <c r="D17" s="24">
        <v>27</v>
      </c>
      <c r="E17" s="24">
        <v>26.55</v>
      </c>
      <c r="F17" s="24">
        <v>27.45</v>
      </c>
      <c r="G17" s="24">
        <v>-3.6</v>
      </c>
      <c r="H17" s="25">
        <v>-0.1176</v>
      </c>
      <c r="I17" s="24">
        <v>1</v>
      </c>
      <c r="J17" s="24">
        <v>577</v>
      </c>
      <c r="K17" s="26">
        <v>0.57769999999999999</v>
      </c>
      <c r="L17">
        <f t="shared" si="0"/>
        <v>27</v>
      </c>
      <c r="R17">
        <f t="shared" si="1"/>
        <v>0.64173626793301475</v>
      </c>
      <c r="S17" s="30" t="s">
        <v>153</v>
      </c>
      <c r="T17" s="31">
        <v>75.099999999999994</v>
      </c>
      <c r="U17" s="31">
        <v>80.14</v>
      </c>
      <c r="V17" s="31">
        <v>73.28</v>
      </c>
      <c r="W17" s="31">
        <v>76.760000000000005</v>
      </c>
      <c r="X17" s="31">
        <v>76.760000000000005</v>
      </c>
      <c r="Y17" s="31" t="s">
        <v>154</v>
      </c>
      <c r="Z17">
        <f t="shared" si="2"/>
        <v>-0.26881310725852542</v>
      </c>
    </row>
    <row r="18" spans="1:26" ht="58.2" thickBot="1" x14ac:dyDescent="0.35">
      <c r="A18" s="17" t="s">
        <v>894</v>
      </c>
      <c r="B18" s="24" t="s">
        <v>895</v>
      </c>
      <c r="C18" s="18">
        <v>100</v>
      </c>
      <c r="D18" s="24">
        <v>24.6</v>
      </c>
      <c r="E18" s="24">
        <v>23.95</v>
      </c>
      <c r="F18" s="24">
        <v>24.7</v>
      </c>
      <c r="G18" s="24">
        <v>-2.2000000000000002</v>
      </c>
      <c r="H18" s="25">
        <v>-8.2100000000000006E-2</v>
      </c>
      <c r="I18" s="24">
        <v>75</v>
      </c>
      <c r="J18" s="24">
        <v>11.441000000000001</v>
      </c>
      <c r="K18" s="26">
        <v>0.56840000000000002</v>
      </c>
      <c r="L18">
        <f t="shared" si="0"/>
        <v>24.324999999999999</v>
      </c>
      <c r="R18">
        <f t="shared" si="1"/>
        <v>0.64173626793301475</v>
      </c>
      <c r="S18" s="30" t="s">
        <v>155</v>
      </c>
      <c r="T18" s="31">
        <v>80.7</v>
      </c>
      <c r="U18" s="31">
        <v>82.45</v>
      </c>
      <c r="V18" s="31">
        <v>77.08</v>
      </c>
      <c r="W18" s="31">
        <v>77.760000000000005</v>
      </c>
      <c r="X18" s="31">
        <v>77.760000000000005</v>
      </c>
      <c r="Y18" s="31" t="s">
        <v>156</v>
      </c>
      <c r="Z18">
        <f t="shared" si="2"/>
        <v>1.3027618551328815E-2</v>
      </c>
    </row>
    <row r="19" spans="1:26" ht="58.2" thickBot="1" x14ac:dyDescent="0.35">
      <c r="A19" s="17" t="s">
        <v>896</v>
      </c>
      <c r="B19" s="24" t="s">
        <v>897</v>
      </c>
      <c r="C19" s="18">
        <v>105</v>
      </c>
      <c r="D19" s="24">
        <v>21.75</v>
      </c>
      <c r="E19" s="24">
        <v>21.8</v>
      </c>
      <c r="F19" s="24">
        <v>22.25</v>
      </c>
      <c r="G19" s="24">
        <v>-2.02</v>
      </c>
      <c r="H19" s="25">
        <v>-8.5000000000000006E-2</v>
      </c>
      <c r="I19" s="24">
        <v>4</v>
      </c>
      <c r="J19" s="24">
        <v>1.0049999999999999</v>
      </c>
      <c r="K19" s="26">
        <v>0.56459999999999999</v>
      </c>
      <c r="L19">
        <f t="shared" si="0"/>
        <v>22.024999999999999</v>
      </c>
      <c r="R19">
        <f t="shared" si="1"/>
        <v>0.64173626793301475</v>
      </c>
      <c r="S19" s="30" t="s">
        <v>157</v>
      </c>
      <c r="T19" s="31">
        <v>93.26</v>
      </c>
      <c r="U19" s="31">
        <v>93.95</v>
      </c>
      <c r="V19" s="31">
        <v>86.68</v>
      </c>
      <c r="W19" s="31">
        <v>86.71</v>
      </c>
      <c r="X19" s="31">
        <v>86.71</v>
      </c>
      <c r="Y19" s="31" t="s">
        <v>158</v>
      </c>
      <c r="Z19">
        <f t="shared" si="2"/>
        <v>0.11509773662551424</v>
      </c>
    </row>
    <row r="20" spans="1:26" ht="58.2" thickBot="1" x14ac:dyDescent="0.35">
      <c r="A20" s="40" t="s">
        <v>898</v>
      </c>
      <c r="B20" s="41" t="s">
        <v>899</v>
      </c>
      <c r="C20" s="42">
        <v>110</v>
      </c>
      <c r="D20" s="41">
        <v>19.850000000000001</v>
      </c>
      <c r="E20" s="41">
        <v>19.600000000000001</v>
      </c>
      <c r="F20" s="41">
        <v>20.05</v>
      </c>
      <c r="G20" s="41">
        <v>-1.61</v>
      </c>
      <c r="H20" s="43">
        <v>-7.4999999999999997E-2</v>
      </c>
      <c r="I20" s="41">
        <v>10</v>
      </c>
      <c r="J20" s="41">
        <v>1.796</v>
      </c>
      <c r="K20" s="47">
        <v>0.55879999999999996</v>
      </c>
      <c r="L20" s="48">
        <f t="shared" si="0"/>
        <v>19.825000000000003</v>
      </c>
      <c r="M20" s="39"/>
      <c r="R20">
        <f t="shared" si="1"/>
        <v>0.64173626793301475</v>
      </c>
      <c r="S20" s="30" t="s">
        <v>159</v>
      </c>
      <c r="T20" s="31">
        <v>95.19</v>
      </c>
      <c r="U20" s="31">
        <v>95.7</v>
      </c>
      <c r="V20" s="31">
        <v>90.82</v>
      </c>
      <c r="W20" s="31">
        <v>92.92</v>
      </c>
      <c r="X20" s="31">
        <v>92.92</v>
      </c>
      <c r="Y20" s="31" t="s">
        <v>160</v>
      </c>
      <c r="Z20">
        <f t="shared" si="2"/>
        <v>7.1618037135278617E-2</v>
      </c>
    </row>
    <row r="21" spans="1:26" ht="58.2" thickBot="1" x14ac:dyDescent="0.35">
      <c r="A21" s="17" t="s">
        <v>900</v>
      </c>
      <c r="B21" s="24" t="s">
        <v>901</v>
      </c>
      <c r="C21" s="18">
        <v>115</v>
      </c>
      <c r="D21" s="24">
        <v>17.350000000000001</v>
      </c>
      <c r="E21" s="24">
        <v>17.45</v>
      </c>
      <c r="F21" s="24">
        <v>17.899999999999999</v>
      </c>
      <c r="G21" s="24">
        <v>-2.31</v>
      </c>
      <c r="H21" s="25">
        <v>-0.11749999999999999</v>
      </c>
      <c r="I21" s="24">
        <v>6</v>
      </c>
      <c r="J21" s="24">
        <v>2</v>
      </c>
      <c r="K21" s="26">
        <v>0.54990000000000006</v>
      </c>
      <c r="L21">
        <f t="shared" si="0"/>
        <v>17.674999999999997</v>
      </c>
      <c r="R21">
        <f t="shared" si="1"/>
        <v>0.64173626793301475</v>
      </c>
      <c r="S21" s="30" t="s">
        <v>161</v>
      </c>
      <c r="T21" s="31">
        <v>100.26</v>
      </c>
      <c r="U21" s="31">
        <v>100.97</v>
      </c>
      <c r="V21" s="31">
        <v>98.32</v>
      </c>
      <c r="W21" s="31">
        <v>100.93</v>
      </c>
      <c r="X21" s="31">
        <v>100.93</v>
      </c>
      <c r="Y21" s="31" t="s">
        <v>162</v>
      </c>
      <c r="Z21">
        <f t="shared" si="2"/>
        <v>8.6203185535944957E-2</v>
      </c>
    </row>
    <row r="22" spans="1:26" ht="58.2" thickBot="1" x14ac:dyDescent="0.35">
      <c r="A22" s="17" t="s">
        <v>902</v>
      </c>
      <c r="B22" s="24" t="s">
        <v>903</v>
      </c>
      <c r="C22" s="18">
        <v>120</v>
      </c>
      <c r="D22" s="24">
        <v>15.89</v>
      </c>
      <c r="E22" s="24">
        <v>15.65</v>
      </c>
      <c r="F22" s="24">
        <v>15.95</v>
      </c>
      <c r="G22" s="24">
        <v>-1.62</v>
      </c>
      <c r="H22" s="25">
        <v>-9.2499999999999999E-2</v>
      </c>
      <c r="I22" s="24">
        <v>39</v>
      </c>
      <c r="J22" s="24">
        <v>8.5210000000000008</v>
      </c>
      <c r="K22" s="26">
        <v>0.54410000000000003</v>
      </c>
      <c r="L22">
        <f t="shared" si="0"/>
        <v>15.8</v>
      </c>
      <c r="R22">
        <f t="shared" si="1"/>
        <v>0.64173626793301475</v>
      </c>
      <c r="S22" s="30" t="s">
        <v>163</v>
      </c>
      <c r="T22" s="31">
        <v>99.32</v>
      </c>
      <c r="U22" s="31">
        <v>100.91</v>
      </c>
      <c r="V22" s="31">
        <v>95.57</v>
      </c>
      <c r="W22" s="31">
        <v>97.5</v>
      </c>
      <c r="X22" s="31">
        <v>97.5</v>
      </c>
      <c r="Y22" s="31" t="s">
        <v>164</v>
      </c>
      <c r="Z22">
        <f t="shared" si="2"/>
        <v>-3.3983949271772583E-2</v>
      </c>
    </row>
    <row r="23" spans="1:26" ht="58.2" thickBot="1" x14ac:dyDescent="0.35">
      <c r="A23" s="17" t="s">
        <v>904</v>
      </c>
      <c r="B23" s="24" t="s">
        <v>575</v>
      </c>
      <c r="C23" s="18">
        <v>125</v>
      </c>
      <c r="D23" s="24">
        <v>13.5</v>
      </c>
      <c r="E23" s="24">
        <v>14</v>
      </c>
      <c r="F23" s="24">
        <v>14.3</v>
      </c>
      <c r="G23" s="24">
        <v>-2.16</v>
      </c>
      <c r="H23" s="25">
        <v>-0.13789999999999999</v>
      </c>
      <c r="I23" s="24">
        <v>14</v>
      </c>
      <c r="J23" s="24">
        <v>5.4039999999999999</v>
      </c>
      <c r="K23" s="26">
        <v>0.54020000000000001</v>
      </c>
      <c r="L23">
        <f t="shared" si="0"/>
        <v>14.15</v>
      </c>
      <c r="R23">
        <f t="shared" si="1"/>
        <v>0.64173626793301475</v>
      </c>
      <c r="S23" s="30" t="s">
        <v>165</v>
      </c>
      <c r="T23" s="31">
        <v>99.56</v>
      </c>
      <c r="U23" s="31">
        <v>103.36</v>
      </c>
      <c r="V23" s="31">
        <v>98.6</v>
      </c>
      <c r="W23" s="31">
        <v>98.66</v>
      </c>
      <c r="X23" s="31">
        <v>98.66</v>
      </c>
      <c r="Y23" s="31" t="s">
        <v>166</v>
      </c>
      <c r="Z23">
        <f t="shared" si="2"/>
        <v>1.1897435897435863E-2</v>
      </c>
    </row>
    <row r="24" spans="1:26" ht="58.2" thickBot="1" x14ac:dyDescent="0.35">
      <c r="A24" s="17" t="s">
        <v>905</v>
      </c>
      <c r="B24" s="24" t="s">
        <v>906</v>
      </c>
      <c r="C24" s="18">
        <v>130</v>
      </c>
      <c r="D24" s="24">
        <v>12.75</v>
      </c>
      <c r="E24" s="24">
        <v>12.45</v>
      </c>
      <c r="F24" s="24">
        <v>12.8</v>
      </c>
      <c r="G24" s="24">
        <v>-1.2</v>
      </c>
      <c r="H24" s="25">
        <v>-8.5999999999999993E-2</v>
      </c>
      <c r="I24" s="24">
        <v>54</v>
      </c>
      <c r="J24" s="24">
        <v>8.0139999999999993</v>
      </c>
      <c r="K24" s="26">
        <v>0.53590000000000004</v>
      </c>
      <c r="L24">
        <f t="shared" si="0"/>
        <v>12.625</v>
      </c>
      <c r="R24">
        <f t="shared" si="1"/>
        <v>0.64173626793301475</v>
      </c>
      <c r="S24" s="30" t="s">
        <v>256</v>
      </c>
      <c r="T24" s="31">
        <v>100.29</v>
      </c>
      <c r="U24" s="31">
        <v>104.39</v>
      </c>
      <c r="V24" s="31">
        <v>99.33</v>
      </c>
      <c r="W24" s="31">
        <v>100.6</v>
      </c>
      <c r="X24" s="31">
        <v>100.6</v>
      </c>
      <c r="Y24" s="31" t="s">
        <v>257</v>
      </c>
      <c r="Z24">
        <f t="shared" si="2"/>
        <v>1.9663490776403787E-2</v>
      </c>
    </row>
    <row r="25" spans="1:26" ht="58.2" thickBot="1" x14ac:dyDescent="0.35">
      <c r="A25" s="17" t="s">
        <v>907</v>
      </c>
      <c r="B25" s="24" t="s">
        <v>375</v>
      </c>
      <c r="C25" s="18">
        <v>135</v>
      </c>
      <c r="D25" s="24">
        <v>11.1</v>
      </c>
      <c r="E25" s="24">
        <v>11.05</v>
      </c>
      <c r="F25" s="24">
        <v>11.4</v>
      </c>
      <c r="G25" s="24">
        <v>-1.45</v>
      </c>
      <c r="H25" s="25">
        <v>-0.11550000000000001</v>
      </c>
      <c r="I25" s="24">
        <v>3</v>
      </c>
      <c r="J25" s="24">
        <v>5.4189999999999996</v>
      </c>
      <c r="K25" s="26">
        <v>0.53120000000000001</v>
      </c>
      <c r="L25">
        <f t="shared" si="0"/>
        <v>11.225000000000001</v>
      </c>
      <c r="R25">
        <f t="shared" si="1"/>
        <v>0.64173626793301475</v>
      </c>
      <c r="S25" s="30" t="s">
        <v>258</v>
      </c>
      <c r="T25" s="31">
        <v>106.03</v>
      </c>
      <c r="U25" s="31">
        <v>106.63</v>
      </c>
      <c r="V25" s="31">
        <v>101.07</v>
      </c>
      <c r="W25" s="31">
        <v>102.05</v>
      </c>
      <c r="X25" s="31">
        <v>102.05</v>
      </c>
      <c r="Y25" s="31" t="s">
        <v>259</v>
      </c>
      <c r="Z25">
        <f t="shared" si="2"/>
        <v>1.441351888667995E-2</v>
      </c>
    </row>
    <row r="26" spans="1:26" ht="58.2" thickBot="1" x14ac:dyDescent="0.35">
      <c r="A26" s="17" t="s">
        <v>908</v>
      </c>
      <c r="B26" s="24" t="s">
        <v>909</v>
      </c>
      <c r="C26" s="18">
        <v>140</v>
      </c>
      <c r="D26" s="24">
        <v>9.9</v>
      </c>
      <c r="E26" s="24">
        <v>9.85</v>
      </c>
      <c r="F26" s="24">
        <v>10.1</v>
      </c>
      <c r="G26" s="24">
        <v>-1.2</v>
      </c>
      <c r="H26" s="25">
        <v>-0.1081</v>
      </c>
      <c r="I26" s="24">
        <v>144</v>
      </c>
      <c r="J26" s="24">
        <v>14.458</v>
      </c>
      <c r="K26" s="26">
        <v>0.5272</v>
      </c>
      <c r="L26">
        <f t="shared" si="0"/>
        <v>9.9749999999999996</v>
      </c>
      <c r="R26">
        <f t="shared" si="1"/>
        <v>0.64173626793301475</v>
      </c>
      <c r="S26" s="30" t="s">
        <v>260</v>
      </c>
      <c r="T26" s="31">
        <v>107.39</v>
      </c>
      <c r="U26" s="31">
        <v>107.39</v>
      </c>
      <c r="V26" s="31">
        <v>103.24</v>
      </c>
      <c r="W26" s="31">
        <v>105.42</v>
      </c>
      <c r="X26" s="31">
        <v>105.42</v>
      </c>
      <c r="Y26" s="31" t="s">
        <v>261</v>
      </c>
      <c r="Z26">
        <f t="shared" si="2"/>
        <v>3.302302792748657E-2</v>
      </c>
    </row>
    <row r="27" spans="1:26" ht="58.2" thickBot="1" x14ac:dyDescent="0.35">
      <c r="A27" s="17" t="s">
        <v>910</v>
      </c>
      <c r="B27" s="24" t="s">
        <v>911</v>
      </c>
      <c r="C27" s="18">
        <v>145</v>
      </c>
      <c r="D27" s="24">
        <v>8.65</v>
      </c>
      <c r="E27" s="24">
        <v>8.75</v>
      </c>
      <c r="F27" s="24">
        <v>9</v>
      </c>
      <c r="G27" s="24">
        <v>-1.2</v>
      </c>
      <c r="H27" s="25">
        <v>-0.12180000000000001</v>
      </c>
      <c r="I27" s="24">
        <v>4</v>
      </c>
      <c r="J27" s="24">
        <v>5.0759999999999996</v>
      </c>
      <c r="K27" s="26">
        <v>0.5242</v>
      </c>
      <c r="L27">
        <f t="shared" si="0"/>
        <v>8.875</v>
      </c>
      <c r="R27">
        <f t="shared" si="1"/>
        <v>0.64173626793301475</v>
      </c>
      <c r="S27" s="30" t="s">
        <v>262</v>
      </c>
      <c r="T27" s="31">
        <v>105.85</v>
      </c>
      <c r="U27" s="31">
        <v>111.25</v>
      </c>
      <c r="V27" s="31">
        <v>105.85</v>
      </c>
      <c r="W27" s="31">
        <v>107.09</v>
      </c>
      <c r="X27" s="31">
        <v>107.09</v>
      </c>
      <c r="Y27" s="31" t="s">
        <v>263</v>
      </c>
      <c r="Z27">
        <f t="shared" si="2"/>
        <v>1.5841396319483985E-2</v>
      </c>
    </row>
    <row r="28" spans="1:26" ht="58.2" thickBot="1" x14ac:dyDescent="0.35">
      <c r="A28" s="17" t="s">
        <v>912</v>
      </c>
      <c r="B28" s="24" t="s">
        <v>909</v>
      </c>
      <c r="C28" s="18">
        <v>150</v>
      </c>
      <c r="D28" s="24">
        <v>7.72</v>
      </c>
      <c r="E28" s="24">
        <v>7.8</v>
      </c>
      <c r="F28" s="24">
        <v>7.95</v>
      </c>
      <c r="G28" s="24">
        <v>-1.1299999999999999</v>
      </c>
      <c r="H28" s="25">
        <v>-0.12770000000000001</v>
      </c>
      <c r="I28" s="24">
        <v>76</v>
      </c>
      <c r="J28" s="24">
        <v>17.998999999999999</v>
      </c>
      <c r="K28" s="26">
        <v>0.52100000000000002</v>
      </c>
      <c r="L28">
        <f t="shared" si="0"/>
        <v>7.875</v>
      </c>
      <c r="R28">
        <f t="shared" si="1"/>
        <v>0.64173626793301475</v>
      </c>
      <c r="S28" s="30" t="s">
        <v>264</v>
      </c>
      <c r="T28" s="31">
        <v>105.97</v>
      </c>
      <c r="U28" s="31">
        <v>107.49</v>
      </c>
      <c r="V28" s="31">
        <v>103.64</v>
      </c>
      <c r="W28" s="31">
        <v>105.19</v>
      </c>
      <c r="X28" s="31">
        <v>105.19</v>
      </c>
      <c r="Y28" s="31" t="s">
        <v>265</v>
      </c>
      <c r="Z28">
        <f t="shared" si="2"/>
        <v>-1.7742086095807318E-2</v>
      </c>
    </row>
    <row r="29" spans="1:26" ht="58.2" thickBot="1" x14ac:dyDescent="0.35">
      <c r="A29" s="17" t="s">
        <v>913</v>
      </c>
      <c r="B29" s="24" t="s">
        <v>383</v>
      </c>
      <c r="C29" s="18">
        <v>155</v>
      </c>
      <c r="D29" s="24">
        <v>7</v>
      </c>
      <c r="E29" s="24">
        <v>6.9</v>
      </c>
      <c r="F29" s="24">
        <v>7.15</v>
      </c>
      <c r="G29" s="24">
        <v>-0.89</v>
      </c>
      <c r="H29" s="25">
        <v>-0.1128</v>
      </c>
      <c r="I29" s="24">
        <v>2</v>
      </c>
      <c r="J29" s="24">
        <v>4.9610000000000003</v>
      </c>
      <c r="K29" s="26">
        <v>0.51939999999999997</v>
      </c>
      <c r="L29">
        <f t="shared" si="0"/>
        <v>7.0250000000000004</v>
      </c>
      <c r="R29">
        <f t="shared" si="1"/>
        <v>0.64173626793301475</v>
      </c>
      <c r="S29" s="30" t="s">
        <v>266</v>
      </c>
      <c r="T29" s="31">
        <v>107.89</v>
      </c>
      <c r="U29" s="31">
        <v>108.55</v>
      </c>
      <c r="V29" s="31">
        <v>104</v>
      </c>
      <c r="W29" s="31">
        <v>107.94</v>
      </c>
      <c r="X29" s="31">
        <v>107.94</v>
      </c>
      <c r="Y29" s="31" t="s">
        <v>267</v>
      </c>
      <c r="Z29">
        <f t="shared" si="2"/>
        <v>2.6143169502804448E-2</v>
      </c>
    </row>
    <row r="30" spans="1:26" ht="58.2" thickBot="1" x14ac:dyDescent="0.35">
      <c r="A30" s="17" t="s">
        <v>914</v>
      </c>
      <c r="B30" s="24" t="s">
        <v>915</v>
      </c>
      <c r="C30" s="18">
        <v>160</v>
      </c>
      <c r="D30" s="24">
        <v>6</v>
      </c>
      <c r="E30" s="24">
        <v>6.15</v>
      </c>
      <c r="F30" s="24">
        <v>6.35</v>
      </c>
      <c r="G30" s="24">
        <v>-0.89</v>
      </c>
      <c r="H30" s="25">
        <v>-0.12920000000000001</v>
      </c>
      <c r="I30" s="24">
        <v>12</v>
      </c>
      <c r="J30" s="24">
        <v>11.048</v>
      </c>
      <c r="K30" s="26">
        <v>0.51739999999999997</v>
      </c>
      <c r="L30">
        <f t="shared" si="0"/>
        <v>6.25</v>
      </c>
      <c r="R30">
        <f t="shared" si="1"/>
        <v>0.64173626793301475</v>
      </c>
      <c r="S30" s="30" t="s">
        <v>268</v>
      </c>
      <c r="T30" s="31">
        <v>100.07</v>
      </c>
      <c r="U30" s="31">
        <v>108.95</v>
      </c>
      <c r="V30" s="31">
        <v>100.02</v>
      </c>
      <c r="W30" s="31">
        <v>108.93</v>
      </c>
      <c r="X30" s="31">
        <v>108.93</v>
      </c>
      <c r="Y30" s="31" t="s">
        <v>269</v>
      </c>
      <c r="Z30">
        <f t="shared" si="2"/>
        <v>9.1717620900501114E-3</v>
      </c>
    </row>
    <row r="31" spans="1:26" ht="58.2" thickBot="1" x14ac:dyDescent="0.35">
      <c r="A31" s="17" t="s">
        <v>916</v>
      </c>
      <c r="B31" s="24" t="s">
        <v>917</v>
      </c>
      <c r="C31" s="18">
        <v>165</v>
      </c>
      <c r="D31" s="24">
        <v>5.4</v>
      </c>
      <c r="E31" s="24">
        <v>5.45</v>
      </c>
      <c r="F31" s="24">
        <v>5.65</v>
      </c>
      <c r="G31" s="24">
        <v>-0.77</v>
      </c>
      <c r="H31" s="25">
        <v>-0.12479999999999999</v>
      </c>
      <c r="I31" s="24">
        <v>1</v>
      </c>
      <c r="J31" s="24">
        <v>4.117</v>
      </c>
      <c r="K31" s="26">
        <v>0.51529999999999998</v>
      </c>
      <c r="L31">
        <f t="shared" si="0"/>
        <v>5.5500000000000007</v>
      </c>
      <c r="R31">
        <f t="shared" si="1"/>
        <v>0.64173626793301475</v>
      </c>
      <c r="S31" s="30" t="s">
        <v>270</v>
      </c>
      <c r="T31" s="31">
        <v>115.1</v>
      </c>
      <c r="U31" s="31">
        <v>115.4</v>
      </c>
      <c r="V31" s="31">
        <v>109.6</v>
      </c>
      <c r="W31" s="31">
        <v>109.72</v>
      </c>
      <c r="X31" s="31">
        <v>109.72</v>
      </c>
      <c r="Y31" s="31" t="s">
        <v>271</v>
      </c>
      <c r="Z31">
        <f t="shared" si="2"/>
        <v>7.252363903424144E-3</v>
      </c>
    </row>
    <row r="32" spans="1:26" ht="58.2" thickBot="1" x14ac:dyDescent="0.35">
      <c r="A32" s="17" t="s">
        <v>918</v>
      </c>
      <c r="B32" s="24" t="s">
        <v>919</v>
      </c>
      <c r="C32" s="18">
        <v>170</v>
      </c>
      <c r="D32" s="24">
        <v>4.8</v>
      </c>
      <c r="E32" s="24">
        <v>4.5999999999999996</v>
      </c>
      <c r="F32" s="24">
        <v>5.05</v>
      </c>
      <c r="G32" s="24">
        <v>-0.78</v>
      </c>
      <c r="H32" s="25">
        <v>-0.13980000000000001</v>
      </c>
      <c r="I32" s="24">
        <v>12</v>
      </c>
      <c r="J32" s="24">
        <v>18.715</v>
      </c>
      <c r="K32" s="26">
        <v>0.50960000000000005</v>
      </c>
      <c r="L32">
        <f t="shared" si="0"/>
        <v>4.8249999999999993</v>
      </c>
      <c r="R32">
        <f t="shared" si="1"/>
        <v>0.64173626793301475</v>
      </c>
      <c r="S32" s="30" t="s">
        <v>272</v>
      </c>
      <c r="T32" s="31">
        <v>114</v>
      </c>
      <c r="U32" s="31">
        <v>114.85</v>
      </c>
      <c r="V32" s="31">
        <v>112.06</v>
      </c>
      <c r="W32" s="31">
        <v>112.93</v>
      </c>
      <c r="X32" s="31">
        <v>112.93</v>
      </c>
      <c r="Y32" s="31" t="s">
        <v>273</v>
      </c>
      <c r="Z32">
        <f t="shared" si="2"/>
        <v>2.9256288734961795E-2</v>
      </c>
    </row>
    <row r="33" spans="1:26" ht="58.2" thickBot="1" x14ac:dyDescent="0.35">
      <c r="A33" s="17" t="s">
        <v>920</v>
      </c>
      <c r="B33" s="24" t="s">
        <v>921</v>
      </c>
      <c r="C33" s="18">
        <v>175</v>
      </c>
      <c r="D33" s="24">
        <v>4.25</v>
      </c>
      <c r="E33" s="24">
        <v>4.3</v>
      </c>
      <c r="F33" s="24">
        <v>4.5</v>
      </c>
      <c r="G33" s="24">
        <v>-0.75</v>
      </c>
      <c r="H33" s="25">
        <v>-0.15</v>
      </c>
      <c r="I33" s="24">
        <v>10</v>
      </c>
      <c r="J33" s="24">
        <v>1.851</v>
      </c>
      <c r="K33" s="26">
        <v>0.51259999999999994</v>
      </c>
      <c r="L33">
        <f t="shared" si="0"/>
        <v>4.4000000000000004</v>
      </c>
      <c r="R33">
        <f t="shared" si="1"/>
        <v>0.64173626793301475</v>
      </c>
      <c r="S33" s="30" t="s">
        <v>274</v>
      </c>
      <c r="T33" s="31">
        <v>120.88</v>
      </c>
      <c r="U33" s="31">
        <v>120.88</v>
      </c>
      <c r="V33" s="31">
        <v>117.2</v>
      </c>
      <c r="W33" s="31">
        <v>118.99</v>
      </c>
      <c r="X33" s="31">
        <v>118.99</v>
      </c>
      <c r="Y33" s="31" t="s">
        <v>275</v>
      </c>
      <c r="Z33">
        <f t="shared" si="2"/>
        <v>5.3661560258567144E-2</v>
      </c>
    </row>
    <row r="34" spans="1:26" ht="58.2" thickBot="1" x14ac:dyDescent="0.35">
      <c r="A34" s="17" t="s">
        <v>922</v>
      </c>
      <c r="B34" s="24" t="s">
        <v>923</v>
      </c>
      <c r="C34" s="18">
        <v>180</v>
      </c>
      <c r="D34" s="24">
        <v>3.75</v>
      </c>
      <c r="E34" s="24">
        <v>3.85</v>
      </c>
      <c r="F34" s="24">
        <v>4</v>
      </c>
      <c r="G34" s="24">
        <v>-0.75</v>
      </c>
      <c r="H34" s="25">
        <v>-0.16669999999999999</v>
      </c>
      <c r="I34" s="24">
        <v>27</v>
      </c>
      <c r="J34" s="24">
        <v>5.4710000000000001</v>
      </c>
      <c r="K34" s="26">
        <v>0.51170000000000004</v>
      </c>
      <c r="L34">
        <f t="shared" si="0"/>
        <v>3.9249999999999998</v>
      </c>
      <c r="R34">
        <f t="shared" si="1"/>
        <v>0.64173626793301475</v>
      </c>
      <c r="S34" s="30" t="s">
        <v>276</v>
      </c>
      <c r="T34" s="31">
        <v>125</v>
      </c>
      <c r="U34" s="31">
        <v>129.4</v>
      </c>
      <c r="V34" s="31">
        <v>124.06</v>
      </c>
      <c r="W34" s="31">
        <v>124.43</v>
      </c>
      <c r="X34" s="31">
        <v>124.43</v>
      </c>
      <c r="Y34" s="31" t="s">
        <v>277</v>
      </c>
      <c r="Z34">
        <f t="shared" si="2"/>
        <v>4.5718127573745798E-2</v>
      </c>
    </row>
    <row r="35" spans="1:26" ht="58.2" thickBot="1" x14ac:dyDescent="0.35">
      <c r="A35" s="17" t="s">
        <v>924</v>
      </c>
      <c r="B35" s="24" t="s">
        <v>925</v>
      </c>
      <c r="C35" s="18">
        <v>185</v>
      </c>
      <c r="D35" s="24">
        <v>3.41</v>
      </c>
      <c r="E35" s="24">
        <v>3.45</v>
      </c>
      <c r="F35" s="24">
        <v>3.6</v>
      </c>
      <c r="G35" s="24">
        <v>-0.54</v>
      </c>
      <c r="H35" s="25">
        <v>-0.13669999999999999</v>
      </c>
      <c r="I35" s="24">
        <v>2</v>
      </c>
      <c r="J35" s="24">
        <v>1.7829999999999999</v>
      </c>
      <c r="K35" s="26">
        <v>0.51180000000000003</v>
      </c>
      <c r="L35">
        <f t="shared" si="0"/>
        <v>3.5250000000000004</v>
      </c>
      <c r="R35">
        <f t="shared" si="1"/>
        <v>0.64173626793301475</v>
      </c>
      <c r="S35" s="30" t="s">
        <v>278</v>
      </c>
      <c r="T35" s="31">
        <v>125.61</v>
      </c>
      <c r="U35" s="31">
        <v>127.58</v>
      </c>
      <c r="V35" s="31">
        <v>124.51</v>
      </c>
      <c r="W35" s="31">
        <v>125.56</v>
      </c>
      <c r="X35" s="31">
        <v>125.56</v>
      </c>
      <c r="Y35" s="31" t="s">
        <v>279</v>
      </c>
      <c r="Z35">
        <f t="shared" si="2"/>
        <v>9.0814112352326243E-3</v>
      </c>
    </row>
    <row r="36" spans="1:26" ht="58.2" thickBot="1" x14ac:dyDescent="0.35">
      <c r="A36" s="17" t="s">
        <v>926</v>
      </c>
      <c r="B36" s="24" t="s">
        <v>927</v>
      </c>
      <c r="C36" s="18">
        <v>190</v>
      </c>
      <c r="D36" s="24">
        <v>3.05</v>
      </c>
      <c r="E36" s="24">
        <v>3.1</v>
      </c>
      <c r="F36" s="24">
        <v>3.25</v>
      </c>
      <c r="G36" s="24">
        <v>-0.6</v>
      </c>
      <c r="H36" s="25">
        <v>-0.16439999999999999</v>
      </c>
      <c r="I36" s="24">
        <v>33</v>
      </c>
      <c r="J36" s="24">
        <v>9.218</v>
      </c>
      <c r="K36" s="26">
        <v>0.51229999999999998</v>
      </c>
      <c r="L36">
        <f t="shared" si="0"/>
        <v>3.1749999999999998</v>
      </c>
      <c r="R36">
        <f t="shared" si="1"/>
        <v>0.64173626793301475</v>
      </c>
      <c r="S36" s="30" t="s">
        <v>280</v>
      </c>
      <c r="T36" s="31">
        <v>123.77</v>
      </c>
      <c r="U36" s="31">
        <v>126.81</v>
      </c>
      <c r="V36" s="31">
        <v>123.38</v>
      </c>
      <c r="W36" s="31">
        <v>126.24</v>
      </c>
      <c r="X36" s="31">
        <v>126.24</v>
      </c>
      <c r="Y36" s="31" t="s">
        <v>281</v>
      </c>
      <c r="Z36">
        <f t="shared" si="2"/>
        <v>5.415737496017781E-3</v>
      </c>
    </row>
    <row r="37" spans="1:26" ht="58.2" thickBot="1" x14ac:dyDescent="0.35">
      <c r="A37" s="17" t="s">
        <v>928</v>
      </c>
      <c r="B37" s="24" t="s">
        <v>929</v>
      </c>
      <c r="C37" s="18">
        <v>195</v>
      </c>
      <c r="D37" s="24">
        <v>3.21</v>
      </c>
      <c r="E37" s="24">
        <v>2.78</v>
      </c>
      <c r="F37" s="24">
        <v>2.9</v>
      </c>
      <c r="G37" s="24">
        <v>0</v>
      </c>
      <c r="H37" s="24" t="s">
        <v>22</v>
      </c>
      <c r="I37" s="24">
        <v>35</v>
      </c>
      <c r="J37" s="24">
        <v>3.0510000000000002</v>
      </c>
      <c r="K37" s="26">
        <v>0.51180000000000003</v>
      </c>
      <c r="L37">
        <f t="shared" si="0"/>
        <v>2.84</v>
      </c>
      <c r="R37">
        <f t="shared" si="1"/>
        <v>0.64173626793301475</v>
      </c>
      <c r="S37" s="30" t="s">
        <v>282</v>
      </c>
      <c r="T37" s="31">
        <v>120.56</v>
      </c>
      <c r="U37" s="31">
        <v>122.38</v>
      </c>
      <c r="V37" s="31">
        <v>119.37</v>
      </c>
      <c r="W37" s="31">
        <v>121.92</v>
      </c>
      <c r="X37" s="31">
        <v>121.92</v>
      </c>
      <c r="Y37" s="31" t="s">
        <v>283</v>
      </c>
      <c r="Z37">
        <f t="shared" si="2"/>
        <v>-3.4220532319391581E-2</v>
      </c>
    </row>
    <row r="38" spans="1:26" ht="58.2" thickBot="1" x14ac:dyDescent="0.35">
      <c r="A38" s="17" t="s">
        <v>930</v>
      </c>
      <c r="B38" s="24" t="s">
        <v>919</v>
      </c>
      <c r="C38" s="18">
        <v>200</v>
      </c>
      <c r="D38" s="24">
        <v>2.5</v>
      </c>
      <c r="E38" s="24">
        <v>2.52</v>
      </c>
      <c r="F38" s="24">
        <v>2.6</v>
      </c>
      <c r="G38" s="24">
        <v>-0.41</v>
      </c>
      <c r="H38" s="25">
        <v>-0.1409</v>
      </c>
      <c r="I38" s="24">
        <v>88</v>
      </c>
      <c r="J38" s="24">
        <v>28.994</v>
      </c>
      <c r="K38" s="26">
        <v>0.51229999999999998</v>
      </c>
      <c r="L38">
        <f t="shared" si="0"/>
        <v>2.56</v>
      </c>
      <c r="R38">
        <f t="shared" si="1"/>
        <v>0.64173626793301475</v>
      </c>
      <c r="S38" s="30" t="s">
        <v>284</v>
      </c>
      <c r="T38" s="31">
        <v>125.33</v>
      </c>
      <c r="U38" s="31">
        <v>126.72</v>
      </c>
      <c r="V38" s="31">
        <v>121.94</v>
      </c>
      <c r="W38" s="31">
        <v>122.25</v>
      </c>
      <c r="X38" s="31">
        <v>122.25</v>
      </c>
      <c r="Y38" s="31" t="s">
        <v>285</v>
      </c>
      <c r="Z38">
        <f t="shared" si="2"/>
        <v>2.7066929133858129E-3</v>
      </c>
    </row>
    <row r="39" spans="1:26" ht="58.2" thickBot="1" x14ac:dyDescent="0.35">
      <c r="A39" s="17" t="s">
        <v>931</v>
      </c>
      <c r="B39" s="24" t="s">
        <v>214</v>
      </c>
      <c r="C39" s="18">
        <v>210</v>
      </c>
      <c r="D39" s="24">
        <v>2.13</v>
      </c>
      <c r="E39" s="24">
        <v>2.02</v>
      </c>
      <c r="F39" s="24">
        <v>2.14</v>
      </c>
      <c r="G39" s="24">
        <v>-0.22</v>
      </c>
      <c r="H39" s="25">
        <v>-9.3600000000000003E-2</v>
      </c>
      <c r="I39" s="24">
        <v>3</v>
      </c>
      <c r="J39" s="24">
        <v>9.2319999999999993</v>
      </c>
      <c r="K39" s="26">
        <v>0.51290000000000002</v>
      </c>
      <c r="L39">
        <f t="shared" si="0"/>
        <v>2.08</v>
      </c>
      <c r="R39">
        <f t="shared" si="1"/>
        <v>0.64173626793301475</v>
      </c>
      <c r="S39" s="30" t="s">
        <v>286</v>
      </c>
      <c r="T39" s="31">
        <v>124.11</v>
      </c>
      <c r="U39" s="31">
        <v>128.34</v>
      </c>
      <c r="V39" s="31">
        <v>123.4</v>
      </c>
      <c r="W39" s="31">
        <v>123.98</v>
      </c>
      <c r="X39" s="31">
        <v>123.98</v>
      </c>
      <c r="Y39" s="31" t="s">
        <v>287</v>
      </c>
      <c r="Z39">
        <f t="shared" si="2"/>
        <v>1.4151329243353815E-2</v>
      </c>
    </row>
    <row r="40" spans="1:26" ht="58.2" thickBot="1" x14ac:dyDescent="0.35">
      <c r="A40" s="17" t="s">
        <v>932</v>
      </c>
      <c r="B40" s="24" t="s">
        <v>933</v>
      </c>
      <c r="C40" s="18">
        <v>220</v>
      </c>
      <c r="D40" s="24">
        <v>1.9</v>
      </c>
      <c r="E40" s="24">
        <v>1.65</v>
      </c>
      <c r="F40" s="24">
        <v>1.79</v>
      </c>
      <c r="G40" s="24">
        <v>0</v>
      </c>
      <c r="H40" s="24" t="s">
        <v>22</v>
      </c>
      <c r="I40" s="24">
        <v>7</v>
      </c>
      <c r="J40" s="24">
        <v>24.061</v>
      </c>
      <c r="K40" s="26">
        <v>0.51539999999999997</v>
      </c>
      <c r="L40">
        <f t="shared" si="0"/>
        <v>1.72</v>
      </c>
      <c r="R40">
        <f t="shared" si="1"/>
        <v>0.64173626793301475</v>
      </c>
      <c r="S40" s="30" t="s">
        <v>288</v>
      </c>
      <c r="T40" s="31">
        <v>123.09</v>
      </c>
      <c r="U40" s="31">
        <v>126.8</v>
      </c>
      <c r="V40" s="31">
        <v>121.94</v>
      </c>
      <c r="W40" s="31">
        <v>126.5</v>
      </c>
      <c r="X40" s="31">
        <v>126.5</v>
      </c>
      <c r="Y40" s="31" t="s">
        <v>289</v>
      </c>
      <c r="Z40">
        <f t="shared" si="2"/>
        <v>2.0325859009517631E-2</v>
      </c>
    </row>
    <row r="41" spans="1:26" ht="58.2" thickBot="1" x14ac:dyDescent="0.35">
      <c r="A41" s="17" t="s">
        <v>934</v>
      </c>
      <c r="B41" s="24" t="s">
        <v>935</v>
      </c>
      <c r="C41" s="18">
        <v>230</v>
      </c>
      <c r="D41" s="24">
        <v>1.59</v>
      </c>
      <c r="E41" s="24">
        <v>1.36</v>
      </c>
      <c r="F41" s="24">
        <v>1.52</v>
      </c>
      <c r="G41" s="24">
        <v>0</v>
      </c>
      <c r="H41" s="24" t="s">
        <v>22</v>
      </c>
      <c r="I41" s="24">
        <v>3</v>
      </c>
      <c r="J41" s="24">
        <v>20.286000000000001</v>
      </c>
      <c r="K41" s="26">
        <v>0.51839999999999997</v>
      </c>
      <c r="L41">
        <f t="shared" si="0"/>
        <v>1.44</v>
      </c>
      <c r="R41">
        <f t="shared" si="1"/>
        <v>0.64173626793301475</v>
      </c>
      <c r="S41" s="30" t="s">
        <v>290</v>
      </c>
      <c r="T41" s="31">
        <v>118.16</v>
      </c>
      <c r="U41" s="31">
        <v>122.24</v>
      </c>
      <c r="V41" s="31">
        <v>116.8</v>
      </c>
      <c r="W41" s="31">
        <v>121.9</v>
      </c>
      <c r="X41" s="31">
        <v>121.9</v>
      </c>
      <c r="Y41" s="31" t="s">
        <v>291</v>
      </c>
      <c r="Z41">
        <f t="shared" si="2"/>
        <v>-3.636363636363632E-2</v>
      </c>
    </row>
    <row r="42" spans="1:26" ht="58.2" thickBot="1" x14ac:dyDescent="0.35">
      <c r="A42" s="17" t="s">
        <v>936</v>
      </c>
      <c r="B42" s="24" t="s">
        <v>891</v>
      </c>
      <c r="C42" s="18">
        <v>235</v>
      </c>
      <c r="D42" s="24">
        <v>1.28</v>
      </c>
      <c r="E42" s="24">
        <v>1.28</v>
      </c>
      <c r="F42" s="24">
        <v>1.35</v>
      </c>
      <c r="G42" s="24">
        <v>-0.51</v>
      </c>
      <c r="H42" s="25">
        <v>-0.28489999999999999</v>
      </c>
      <c r="I42" s="24">
        <v>1</v>
      </c>
      <c r="J42" s="24">
        <v>3.7240000000000002</v>
      </c>
      <c r="K42" s="26">
        <v>0.51949999999999996</v>
      </c>
      <c r="L42">
        <f t="shared" si="0"/>
        <v>1.3149999999999999</v>
      </c>
      <c r="R42">
        <f t="shared" si="1"/>
        <v>0.64173626793301475</v>
      </c>
      <c r="S42" s="30" t="s">
        <v>292</v>
      </c>
      <c r="T42" s="31">
        <v>116.1</v>
      </c>
      <c r="U42" s="31">
        <v>116.55</v>
      </c>
      <c r="V42" s="31">
        <v>113.6</v>
      </c>
      <c r="W42" s="31">
        <v>114.82</v>
      </c>
      <c r="X42" s="31">
        <v>114.82</v>
      </c>
      <c r="Y42" s="31" t="s">
        <v>293</v>
      </c>
      <c r="Z42">
        <f t="shared" si="2"/>
        <v>-5.8080393765381558E-2</v>
      </c>
    </row>
    <row r="43" spans="1:26" ht="58.2" thickBot="1" x14ac:dyDescent="0.35">
      <c r="A43" s="17" t="s">
        <v>937</v>
      </c>
      <c r="B43" s="24" t="s">
        <v>891</v>
      </c>
      <c r="C43" s="18">
        <v>240</v>
      </c>
      <c r="D43" s="24">
        <v>1.1599999999999999</v>
      </c>
      <c r="E43" s="24">
        <v>1.17</v>
      </c>
      <c r="F43" s="24">
        <v>1.24</v>
      </c>
      <c r="G43" s="24">
        <v>-0.16</v>
      </c>
      <c r="H43" s="25">
        <v>-0.1212</v>
      </c>
      <c r="I43" s="24">
        <v>1</v>
      </c>
      <c r="J43" s="24">
        <v>29.12</v>
      </c>
      <c r="K43" s="26">
        <v>0.52100000000000002</v>
      </c>
      <c r="L43">
        <f t="shared" si="0"/>
        <v>1.2050000000000001</v>
      </c>
      <c r="R43">
        <f t="shared" si="1"/>
        <v>0.64173626793301475</v>
      </c>
      <c r="S43" s="30" t="s">
        <v>294</v>
      </c>
      <c r="T43" s="31">
        <v>121.27</v>
      </c>
      <c r="U43" s="31">
        <v>123.94</v>
      </c>
      <c r="V43" s="31">
        <v>119.66</v>
      </c>
      <c r="W43" s="31">
        <v>122.22</v>
      </c>
      <c r="X43" s="31">
        <v>122.22</v>
      </c>
      <c r="Y43" s="31" t="s">
        <v>295</v>
      </c>
      <c r="Z43">
        <f t="shared" si="2"/>
        <v>6.4448702316669618E-2</v>
      </c>
    </row>
    <row r="44" spans="1:26" ht="58.2" thickBot="1" x14ac:dyDescent="0.35">
      <c r="A44" s="17" t="s">
        <v>938</v>
      </c>
      <c r="B44" s="24" t="s">
        <v>939</v>
      </c>
      <c r="C44" s="18">
        <v>245</v>
      </c>
      <c r="D44" s="24">
        <v>1.1000000000000001</v>
      </c>
      <c r="E44" s="24">
        <v>1.08</v>
      </c>
      <c r="F44" s="24">
        <v>1.1399999999999999</v>
      </c>
      <c r="G44" s="24">
        <v>-0.12</v>
      </c>
      <c r="H44" s="25">
        <v>-9.8400000000000001E-2</v>
      </c>
      <c r="I44" s="24">
        <v>1</v>
      </c>
      <c r="J44" s="24">
        <v>4.0529999999999999</v>
      </c>
      <c r="K44" s="26">
        <v>0.52270000000000005</v>
      </c>
      <c r="L44">
        <f t="shared" si="0"/>
        <v>1.1099999999999999</v>
      </c>
      <c r="R44">
        <f t="shared" si="1"/>
        <v>0.64173626793301475</v>
      </c>
      <c r="S44" s="30" t="s">
        <v>296</v>
      </c>
      <c r="T44" s="31">
        <v>121.55</v>
      </c>
      <c r="U44" s="31">
        <v>125.27</v>
      </c>
      <c r="V44" s="31">
        <v>120.73</v>
      </c>
      <c r="W44" s="31">
        <v>123.47</v>
      </c>
      <c r="X44" s="31">
        <v>123.47</v>
      </c>
      <c r="Y44" s="31" t="s">
        <v>297</v>
      </c>
      <c r="Z44">
        <f t="shared" si="2"/>
        <v>1.0227458681066929E-2</v>
      </c>
    </row>
    <row r="45" spans="1:26" ht="58.2" thickBot="1" x14ac:dyDescent="0.35">
      <c r="A45" s="17" t="s">
        <v>940</v>
      </c>
      <c r="B45" s="24" t="s">
        <v>941</v>
      </c>
      <c r="C45" s="18">
        <v>250</v>
      </c>
      <c r="D45" s="24">
        <v>1.04</v>
      </c>
      <c r="E45" s="24">
        <v>1</v>
      </c>
      <c r="F45" s="24">
        <v>1.06</v>
      </c>
      <c r="G45" s="24">
        <v>-0.04</v>
      </c>
      <c r="H45" s="25">
        <v>-3.6999999999999998E-2</v>
      </c>
      <c r="I45" s="24">
        <v>17</v>
      </c>
      <c r="J45" s="24">
        <v>14.904999999999999</v>
      </c>
      <c r="K45" s="26">
        <v>0.52500000000000002</v>
      </c>
      <c r="L45">
        <f t="shared" si="0"/>
        <v>1.03</v>
      </c>
      <c r="R45">
        <f t="shared" si="1"/>
        <v>0.64173626793301475</v>
      </c>
      <c r="S45" s="30" t="s">
        <v>298</v>
      </c>
      <c r="T45" s="31">
        <v>127.63</v>
      </c>
      <c r="U45" s="31">
        <v>127.63</v>
      </c>
      <c r="V45" s="31">
        <v>121.17</v>
      </c>
      <c r="W45" s="31">
        <v>122.88</v>
      </c>
      <c r="X45" s="31">
        <v>122.88</v>
      </c>
      <c r="Y45" s="31" t="s">
        <v>299</v>
      </c>
      <c r="Z45">
        <f t="shared" si="2"/>
        <v>-4.7784887017089444E-3</v>
      </c>
    </row>
    <row r="46" spans="1:26" ht="58.2" thickBot="1" x14ac:dyDescent="0.35">
      <c r="A46" s="17" t="s">
        <v>942</v>
      </c>
      <c r="B46" s="24" t="s">
        <v>575</v>
      </c>
      <c r="C46" s="18">
        <v>255</v>
      </c>
      <c r="D46" s="24">
        <v>0.93</v>
      </c>
      <c r="E46" s="24">
        <v>0.92</v>
      </c>
      <c r="F46" s="24">
        <v>0.98</v>
      </c>
      <c r="G46" s="24">
        <v>-0.11</v>
      </c>
      <c r="H46" s="25">
        <v>-0.10580000000000001</v>
      </c>
      <c r="I46" s="24">
        <v>6</v>
      </c>
      <c r="J46" s="24">
        <v>2.3690000000000002</v>
      </c>
      <c r="K46" s="26">
        <v>0.52659999999999996</v>
      </c>
      <c r="L46">
        <f t="shared" si="0"/>
        <v>0.95</v>
      </c>
      <c r="R46">
        <f t="shared" si="1"/>
        <v>0.64173626793301475</v>
      </c>
      <c r="S46" s="30" t="s">
        <v>300</v>
      </c>
      <c r="T46" s="31">
        <v>124.81</v>
      </c>
      <c r="U46" s="31">
        <v>128</v>
      </c>
      <c r="V46" s="31">
        <v>122.97</v>
      </c>
      <c r="W46" s="31">
        <v>127.22</v>
      </c>
      <c r="X46" s="31">
        <v>127.22</v>
      </c>
      <c r="Y46" s="31" t="s">
        <v>301</v>
      </c>
      <c r="Z46">
        <f t="shared" si="2"/>
        <v>3.5319010416666699E-2</v>
      </c>
    </row>
    <row r="47" spans="1:26" ht="58.2" thickBot="1" x14ac:dyDescent="0.35">
      <c r="A47" s="17" t="s">
        <v>943</v>
      </c>
      <c r="B47" s="24" t="s">
        <v>887</v>
      </c>
      <c r="C47" s="18">
        <v>260</v>
      </c>
      <c r="D47" s="24">
        <v>0.81</v>
      </c>
      <c r="E47" s="24">
        <v>0.84</v>
      </c>
      <c r="F47" s="24">
        <v>0.92</v>
      </c>
      <c r="G47" s="24">
        <v>-0.18</v>
      </c>
      <c r="H47" s="25">
        <v>-0.18179999999999999</v>
      </c>
      <c r="I47" s="24">
        <v>8</v>
      </c>
      <c r="J47" s="24">
        <v>8.2899999999999991</v>
      </c>
      <c r="K47" s="26">
        <v>0.52839999999999998</v>
      </c>
      <c r="L47">
        <f t="shared" si="0"/>
        <v>0.88</v>
      </c>
      <c r="R47">
        <f t="shared" si="1"/>
        <v>0.64173626793301475</v>
      </c>
      <c r="S47" s="30" t="s">
        <v>302</v>
      </c>
      <c r="T47" s="31">
        <v>118.17</v>
      </c>
      <c r="U47" s="31">
        <v>125.87</v>
      </c>
      <c r="V47" s="31">
        <v>117.5</v>
      </c>
      <c r="W47" s="31">
        <v>125.79</v>
      </c>
      <c r="X47" s="31">
        <v>125.79</v>
      </c>
      <c r="Y47" s="31" t="s">
        <v>303</v>
      </c>
      <c r="Z47">
        <f t="shared" si="2"/>
        <v>-1.1240371010847293E-2</v>
      </c>
    </row>
    <row r="48" spans="1:26" ht="58.2" thickBot="1" x14ac:dyDescent="0.35">
      <c r="A48" s="17" t="s">
        <v>944</v>
      </c>
      <c r="B48" s="24" t="s">
        <v>945</v>
      </c>
      <c r="C48" s="18">
        <v>265</v>
      </c>
      <c r="D48" s="24">
        <v>1.08</v>
      </c>
      <c r="E48" s="24">
        <v>0.63</v>
      </c>
      <c r="F48" s="24">
        <v>1.03</v>
      </c>
      <c r="G48" s="24">
        <v>0</v>
      </c>
      <c r="H48" s="24" t="s">
        <v>22</v>
      </c>
      <c r="I48" s="24">
        <v>2</v>
      </c>
      <c r="J48" s="24">
        <v>2.198</v>
      </c>
      <c r="K48" s="26">
        <v>0.53169999999999995</v>
      </c>
      <c r="L48">
        <f t="shared" si="0"/>
        <v>0.83000000000000007</v>
      </c>
      <c r="R48">
        <f t="shared" si="1"/>
        <v>0.64173626793301475</v>
      </c>
      <c r="S48" s="30" t="s">
        <v>304</v>
      </c>
      <c r="T48" s="31">
        <v>113.25</v>
      </c>
      <c r="U48" s="31">
        <v>115.32</v>
      </c>
      <c r="V48" s="31">
        <v>110.06</v>
      </c>
      <c r="W48" s="31">
        <v>115.23</v>
      </c>
      <c r="X48" s="31">
        <v>115.23</v>
      </c>
      <c r="Y48" s="31" t="s">
        <v>305</v>
      </c>
      <c r="Z48">
        <f t="shared" si="2"/>
        <v>-8.3949439542093982E-2</v>
      </c>
    </row>
    <row r="49" spans="1:26" ht="58.2" thickBot="1" x14ac:dyDescent="0.35">
      <c r="A49" s="17" t="s">
        <v>946</v>
      </c>
      <c r="B49" s="24" t="s">
        <v>947</v>
      </c>
      <c r="C49" s="18">
        <v>270</v>
      </c>
      <c r="D49" s="24">
        <v>0.91</v>
      </c>
      <c r="E49" s="24">
        <v>0.55000000000000004</v>
      </c>
      <c r="F49" s="24">
        <v>0.97</v>
      </c>
      <c r="G49" s="24">
        <v>0</v>
      </c>
      <c r="H49" s="24" t="s">
        <v>22</v>
      </c>
      <c r="I49" s="24">
        <v>5</v>
      </c>
      <c r="J49" s="24">
        <v>6.6040000000000001</v>
      </c>
      <c r="K49" s="26">
        <v>0.53220000000000001</v>
      </c>
      <c r="L49">
        <f t="shared" si="0"/>
        <v>0.76</v>
      </c>
      <c r="R49">
        <f t="shared" si="1"/>
        <v>0.64173626793301475</v>
      </c>
      <c r="S49" s="30" t="s">
        <v>306</v>
      </c>
      <c r="T49" s="31">
        <v>113.11</v>
      </c>
      <c r="U49" s="31">
        <v>114.54</v>
      </c>
      <c r="V49" s="31">
        <v>110.27</v>
      </c>
      <c r="W49" s="31">
        <v>111.79</v>
      </c>
      <c r="X49" s="31">
        <v>111.79</v>
      </c>
      <c r="Y49" s="31" t="s">
        <v>307</v>
      </c>
      <c r="Z49">
        <f t="shared" si="2"/>
        <v>-2.9853336804651544E-2</v>
      </c>
    </row>
    <row r="50" spans="1:26" ht="58.2" thickBot="1" x14ac:dyDescent="0.35">
      <c r="A50" s="17" t="s">
        <v>948</v>
      </c>
      <c r="B50" s="24" t="s">
        <v>350</v>
      </c>
      <c r="C50" s="18">
        <v>275</v>
      </c>
      <c r="D50" s="24">
        <v>0.81</v>
      </c>
      <c r="E50" s="24">
        <v>0.5</v>
      </c>
      <c r="F50" s="24">
        <v>0.92</v>
      </c>
      <c r="G50" s="24">
        <v>0</v>
      </c>
      <c r="H50" s="24" t="s">
        <v>22</v>
      </c>
      <c r="I50" s="24">
        <v>1</v>
      </c>
      <c r="J50" s="24">
        <v>3.2410000000000001</v>
      </c>
      <c r="K50" s="26">
        <v>0.53439999999999999</v>
      </c>
      <c r="L50">
        <f t="shared" si="0"/>
        <v>0.71</v>
      </c>
      <c r="R50">
        <f t="shared" si="1"/>
        <v>0.64173626793301475</v>
      </c>
      <c r="S50" s="30" t="s">
        <v>308</v>
      </c>
      <c r="T50" s="31">
        <v>120.93</v>
      </c>
      <c r="U50" s="31">
        <v>120.93</v>
      </c>
      <c r="V50" s="31">
        <v>112.96</v>
      </c>
      <c r="W50" s="31">
        <v>113.37</v>
      </c>
      <c r="X50" s="31">
        <v>113.37</v>
      </c>
      <c r="Y50" s="31" t="s">
        <v>309</v>
      </c>
      <c r="Z50">
        <f t="shared" si="2"/>
        <v>1.4133643438590198E-2</v>
      </c>
    </row>
    <row r="51" spans="1:26" ht="58.2" thickBot="1" x14ac:dyDescent="0.35">
      <c r="A51" s="17" t="s">
        <v>949</v>
      </c>
      <c r="B51" s="24" t="s">
        <v>950</v>
      </c>
      <c r="C51" s="18">
        <v>280</v>
      </c>
      <c r="D51" s="24">
        <v>0.72</v>
      </c>
      <c r="E51" s="24">
        <v>0.56999999999999995</v>
      </c>
      <c r="F51" s="24">
        <v>0.87</v>
      </c>
      <c r="G51" s="24">
        <v>0</v>
      </c>
      <c r="H51" s="24" t="s">
        <v>22</v>
      </c>
      <c r="I51" s="24">
        <v>6</v>
      </c>
      <c r="J51" s="24">
        <v>12.355</v>
      </c>
      <c r="K51" s="26">
        <v>0.54349999999999998</v>
      </c>
      <c r="L51">
        <f t="shared" si="0"/>
        <v>0.72</v>
      </c>
      <c r="R51">
        <f t="shared" si="1"/>
        <v>0.64173626793301475</v>
      </c>
      <c r="S51" s="30" t="s">
        <v>310</v>
      </c>
      <c r="T51" s="31">
        <v>119.91</v>
      </c>
      <c r="U51" s="31">
        <v>122.46</v>
      </c>
      <c r="V51" s="31">
        <v>118.04</v>
      </c>
      <c r="W51" s="31">
        <v>119.14</v>
      </c>
      <c r="X51" s="31">
        <v>119.14</v>
      </c>
      <c r="Y51" s="31" t="s">
        <v>311</v>
      </c>
      <c r="Z51">
        <f t="shared" si="2"/>
        <v>5.0895298579871184E-2</v>
      </c>
    </row>
    <row r="52" spans="1:26" ht="58.2" thickBot="1" x14ac:dyDescent="0.35">
      <c r="A52" s="17" t="s">
        <v>951</v>
      </c>
      <c r="B52" s="24" t="s">
        <v>952</v>
      </c>
      <c r="C52" s="18">
        <v>285</v>
      </c>
      <c r="D52" s="24">
        <v>0.85</v>
      </c>
      <c r="E52" s="24">
        <v>0.41</v>
      </c>
      <c r="F52" s="24">
        <v>0.82</v>
      </c>
      <c r="G52" s="24">
        <v>0</v>
      </c>
      <c r="H52" s="24" t="s">
        <v>22</v>
      </c>
      <c r="I52" s="24">
        <v>1</v>
      </c>
      <c r="J52" s="24">
        <v>2.66</v>
      </c>
      <c r="K52" s="26">
        <v>0.53779999999999994</v>
      </c>
      <c r="L52">
        <f t="shared" si="0"/>
        <v>0.61499999999999999</v>
      </c>
      <c r="R52">
        <f t="shared" si="1"/>
        <v>0.64173626793301475</v>
      </c>
      <c r="S52" s="30" t="s">
        <v>312</v>
      </c>
      <c r="T52" s="31">
        <v>119.32</v>
      </c>
      <c r="U52" s="31">
        <v>120.78</v>
      </c>
      <c r="V52" s="31">
        <v>115.32</v>
      </c>
      <c r="W52" s="31">
        <v>120.37</v>
      </c>
      <c r="X52" s="31">
        <v>120.37</v>
      </c>
      <c r="Y52" s="31" t="s">
        <v>313</v>
      </c>
      <c r="Z52">
        <f t="shared" si="2"/>
        <v>1.0323988584858184E-2</v>
      </c>
    </row>
    <row r="53" spans="1:26" ht="58.2" thickBot="1" x14ac:dyDescent="0.35">
      <c r="A53" s="17" t="s">
        <v>953</v>
      </c>
      <c r="B53" s="24" t="s">
        <v>954</v>
      </c>
      <c r="C53" s="18">
        <v>290</v>
      </c>
      <c r="D53" s="24">
        <v>0.65</v>
      </c>
      <c r="E53" s="24">
        <v>0.37</v>
      </c>
      <c r="F53" s="24">
        <v>0.78</v>
      </c>
      <c r="G53" s="24">
        <v>0</v>
      </c>
      <c r="H53" s="24" t="s">
        <v>22</v>
      </c>
      <c r="I53" s="24">
        <v>31</v>
      </c>
      <c r="J53" s="24">
        <v>1.5820000000000001</v>
      </c>
      <c r="K53" s="26">
        <v>0.53959999999999997</v>
      </c>
      <c r="L53">
        <f t="shared" si="0"/>
        <v>0.57499999999999996</v>
      </c>
      <c r="R53">
        <f t="shared" si="1"/>
        <v>0.64173626793301475</v>
      </c>
      <c r="S53" s="30" t="s">
        <v>314</v>
      </c>
      <c r="T53" s="31">
        <v>128.22999999999999</v>
      </c>
      <c r="U53" s="31">
        <v>128.96</v>
      </c>
      <c r="V53" s="31">
        <v>122.52</v>
      </c>
      <c r="W53" s="31">
        <v>123.23</v>
      </c>
      <c r="X53" s="31">
        <v>123.23</v>
      </c>
      <c r="Y53" s="31" t="s">
        <v>315</v>
      </c>
      <c r="Z53">
        <f t="shared" si="2"/>
        <v>2.3760073107917251E-2</v>
      </c>
    </row>
    <row r="54" spans="1:26" ht="58.2" thickBot="1" x14ac:dyDescent="0.35">
      <c r="A54" s="17" t="s">
        <v>955</v>
      </c>
      <c r="B54" s="24" t="s">
        <v>956</v>
      </c>
      <c r="C54" s="18">
        <v>295</v>
      </c>
      <c r="D54" s="24">
        <v>0.55000000000000004</v>
      </c>
      <c r="E54" s="24">
        <v>0.52</v>
      </c>
      <c r="F54" s="24">
        <v>0.75</v>
      </c>
      <c r="G54" s="24">
        <v>0</v>
      </c>
      <c r="H54" s="24" t="s">
        <v>22</v>
      </c>
      <c r="I54" s="24">
        <v>2</v>
      </c>
      <c r="J54" s="24">
        <v>3.5339999999999998</v>
      </c>
      <c r="K54" s="26">
        <v>0.55520000000000003</v>
      </c>
      <c r="L54">
        <f t="shared" si="0"/>
        <v>0.63500000000000001</v>
      </c>
      <c r="R54">
        <f t="shared" si="1"/>
        <v>0.64173626793301475</v>
      </c>
      <c r="S54" s="30" t="s">
        <v>316</v>
      </c>
      <c r="T54" s="31">
        <v>135.77000000000001</v>
      </c>
      <c r="U54" s="31">
        <v>136.75</v>
      </c>
      <c r="V54" s="31">
        <v>130.68</v>
      </c>
      <c r="W54" s="31">
        <v>131.03</v>
      </c>
      <c r="X54" s="31">
        <v>131.03</v>
      </c>
      <c r="Y54" s="31" t="s">
        <v>317</v>
      </c>
      <c r="Z54">
        <f t="shared" si="2"/>
        <v>6.3296275257648277E-2</v>
      </c>
    </row>
    <row r="55" spans="1:26" ht="58.2" thickBot="1" x14ac:dyDescent="0.35">
      <c r="A55" s="17" t="s">
        <v>957</v>
      </c>
      <c r="B55" s="24" t="s">
        <v>958</v>
      </c>
      <c r="C55" s="18">
        <v>300</v>
      </c>
      <c r="D55" s="24">
        <v>0.5</v>
      </c>
      <c r="E55" s="24">
        <v>0.5</v>
      </c>
      <c r="F55" s="24">
        <v>0.56999999999999995</v>
      </c>
      <c r="G55" s="24">
        <v>-0.06</v>
      </c>
      <c r="H55" s="25">
        <v>-0.1071</v>
      </c>
      <c r="I55" s="24">
        <v>4</v>
      </c>
      <c r="J55" s="24">
        <v>22.099</v>
      </c>
      <c r="K55" s="26">
        <v>0.54810000000000003</v>
      </c>
      <c r="L55">
        <f t="shared" si="0"/>
        <v>0.53499999999999992</v>
      </c>
      <c r="R55">
        <f t="shared" si="1"/>
        <v>0.64173626793301475</v>
      </c>
      <c r="S55" s="30" t="s">
        <v>318</v>
      </c>
      <c r="T55" s="31">
        <v>128.1</v>
      </c>
      <c r="U55" s="31">
        <v>130.86000000000001</v>
      </c>
      <c r="V55" s="31">
        <v>127.13</v>
      </c>
      <c r="W55" s="31">
        <v>127.74</v>
      </c>
      <c r="X55" s="31">
        <v>127.74</v>
      </c>
      <c r="Y55" s="31" t="s">
        <v>319</v>
      </c>
      <c r="Z55">
        <f t="shared" si="2"/>
        <v>-2.5108753720522067E-2</v>
      </c>
    </row>
    <row r="56" spans="1:26" ht="58.2" thickBot="1" x14ac:dyDescent="0.35">
      <c r="A56" s="17" t="s">
        <v>959</v>
      </c>
      <c r="B56" s="24" t="s">
        <v>960</v>
      </c>
      <c r="C56" s="18">
        <v>305</v>
      </c>
      <c r="D56" s="24">
        <v>0.68</v>
      </c>
      <c r="E56" s="24">
        <v>0.45</v>
      </c>
      <c r="F56" s="24">
        <v>0.68</v>
      </c>
      <c r="G56" s="24">
        <v>0</v>
      </c>
      <c r="H56" s="24" t="s">
        <v>22</v>
      </c>
      <c r="I56" s="24">
        <v>1</v>
      </c>
      <c r="J56" s="24">
        <v>956</v>
      </c>
      <c r="K56" s="26">
        <v>0.55959999999999999</v>
      </c>
      <c r="L56">
        <f t="shared" si="0"/>
        <v>0.56500000000000006</v>
      </c>
      <c r="R56">
        <f t="shared" si="1"/>
        <v>0.64173626793301475</v>
      </c>
      <c r="S56" s="30" t="s">
        <v>320</v>
      </c>
      <c r="T56" s="31">
        <v>126.27</v>
      </c>
      <c r="U56" s="31">
        <v>132.13</v>
      </c>
      <c r="V56" s="31">
        <v>124.82</v>
      </c>
      <c r="W56" s="31">
        <v>128.6</v>
      </c>
      <c r="X56" s="31">
        <v>128.6</v>
      </c>
      <c r="Y56" s="31" t="s">
        <v>321</v>
      </c>
      <c r="Z56">
        <f t="shared" si="2"/>
        <v>6.7324252387662396E-3</v>
      </c>
    </row>
    <row r="57" spans="1:26" ht="58.2" thickBot="1" x14ac:dyDescent="0.35">
      <c r="A57" s="17" t="s">
        <v>961</v>
      </c>
      <c r="B57" s="24" t="s">
        <v>962</v>
      </c>
      <c r="C57" s="18">
        <v>310</v>
      </c>
      <c r="D57" s="24">
        <v>0.45</v>
      </c>
      <c r="E57" s="24">
        <v>0.45</v>
      </c>
      <c r="F57" s="24">
        <v>0.55000000000000004</v>
      </c>
      <c r="G57" s="24">
        <v>-0.05</v>
      </c>
      <c r="H57" s="25">
        <v>-0.1</v>
      </c>
      <c r="I57" s="24">
        <v>3</v>
      </c>
      <c r="J57" s="24">
        <v>1.831</v>
      </c>
      <c r="K57" s="26">
        <v>0.55620000000000003</v>
      </c>
      <c r="L57">
        <f t="shared" si="0"/>
        <v>0.5</v>
      </c>
      <c r="R57">
        <f t="shared" si="1"/>
        <v>0.64173626793301475</v>
      </c>
      <c r="S57" s="30" t="s">
        <v>322</v>
      </c>
      <c r="T57" s="31">
        <v>132.81</v>
      </c>
      <c r="U57" s="31">
        <v>134.36000000000001</v>
      </c>
      <c r="V57" s="31">
        <v>129.35</v>
      </c>
      <c r="W57" s="31">
        <v>131.57</v>
      </c>
      <c r="X57" s="31">
        <v>131.57</v>
      </c>
      <c r="Y57" s="31" t="s">
        <v>323</v>
      </c>
      <c r="Z57">
        <f t="shared" si="2"/>
        <v>2.3094867807153956E-2</v>
      </c>
    </row>
    <row r="58" spans="1:26" ht="58.2" thickBot="1" x14ac:dyDescent="0.35">
      <c r="A58" s="17" t="s">
        <v>963</v>
      </c>
      <c r="B58" s="24" t="s">
        <v>964</v>
      </c>
      <c r="C58" s="18">
        <v>315</v>
      </c>
      <c r="D58" s="24">
        <v>0.55000000000000004</v>
      </c>
      <c r="E58" s="24">
        <v>0.25</v>
      </c>
      <c r="F58" s="24">
        <v>0.63</v>
      </c>
      <c r="G58" s="24">
        <v>0</v>
      </c>
      <c r="H58" s="24" t="s">
        <v>22</v>
      </c>
      <c r="I58" s="24">
        <v>17</v>
      </c>
      <c r="J58" s="24">
        <v>1.29</v>
      </c>
      <c r="K58" s="26">
        <v>0.55269999999999997</v>
      </c>
      <c r="L58">
        <f t="shared" si="0"/>
        <v>0.44</v>
      </c>
      <c r="R58">
        <f t="shared" si="1"/>
        <v>0.64173626793301475</v>
      </c>
      <c r="S58" s="30" t="s">
        <v>324</v>
      </c>
      <c r="T58" s="31">
        <v>135.19999999999999</v>
      </c>
      <c r="U58" s="31">
        <v>135.91999999999999</v>
      </c>
      <c r="V58" s="31">
        <v>131.30000000000001</v>
      </c>
      <c r="W58" s="31">
        <v>131.37</v>
      </c>
      <c r="X58" s="31">
        <v>131.37</v>
      </c>
      <c r="Y58" s="31" t="s">
        <v>325</v>
      </c>
      <c r="Z58">
        <f t="shared" si="2"/>
        <v>-1.5201033670288716E-3</v>
      </c>
    </row>
    <row r="59" spans="1:26" ht="58.2" thickBot="1" x14ac:dyDescent="0.35">
      <c r="A59" s="17" t="s">
        <v>965</v>
      </c>
      <c r="B59" s="24" t="s">
        <v>966</v>
      </c>
      <c r="C59" s="18">
        <v>320</v>
      </c>
      <c r="D59" s="24">
        <v>0.7</v>
      </c>
      <c r="E59" s="24">
        <v>0.32</v>
      </c>
      <c r="F59" s="24">
        <v>0.61</v>
      </c>
      <c r="G59" s="24">
        <v>0</v>
      </c>
      <c r="H59" s="24" t="s">
        <v>22</v>
      </c>
      <c r="I59" s="24">
        <v>3</v>
      </c>
      <c r="J59" s="24">
        <v>3.9740000000000002</v>
      </c>
      <c r="K59" s="26">
        <v>0.5635</v>
      </c>
      <c r="L59">
        <f t="shared" si="0"/>
        <v>0.46499999999999997</v>
      </c>
      <c r="R59">
        <f t="shared" si="1"/>
        <v>0.64173626793301475</v>
      </c>
      <c r="S59" s="30" t="s">
        <v>326</v>
      </c>
      <c r="T59" s="31">
        <v>136.02000000000001</v>
      </c>
      <c r="U59" s="31">
        <v>138.69999999999999</v>
      </c>
      <c r="V59" s="31">
        <v>135.59</v>
      </c>
      <c r="W59" s="31">
        <v>137.41</v>
      </c>
      <c r="X59" s="31">
        <v>137.41</v>
      </c>
      <c r="Y59" s="31" t="s">
        <v>327</v>
      </c>
      <c r="Z59">
        <f t="shared" si="2"/>
        <v>4.597701149425281E-2</v>
      </c>
    </row>
    <row r="60" spans="1:26" ht="58.2" thickBot="1" x14ac:dyDescent="0.35">
      <c r="A60" s="17" t="s">
        <v>967</v>
      </c>
      <c r="B60" s="24" t="s">
        <v>968</v>
      </c>
      <c r="C60" s="18">
        <v>330</v>
      </c>
      <c r="D60" s="24">
        <v>0.43</v>
      </c>
      <c r="E60" s="24">
        <v>0.32</v>
      </c>
      <c r="F60" s="24">
        <v>0.56000000000000005</v>
      </c>
      <c r="G60" s="24">
        <v>0</v>
      </c>
      <c r="H60" s="24" t="s">
        <v>22</v>
      </c>
      <c r="I60" s="24">
        <v>2</v>
      </c>
      <c r="J60" s="24">
        <v>1.4239999999999999</v>
      </c>
      <c r="K60" s="26">
        <v>0.57150000000000001</v>
      </c>
      <c r="L60">
        <f t="shared" si="0"/>
        <v>0.44000000000000006</v>
      </c>
      <c r="R60">
        <f t="shared" si="1"/>
        <v>0.64173626793301475</v>
      </c>
      <c r="S60" s="30" t="s">
        <v>328</v>
      </c>
      <c r="T60" s="31">
        <v>129.21</v>
      </c>
      <c r="U60" s="31">
        <v>134.22999999999999</v>
      </c>
      <c r="V60" s="31">
        <v>127.47</v>
      </c>
      <c r="W60" s="31">
        <v>132.19</v>
      </c>
      <c r="X60" s="31">
        <v>132.19</v>
      </c>
      <c r="Y60" s="31" t="s">
        <v>329</v>
      </c>
      <c r="Z60">
        <f t="shared" si="2"/>
        <v>-3.79885015646605E-2</v>
      </c>
    </row>
    <row r="61" spans="1:26" ht="58.2" thickBot="1" x14ac:dyDescent="0.35">
      <c r="A61" s="17" t="s">
        <v>969</v>
      </c>
      <c r="B61" s="24" t="s">
        <v>970</v>
      </c>
      <c r="C61" s="18">
        <v>340</v>
      </c>
      <c r="D61" s="24">
        <v>0.39</v>
      </c>
      <c r="E61" s="24">
        <v>0.28000000000000003</v>
      </c>
      <c r="F61" s="24">
        <v>0.53</v>
      </c>
      <c r="G61" s="24">
        <v>0</v>
      </c>
      <c r="H61" s="24" t="s">
        <v>22</v>
      </c>
      <c r="I61" s="24">
        <v>1</v>
      </c>
      <c r="J61" s="24">
        <v>1.7609999999999999</v>
      </c>
      <c r="K61" s="26">
        <v>0.57720000000000005</v>
      </c>
      <c r="L61">
        <f t="shared" si="0"/>
        <v>0.40500000000000003</v>
      </c>
      <c r="R61">
        <f t="shared" si="1"/>
        <v>0.64173626793301475</v>
      </c>
      <c r="S61" s="30" t="s">
        <v>330</v>
      </c>
      <c r="T61" s="31">
        <v>131.99</v>
      </c>
      <c r="U61" s="31">
        <v>132.6</v>
      </c>
      <c r="V61" s="31">
        <v>126.23</v>
      </c>
      <c r="W61" s="31">
        <v>128.30000000000001</v>
      </c>
      <c r="X61" s="31">
        <v>128.30000000000001</v>
      </c>
      <c r="Y61" s="31" t="s">
        <v>331</v>
      </c>
      <c r="Z61">
        <f t="shared" si="2"/>
        <v>-2.9427339435660688E-2</v>
      </c>
    </row>
    <row r="62" spans="1:26" ht="58.2" thickBot="1" x14ac:dyDescent="0.35">
      <c r="A62" s="17" t="s">
        <v>971</v>
      </c>
      <c r="B62" s="24" t="s">
        <v>83</v>
      </c>
      <c r="C62" s="18">
        <v>350</v>
      </c>
      <c r="D62" s="24">
        <v>0.46</v>
      </c>
      <c r="E62" s="24">
        <v>0.32</v>
      </c>
      <c r="F62" s="24">
        <v>0.48</v>
      </c>
      <c r="G62" s="24">
        <v>0</v>
      </c>
      <c r="H62" s="24" t="s">
        <v>22</v>
      </c>
      <c r="I62" s="24">
        <v>1</v>
      </c>
      <c r="J62" s="24">
        <v>17.280999999999999</v>
      </c>
      <c r="K62" s="26">
        <v>0.58740000000000003</v>
      </c>
      <c r="L62">
        <f t="shared" si="0"/>
        <v>0.4</v>
      </c>
      <c r="R62">
        <f t="shared" si="1"/>
        <v>0.64173626793301475</v>
      </c>
      <c r="S62" s="30" t="s">
        <v>332</v>
      </c>
      <c r="T62" s="31">
        <v>130.24</v>
      </c>
      <c r="U62" s="31">
        <v>133.88</v>
      </c>
      <c r="V62" s="31">
        <v>128.18</v>
      </c>
      <c r="W62" s="31">
        <v>129.81</v>
      </c>
      <c r="X62" s="31">
        <v>129.81</v>
      </c>
      <c r="Y62" s="31" t="s">
        <v>333</v>
      </c>
      <c r="Z62">
        <f t="shared" si="2"/>
        <v>1.1769290724863529E-2</v>
      </c>
    </row>
    <row r="63" spans="1:26" ht="58.2" thickBot="1" x14ac:dyDescent="0.35">
      <c r="A63" s="17" t="s">
        <v>972</v>
      </c>
      <c r="B63" s="24" t="s">
        <v>83</v>
      </c>
      <c r="C63" s="18">
        <v>360</v>
      </c>
      <c r="D63" s="24">
        <v>0.37</v>
      </c>
      <c r="E63" s="24">
        <v>0.1</v>
      </c>
      <c r="F63" s="24">
        <v>0.46</v>
      </c>
      <c r="G63" s="24">
        <v>0</v>
      </c>
      <c r="H63" s="24" t="s">
        <v>22</v>
      </c>
      <c r="I63" s="24">
        <v>2</v>
      </c>
      <c r="J63" s="24">
        <v>2.7759999999999998</v>
      </c>
      <c r="K63" s="26">
        <v>0.57179999999999997</v>
      </c>
      <c r="L63">
        <f t="shared" si="0"/>
        <v>0.28000000000000003</v>
      </c>
      <c r="R63">
        <f t="shared" si="1"/>
        <v>0.64173626793301475</v>
      </c>
      <c r="S63" s="30" t="s">
        <v>334</v>
      </c>
      <c r="T63" s="31">
        <v>124.26</v>
      </c>
      <c r="U63" s="31">
        <v>128.4</v>
      </c>
      <c r="V63" s="31">
        <v>123.46</v>
      </c>
      <c r="W63" s="31">
        <v>126.63</v>
      </c>
      <c r="X63" s="31">
        <v>126.63</v>
      </c>
      <c r="Y63" s="31" t="s">
        <v>335</v>
      </c>
      <c r="Z63">
        <f t="shared" si="2"/>
        <v>-2.4497342269470816E-2</v>
      </c>
    </row>
    <row r="64" spans="1:26" ht="58.2" thickBot="1" x14ac:dyDescent="0.35">
      <c r="A64" s="17" t="s">
        <v>973</v>
      </c>
      <c r="B64" s="24" t="s">
        <v>974</v>
      </c>
      <c r="C64" s="18">
        <v>370</v>
      </c>
      <c r="D64" s="24">
        <v>0.43</v>
      </c>
      <c r="E64" s="24">
        <v>0.11</v>
      </c>
      <c r="F64" s="24">
        <v>0.44</v>
      </c>
      <c r="G64" s="24">
        <v>0</v>
      </c>
      <c r="H64" s="24" t="s">
        <v>22</v>
      </c>
      <c r="I64" s="24">
        <v>1</v>
      </c>
      <c r="J64" s="24">
        <v>3.931</v>
      </c>
      <c r="K64" s="26">
        <v>0.58109999999999995</v>
      </c>
      <c r="L64">
        <f t="shared" si="0"/>
        <v>0.27500000000000002</v>
      </c>
      <c r="R64">
        <f t="shared" si="1"/>
        <v>0.64173626793301475</v>
      </c>
      <c r="S64" s="30" t="s">
        <v>407</v>
      </c>
      <c r="T64" s="31">
        <v>118</v>
      </c>
      <c r="U64" s="31">
        <v>126.62</v>
      </c>
      <c r="V64" s="31">
        <v>117.7</v>
      </c>
      <c r="W64" s="31">
        <v>121.16</v>
      </c>
      <c r="X64" s="31">
        <v>121.16</v>
      </c>
      <c r="Y64" s="31" t="s">
        <v>408</v>
      </c>
      <c r="Z64">
        <f t="shared" si="2"/>
        <v>-4.3196714838505873E-2</v>
      </c>
    </row>
    <row r="65" spans="1:26" ht="58.2" thickBot="1" x14ac:dyDescent="0.35">
      <c r="A65" s="17" t="s">
        <v>975</v>
      </c>
      <c r="B65" s="24" t="s">
        <v>976</v>
      </c>
      <c r="C65" s="18">
        <v>380</v>
      </c>
      <c r="D65" s="24">
        <v>0.32</v>
      </c>
      <c r="E65" s="24">
        <v>0.1</v>
      </c>
      <c r="F65" s="24">
        <v>0.41</v>
      </c>
      <c r="G65" s="24">
        <v>0</v>
      </c>
      <c r="H65" s="24" t="s">
        <v>22</v>
      </c>
      <c r="I65" s="24">
        <v>1</v>
      </c>
      <c r="J65" s="24">
        <v>9.5660000000000007</v>
      </c>
      <c r="K65" s="26">
        <v>0.58589999999999998</v>
      </c>
      <c r="L65">
        <f t="shared" si="0"/>
        <v>0.255</v>
      </c>
      <c r="R65">
        <f t="shared" si="1"/>
        <v>0.64173626793301475</v>
      </c>
      <c r="S65" s="30" t="s">
        <v>409</v>
      </c>
      <c r="T65" s="31">
        <v>119.53</v>
      </c>
      <c r="U65" s="31">
        <v>120.87</v>
      </c>
      <c r="V65" s="31">
        <v>115.77</v>
      </c>
      <c r="W65" s="31">
        <v>119.56</v>
      </c>
      <c r="X65" s="31">
        <v>119.56</v>
      </c>
      <c r="Y65" s="31" t="s">
        <v>410</v>
      </c>
      <c r="Z65">
        <f t="shared" si="2"/>
        <v>-1.3205678441729898E-2</v>
      </c>
    </row>
    <row r="66" spans="1:26" ht="58.2" thickBot="1" x14ac:dyDescent="0.35">
      <c r="A66" s="17" t="s">
        <v>977</v>
      </c>
      <c r="B66" s="24" t="s">
        <v>597</v>
      </c>
      <c r="C66" s="18">
        <v>390</v>
      </c>
      <c r="D66" s="24">
        <v>0.31</v>
      </c>
      <c r="E66" s="24">
        <v>0.09</v>
      </c>
      <c r="F66" s="24">
        <v>0.39</v>
      </c>
      <c r="G66" s="24">
        <v>0</v>
      </c>
      <c r="H66" s="24" t="s">
        <v>22</v>
      </c>
      <c r="I66" s="24">
        <v>8</v>
      </c>
      <c r="J66" s="24">
        <v>4.9589999999999996</v>
      </c>
      <c r="K66" s="26">
        <v>0.59130000000000005</v>
      </c>
      <c r="L66">
        <f t="shared" si="0"/>
        <v>0.24</v>
      </c>
      <c r="R66">
        <f t="shared" si="1"/>
        <v>0.64173626793301475</v>
      </c>
      <c r="S66" s="30" t="s">
        <v>411</v>
      </c>
      <c r="T66" s="31">
        <v>119.38</v>
      </c>
      <c r="U66" s="31">
        <v>121.95</v>
      </c>
      <c r="V66" s="31">
        <v>115.82</v>
      </c>
      <c r="W66" s="31">
        <v>120.38</v>
      </c>
      <c r="X66" s="31">
        <v>120.38</v>
      </c>
      <c r="Y66" s="31" t="s">
        <v>412</v>
      </c>
      <c r="Z66">
        <f t="shared" si="2"/>
        <v>6.8584810973569181E-3</v>
      </c>
    </row>
    <row r="67" spans="1:26" ht="58.2" thickBot="1" x14ac:dyDescent="0.35">
      <c r="A67" s="17" t="s">
        <v>978</v>
      </c>
      <c r="B67" s="24" t="s">
        <v>979</v>
      </c>
      <c r="C67" s="18">
        <v>400</v>
      </c>
      <c r="D67" s="24">
        <v>0.27</v>
      </c>
      <c r="E67" s="24">
        <v>0.09</v>
      </c>
      <c r="F67" s="24">
        <v>0.37</v>
      </c>
      <c r="G67" s="24">
        <v>0</v>
      </c>
      <c r="H67" s="24" t="s">
        <v>22</v>
      </c>
      <c r="I67" s="24">
        <v>2</v>
      </c>
      <c r="J67" s="24">
        <v>9.1980000000000004</v>
      </c>
      <c r="K67" s="26">
        <v>0.59770000000000001</v>
      </c>
      <c r="L67">
        <f t="shared" ref="L67:L73" si="3">AVERAGE(E67,F67)</f>
        <v>0.22999999999999998</v>
      </c>
      <c r="R67">
        <f t="shared" si="1"/>
        <v>0.64173626793301475</v>
      </c>
      <c r="S67" s="30" t="s">
        <v>413</v>
      </c>
      <c r="T67" s="31">
        <v>121.23</v>
      </c>
      <c r="U67" s="31">
        <v>122.91</v>
      </c>
      <c r="V67" s="31">
        <v>118.59</v>
      </c>
      <c r="W67" s="31">
        <v>118.79</v>
      </c>
      <c r="X67" s="31">
        <v>118.79</v>
      </c>
      <c r="Y67" s="31" t="s">
        <v>414</v>
      </c>
      <c r="Z67">
        <f t="shared" si="2"/>
        <v>-1.3208174115301455E-2</v>
      </c>
    </row>
    <row r="68" spans="1:26" ht="58.2" thickBot="1" x14ac:dyDescent="0.35">
      <c r="A68" s="17" t="s">
        <v>980</v>
      </c>
      <c r="B68" s="24" t="s">
        <v>61</v>
      </c>
      <c r="C68" s="18">
        <v>410</v>
      </c>
      <c r="D68" s="24">
        <v>0.25</v>
      </c>
      <c r="E68" s="24">
        <v>0.1</v>
      </c>
      <c r="F68" s="24">
        <v>0.35</v>
      </c>
      <c r="G68" s="24">
        <v>0</v>
      </c>
      <c r="H68" s="24" t="s">
        <v>22</v>
      </c>
      <c r="I68" s="24">
        <v>5</v>
      </c>
      <c r="J68" s="24">
        <v>5.9889999999999999</v>
      </c>
      <c r="K68" s="26">
        <v>0.60499999999999998</v>
      </c>
      <c r="L68">
        <f t="shared" si="3"/>
        <v>0.22499999999999998</v>
      </c>
      <c r="R68">
        <f t="shared" ref="R68:R73" si="4">$R$2</f>
        <v>0.64173626793301475</v>
      </c>
      <c r="S68" s="30" t="s">
        <v>415</v>
      </c>
      <c r="T68" s="31">
        <v>112.63</v>
      </c>
      <c r="U68" s="31">
        <v>124.3</v>
      </c>
      <c r="V68" s="31">
        <v>112.3</v>
      </c>
      <c r="W68" s="31">
        <v>122.99</v>
      </c>
      <c r="X68" s="31">
        <v>122.99</v>
      </c>
      <c r="Y68" s="31" t="s">
        <v>416</v>
      </c>
      <c r="Z68">
        <f t="shared" ref="Z68:Z131" si="5">(W68-W67)/W67</f>
        <v>3.535651149086614E-2</v>
      </c>
    </row>
    <row r="69" spans="1:26" ht="58.2" thickBot="1" x14ac:dyDescent="0.35">
      <c r="A69" s="17" t="s">
        <v>981</v>
      </c>
      <c r="B69" s="24" t="s">
        <v>982</v>
      </c>
      <c r="C69" s="18">
        <v>420</v>
      </c>
      <c r="D69" s="24">
        <v>0.2</v>
      </c>
      <c r="E69" s="24">
        <v>7.0000000000000007E-2</v>
      </c>
      <c r="F69" s="24">
        <v>0.34</v>
      </c>
      <c r="G69" s="24">
        <v>0</v>
      </c>
      <c r="H69" s="24" t="s">
        <v>22</v>
      </c>
      <c r="I69" s="24">
        <v>11</v>
      </c>
      <c r="J69" s="24">
        <v>5.5010000000000003</v>
      </c>
      <c r="K69" s="26">
        <v>0.60740000000000005</v>
      </c>
      <c r="L69">
        <f t="shared" si="3"/>
        <v>0.20500000000000002</v>
      </c>
      <c r="R69">
        <f t="shared" si="4"/>
        <v>0.64173626793301475</v>
      </c>
      <c r="S69" s="30" t="s">
        <v>417</v>
      </c>
      <c r="T69" s="31">
        <v>113.8</v>
      </c>
      <c r="U69" s="31">
        <v>114.2</v>
      </c>
      <c r="V69" s="31">
        <v>110.38</v>
      </c>
      <c r="W69" s="31">
        <v>112.09</v>
      </c>
      <c r="X69" s="31">
        <v>112.09</v>
      </c>
      <c r="Y69" s="31" t="s">
        <v>418</v>
      </c>
      <c r="Z69">
        <f t="shared" si="5"/>
        <v>-8.8625091470851222E-2</v>
      </c>
    </row>
    <row r="70" spans="1:26" ht="58.2" thickBot="1" x14ac:dyDescent="0.35">
      <c r="A70" s="17" t="s">
        <v>983</v>
      </c>
      <c r="B70" s="24" t="s">
        <v>984</v>
      </c>
      <c r="C70" s="18">
        <v>430</v>
      </c>
      <c r="D70" s="24">
        <v>0.26</v>
      </c>
      <c r="E70" s="24">
        <v>0.02</v>
      </c>
      <c r="F70" s="24">
        <v>0.32</v>
      </c>
      <c r="G70" s="24">
        <v>0</v>
      </c>
      <c r="H70" s="24" t="s">
        <v>22</v>
      </c>
      <c r="I70" s="24">
        <v>10</v>
      </c>
      <c r="J70" s="24">
        <v>4.3849999999999998</v>
      </c>
      <c r="K70" s="26">
        <v>0.60350000000000004</v>
      </c>
      <c r="L70">
        <f t="shared" si="3"/>
        <v>0.17</v>
      </c>
      <c r="R70">
        <f t="shared" si="4"/>
        <v>0.64173626793301475</v>
      </c>
      <c r="S70" s="30" t="s">
        <v>419</v>
      </c>
      <c r="T70" s="31">
        <v>116.26</v>
      </c>
      <c r="U70" s="31">
        <v>116.42</v>
      </c>
      <c r="V70" s="31">
        <v>114.47</v>
      </c>
      <c r="W70" s="31">
        <v>114.8</v>
      </c>
      <c r="X70" s="31">
        <v>114.8</v>
      </c>
      <c r="Y70" s="31" t="s">
        <v>420</v>
      </c>
      <c r="Z70">
        <f t="shared" si="5"/>
        <v>2.4177000624498114E-2</v>
      </c>
    </row>
    <row r="71" spans="1:26" ht="58.2" thickBot="1" x14ac:dyDescent="0.35">
      <c r="A71" s="17" t="s">
        <v>985</v>
      </c>
      <c r="B71" s="24" t="s">
        <v>986</v>
      </c>
      <c r="C71" s="18">
        <v>440</v>
      </c>
      <c r="D71" s="24">
        <v>0.22</v>
      </c>
      <c r="E71" s="24">
        <v>0.06</v>
      </c>
      <c r="F71" s="24">
        <v>0.31</v>
      </c>
      <c r="G71" s="24">
        <v>0</v>
      </c>
      <c r="H71" s="24" t="s">
        <v>22</v>
      </c>
      <c r="I71" s="24">
        <v>4</v>
      </c>
      <c r="J71" s="24">
        <v>4.6550000000000002</v>
      </c>
      <c r="K71" s="26">
        <v>0.61719999999999997</v>
      </c>
      <c r="L71">
        <f t="shared" si="3"/>
        <v>0.185</v>
      </c>
      <c r="R71">
        <f t="shared" si="4"/>
        <v>0.64173626793301475</v>
      </c>
      <c r="S71" s="30" t="s">
        <v>421</v>
      </c>
      <c r="T71" s="31">
        <v>117.8</v>
      </c>
      <c r="U71" s="31">
        <v>121.8</v>
      </c>
      <c r="V71" s="31">
        <v>116.1</v>
      </c>
      <c r="W71" s="31">
        <v>116.59</v>
      </c>
      <c r="X71" s="31">
        <v>116.59</v>
      </c>
      <c r="Y71" s="31" t="s">
        <v>422</v>
      </c>
      <c r="Z71">
        <f t="shared" si="5"/>
        <v>1.5592334494773574E-2</v>
      </c>
    </row>
    <row r="72" spans="1:26" ht="58.2" thickBot="1" x14ac:dyDescent="0.35">
      <c r="A72" s="17" t="s">
        <v>987</v>
      </c>
      <c r="B72" s="24" t="s">
        <v>988</v>
      </c>
      <c r="C72" s="18">
        <v>450</v>
      </c>
      <c r="D72" s="24">
        <v>0.3</v>
      </c>
      <c r="E72" s="24">
        <v>0.12</v>
      </c>
      <c r="F72" s="24">
        <v>0.28999999999999998</v>
      </c>
      <c r="G72" s="24">
        <v>0</v>
      </c>
      <c r="H72" s="24" t="s">
        <v>22</v>
      </c>
      <c r="I72" s="24">
        <v>10</v>
      </c>
      <c r="J72" s="24">
        <v>7.3</v>
      </c>
      <c r="K72" s="26">
        <v>0.63229999999999997</v>
      </c>
      <c r="L72">
        <f t="shared" si="3"/>
        <v>0.20499999999999999</v>
      </c>
      <c r="R72">
        <f t="shared" si="4"/>
        <v>0.64173626793301475</v>
      </c>
      <c r="S72" s="30" t="s">
        <v>423</v>
      </c>
      <c r="T72" s="31">
        <v>116.8</v>
      </c>
      <c r="U72" s="31">
        <v>119.59</v>
      </c>
      <c r="V72" s="31">
        <v>115.39</v>
      </c>
      <c r="W72" s="31">
        <v>118.66</v>
      </c>
      <c r="X72" s="31">
        <v>118.66</v>
      </c>
      <c r="Y72" s="31" t="s">
        <v>424</v>
      </c>
      <c r="Z72">
        <f t="shared" si="5"/>
        <v>1.7754524401749662E-2</v>
      </c>
    </row>
    <row r="73" spans="1:26" ht="58.2" thickBot="1" x14ac:dyDescent="0.35">
      <c r="A73" s="17" t="s">
        <v>989</v>
      </c>
      <c r="B73" s="24" t="s">
        <v>990</v>
      </c>
      <c r="C73" s="18">
        <v>460</v>
      </c>
      <c r="D73" s="24">
        <v>0.14000000000000001</v>
      </c>
      <c r="E73" s="24">
        <v>0.15</v>
      </c>
      <c r="F73" s="24">
        <v>0.2</v>
      </c>
      <c r="G73" s="24">
        <v>0</v>
      </c>
      <c r="H73" s="24" t="s">
        <v>22</v>
      </c>
      <c r="I73" s="24">
        <v>107</v>
      </c>
      <c r="J73" s="24">
        <v>15.484</v>
      </c>
      <c r="K73" s="26">
        <v>0.62890000000000001</v>
      </c>
      <c r="L73">
        <f t="shared" si="3"/>
        <v>0.17499999999999999</v>
      </c>
      <c r="R73">
        <f t="shared" si="4"/>
        <v>0.64173626793301475</v>
      </c>
      <c r="S73" s="30" t="s">
        <v>425</v>
      </c>
      <c r="T73" s="31">
        <v>117.09</v>
      </c>
      <c r="U73" s="31">
        <v>118.66</v>
      </c>
      <c r="V73" s="31">
        <v>115.15</v>
      </c>
      <c r="W73" s="31">
        <v>117.81</v>
      </c>
      <c r="X73" s="31">
        <v>117.81</v>
      </c>
      <c r="Y73" s="31" t="s">
        <v>426</v>
      </c>
      <c r="Z73">
        <f t="shared" si="5"/>
        <v>-7.1633237822349097E-3</v>
      </c>
    </row>
    <row r="74" spans="1:26" ht="15" thickBot="1" x14ac:dyDescent="0.35">
      <c r="S74" s="30" t="s">
        <v>427</v>
      </c>
      <c r="T74" s="31">
        <v>116.85</v>
      </c>
      <c r="U74" s="31">
        <v>122.98</v>
      </c>
      <c r="V74" s="31">
        <v>116.6</v>
      </c>
      <c r="W74" s="31">
        <v>122.98</v>
      </c>
      <c r="X74" s="31">
        <v>122.98</v>
      </c>
      <c r="Y74" s="31" t="s">
        <v>428</v>
      </c>
      <c r="Z74">
        <f t="shared" si="5"/>
        <v>4.3884220354808601E-2</v>
      </c>
    </row>
    <row r="75" spans="1:26" ht="15" thickBot="1" x14ac:dyDescent="0.35">
      <c r="S75" s="30" t="s">
        <v>429</v>
      </c>
      <c r="T75" s="31">
        <v>118.5</v>
      </c>
      <c r="U75" s="31">
        <v>118.83</v>
      </c>
      <c r="V75" s="31">
        <v>113.69</v>
      </c>
      <c r="W75" s="31">
        <v>115</v>
      </c>
      <c r="X75" s="31">
        <v>115</v>
      </c>
      <c r="Y75" s="31" t="s">
        <v>430</v>
      </c>
      <c r="Z75">
        <f t="shared" si="5"/>
        <v>-6.4888599772320726E-2</v>
      </c>
    </row>
    <row r="76" spans="1:26" ht="15" thickBot="1" x14ac:dyDescent="0.35">
      <c r="S76" s="30" t="s">
        <v>431</v>
      </c>
      <c r="T76" s="31">
        <v>119.49</v>
      </c>
      <c r="U76" s="31">
        <v>122.87</v>
      </c>
      <c r="V76" s="31">
        <v>117.81</v>
      </c>
      <c r="W76" s="31">
        <v>122.1</v>
      </c>
      <c r="X76" s="31">
        <v>122.1</v>
      </c>
      <c r="Y76" s="31" t="s">
        <v>432</v>
      </c>
      <c r="Z76">
        <f t="shared" si="5"/>
        <v>6.173913043478256E-2</v>
      </c>
    </row>
    <row r="77" spans="1:26" ht="15" thickBot="1" x14ac:dyDescent="0.35">
      <c r="S77" s="30" t="s">
        <v>433</v>
      </c>
      <c r="T77" s="31">
        <v>122.32</v>
      </c>
      <c r="U77" s="31">
        <v>125.69</v>
      </c>
      <c r="V77" s="31">
        <v>118.9</v>
      </c>
      <c r="W77" s="31">
        <v>120.25</v>
      </c>
      <c r="X77" s="31">
        <v>120.25</v>
      </c>
      <c r="Y77" s="31" t="s">
        <v>434</v>
      </c>
      <c r="Z77">
        <f t="shared" si="5"/>
        <v>-1.5151515151515105E-2</v>
      </c>
    </row>
    <row r="78" spans="1:26" ht="15" thickBot="1" x14ac:dyDescent="0.35">
      <c r="S78" s="30" t="s">
        <v>435</v>
      </c>
      <c r="T78" s="31">
        <v>122.63</v>
      </c>
      <c r="U78" s="31">
        <v>123.59</v>
      </c>
      <c r="V78" s="31">
        <v>117.77</v>
      </c>
      <c r="W78" s="31">
        <v>122.47</v>
      </c>
      <c r="X78" s="31">
        <v>122.47</v>
      </c>
      <c r="Y78" s="31" t="s">
        <v>436</v>
      </c>
      <c r="Z78">
        <f t="shared" si="5"/>
        <v>1.8461538461538453E-2</v>
      </c>
    </row>
    <row r="79" spans="1:26" ht="15" thickBot="1" x14ac:dyDescent="0.35">
      <c r="S79" s="30" t="s">
        <v>437</v>
      </c>
      <c r="T79" s="31">
        <v>120.93</v>
      </c>
      <c r="U79" s="31">
        <v>127.65</v>
      </c>
      <c r="V79" s="31">
        <v>120.3</v>
      </c>
      <c r="W79" s="31">
        <v>126.58</v>
      </c>
      <c r="X79" s="31">
        <v>126.58</v>
      </c>
      <c r="Y79" s="31" t="s">
        <v>438</v>
      </c>
      <c r="Z79">
        <f t="shared" si="5"/>
        <v>3.3559238997305459E-2</v>
      </c>
    </row>
    <row r="80" spans="1:26" ht="15" thickBot="1" x14ac:dyDescent="0.35">
      <c r="S80" s="30" t="s">
        <v>439</v>
      </c>
      <c r="T80" s="31">
        <v>123</v>
      </c>
      <c r="U80" s="31">
        <v>123.25</v>
      </c>
      <c r="V80" s="31">
        <v>119.75</v>
      </c>
      <c r="W80" s="31">
        <v>122.24</v>
      </c>
      <c r="X80" s="31">
        <v>122.24</v>
      </c>
      <c r="Y80" s="31" t="s">
        <v>440</v>
      </c>
      <c r="Z80">
        <f t="shared" si="5"/>
        <v>-3.4286617159108891E-2</v>
      </c>
    </row>
    <row r="81" spans="19:26" ht="15" thickBot="1" x14ac:dyDescent="0.35">
      <c r="S81" s="30" t="s">
        <v>441</v>
      </c>
      <c r="T81" s="31">
        <v>123.22</v>
      </c>
      <c r="U81" s="31">
        <v>125.21</v>
      </c>
      <c r="V81" s="31">
        <v>122.78</v>
      </c>
      <c r="W81" s="31">
        <v>125.06</v>
      </c>
      <c r="X81" s="31">
        <v>125.06</v>
      </c>
      <c r="Y81" s="31" t="s">
        <v>442</v>
      </c>
      <c r="Z81">
        <f t="shared" si="5"/>
        <v>2.3069371727748752E-2</v>
      </c>
    </row>
    <row r="82" spans="19:26" ht="15" thickBot="1" x14ac:dyDescent="0.35">
      <c r="S82" s="30" t="s">
        <v>443</v>
      </c>
      <c r="T82" s="31">
        <v>124.63</v>
      </c>
      <c r="U82" s="31">
        <v>127.76</v>
      </c>
      <c r="V82" s="31">
        <v>123.21</v>
      </c>
      <c r="W82" s="31">
        <v>123.91</v>
      </c>
      <c r="X82" s="31">
        <v>123.91</v>
      </c>
      <c r="Y82" s="31" t="s">
        <v>444</v>
      </c>
      <c r="Z82">
        <f t="shared" si="5"/>
        <v>-9.1955861186630867E-3</v>
      </c>
    </row>
    <row r="83" spans="19:26" ht="15" thickBot="1" x14ac:dyDescent="0.35">
      <c r="S83" s="30" t="s">
        <v>445</v>
      </c>
      <c r="T83" s="31">
        <v>123.21</v>
      </c>
      <c r="U83" s="31">
        <v>126.97</v>
      </c>
      <c r="V83" s="31">
        <v>121.32</v>
      </c>
      <c r="W83" s="31">
        <v>125.08</v>
      </c>
      <c r="X83" s="31">
        <v>125.08</v>
      </c>
      <c r="Y83" s="31" t="s">
        <v>446</v>
      </c>
      <c r="Z83">
        <f t="shared" si="5"/>
        <v>9.4423371802114572E-3</v>
      </c>
    </row>
    <row r="84" spans="19:26" ht="15" thickBot="1" x14ac:dyDescent="0.35">
      <c r="S84" s="30" t="s">
        <v>447</v>
      </c>
      <c r="T84" s="31">
        <v>129.30000000000001</v>
      </c>
      <c r="U84" s="31">
        <v>129.44999999999999</v>
      </c>
      <c r="V84" s="31">
        <v>123.46</v>
      </c>
      <c r="W84" s="31">
        <v>125.54</v>
      </c>
      <c r="X84" s="31">
        <v>125.54</v>
      </c>
      <c r="Y84" s="31" t="s">
        <v>448</v>
      </c>
      <c r="Z84">
        <f t="shared" si="5"/>
        <v>3.6776463063639907E-3</v>
      </c>
    </row>
    <row r="85" spans="19:26" ht="15" thickBot="1" x14ac:dyDescent="0.35">
      <c r="S85" s="30" t="s">
        <v>449</v>
      </c>
      <c r="T85" s="31">
        <v>113.64</v>
      </c>
      <c r="U85" s="31">
        <v>123.82</v>
      </c>
      <c r="V85" s="31">
        <v>113.43</v>
      </c>
      <c r="W85" s="31">
        <v>123.6</v>
      </c>
      <c r="X85" s="31">
        <v>123.6</v>
      </c>
      <c r="Y85" s="31" t="s">
        <v>450</v>
      </c>
      <c r="Z85">
        <f t="shared" si="5"/>
        <v>-1.5453241994583493E-2</v>
      </c>
    </row>
    <row r="86" spans="19:26" ht="15" thickBot="1" x14ac:dyDescent="0.35">
      <c r="S86" s="30" t="s">
        <v>451</v>
      </c>
      <c r="T86" s="31">
        <v>118</v>
      </c>
      <c r="U86" s="31">
        <v>118.19</v>
      </c>
      <c r="V86" s="31">
        <v>108.7</v>
      </c>
      <c r="W86" s="31">
        <v>111.96</v>
      </c>
      <c r="X86" s="31">
        <v>111.96</v>
      </c>
      <c r="Y86" s="31" t="s">
        <v>452</v>
      </c>
      <c r="Z86">
        <f t="shared" si="5"/>
        <v>-9.4174757281553403E-2</v>
      </c>
    </row>
    <row r="87" spans="19:26" ht="15" thickBot="1" x14ac:dyDescent="0.35">
      <c r="S87" s="30" t="s">
        <v>453</v>
      </c>
      <c r="T87" s="31">
        <v>123.02</v>
      </c>
      <c r="U87" s="31">
        <v>125</v>
      </c>
      <c r="V87" s="31">
        <v>119.34</v>
      </c>
      <c r="W87" s="31">
        <v>122</v>
      </c>
      <c r="X87" s="31">
        <v>122</v>
      </c>
      <c r="Y87" s="31" t="s">
        <v>454</v>
      </c>
      <c r="Z87">
        <f t="shared" si="5"/>
        <v>8.9674883887102597E-2</v>
      </c>
    </row>
    <row r="88" spans="19:26" ht="15" thickBot="1" x14ac:dyDescent="0.35">
      <c r="S88" s="30" t="s">
        <v>455</v>
      </c>
      <c r="T88" s="31">
        <v>128.37</v>
      </c>
      <c r="U88" s="31">
        <v>129.15</v>
      </c>
      <c r="V88" s="31">
        <v>121.9</v>
      </c>
      <c r="W88" s="31">
        <v>122.49</v>
      </c>
      <c r="X88" s="31">
        <v>122.49</v>
      </c>
      <c r="Y88" s="31" t="s">
        <v>456</v>
      </c>
      <c r="Z88">
        <f t="shared" si="5"/>
        <v>4.0163934426229089E-3</v>
      </c>
    </row>
    <row r="89" spans="19:26" ht="15" thickBot="1" x14ac:dyDescent="0.35">
      <c r="S89" s="30" t="s">
        <v>457</v>
      </c>
      <c r="T89" s="31">
        <v>129.9</v>
      </c>
      <c r="U89" s="31">
        <v>131.32</v>
      </c>
      <c r="V89" s="31">
        <v>126.13</v>
      </c>
      <c r="W89" s="31">
        <v>127.53</v>
      </c>
      <c r="X89" s="31">
        <v>127.53</v>
      </c>
      <c r="Y89" s="31" t="s">
        <v>458</v>
      </c>
      <c r="Z89">
        <f t="shared" si="5"/>
        <v>4.1146216017634143E-2</v>
      </c>
    </row>
    <row r="90" spans="19:26" ht="15" thickBot="1" x14ac:dyDescent="0.35">
      <c r="S90" s="30" t="s">
        <v>459</v>
      </c>
      <c r="T90" s="31">
        <v>134.25</v>
      </c>
      <c r="U90" s="31">
        <v>134.55000000000001</v>
      </c>
      <c r="V90" s="31">
        <v>130.55000000000001</v>
      </c>
      <c r="W90" s="31">
        <v>131.61000000000001</v>
      </c>
      <c r="X90" s="31">
        <v>131.61000000000001</v>
      </c>
      <c r="Y90" s="31" t="s">
        <v>460</v>
      </c>
      <c r="Z90">
        <f t="shared" si="5"/>
        <v>3.1992472359444933E-2</v>
      </c>
    </row>
    <row r="91" spans="19:26" ht="15" thickBot="1" x14ac:dyDescent="0.35">
      <c r="S91" s="30" t="s">
        <v>461</v>
      </c>
      <c r="T91" s="31">
        <v>132.93</v>
      </c>
      <c r="U91" s="31">
        <v>133.97999999999999</v>
      </c>
      <c r="V91" s="31">
        <v>131.22</v>
      </c>
      <c r="W91" s="31">
        <v>133.35</v>
      </c>
      <c r="X91" s="31">
        <v>133.35</v>
      </c>
      <c r="Y91" s="31" t="s">
        <v>462</v>
      </c>
      <c r="Z91">
        <f t="shared" si="5"/>
        <v>1.3220879872349977E-2</v>
      </c>
    </row>
    <row r="92" spans="19:26" ht="15" thickBot="1" x14ac:dyDescent="0.35">
      <c r="S92" s="30" t="s">
        <v>463</v>
      </c>
      <c r="T92" s="31">
        <v>133.1</v>
      </c>
      <c r="U92" s="31">
        <v>136.76</v>
      </c>
      <c r="V92" s="31">
        <v>131.22</v>
      </c>
      <c r="W92" s="31">
        <v>136.52000000000001</v>
      </c>
      <c r="X92" s="31">
        <v>136.52000000000001</v>
      </c>
      <c r="Y92" s="31" t="s">
        <v>464</v>
      </c>
      <c r="Z92">
        <f t="shared" si="5"/>
        <v>2.3772028496438065E-2</v>
      </c>
    </row>
    <row r="93" spans="19:26" ht="15" thickBot="1" x14ac:dyDescent="0.35">
      <c r="S93" s="30" t="s">
        <v>465</v>
      </c>
      <c r="T93" s="31">
        <v>136.03</v>
      </c>
      <c r="U93" s="31">
        <v>136.85</v>
      </c>
      <c r="V93" s="31">
        <v>133.31</v>
      </c>
      <c r="W93" s="31">
        <v>133.66</v>
      </c>
      <c r="X93" s="31">
        <v>133.66</v>
      </c>
      <c r="Y93" s="31" t="s">
        <v>466</v>
      </c>
      <c r="Z93">
        <f t="shared" si="5"/>
        <v>-2.0949311456196992E-2</v>
      </c>
    </row>
    <row r="94" spans="19:26" ht="15" thickBot="1" x14ac:dyDescent="0.35">
      <c r="S94" s="30" t="s">
        <v>467</v>
      </c>
      <c r="T94" s="31">
        <v>139.9</v>
      </c>
      <c r="U94" s="31">
        <v>140.69999999999999</v>
      </c>
      <c r="V94" s="31">
        <v>135.21</v>
      </c>
      <c r="W94" s="31">
        <v>136.62</v>
      </c>
      <c r="X94" s="31">
        <v>136.62</v>
      </c>
      <c r="Y94" s="31" t="s">
        <v>468</v>
      </c>
      <c r="Z94">
        <f t="shared" si="5"/>
        <v>2.2145742929821997E-2</v>
      </c>
    </row>
    <row r="95" spans="19:26" ht="15" thickBot="1" x14ac:dyDescent="0.35">
      <c r="S95" s="30" t="s">
        <v>469</v>
      </c>
      <c r="T95" s="31">
        <v>143.04</v>
      </c>
      <c r="U95" s="31">
        <v>145.06</v>
      </c>
      <c r="V95" s="31">
        <v>140</v>
      </c>
      <c r="W95" s="31">
        <v>140.34</v>
      </c>
      <c r="X95" s="31">
        <v>140.34</v>
      </c>
      <c r="Y95" s="31" t="s">
        <v>470</v>
      </c>
      <c r="Z95">
        <f t="shared" si="5"/>
        <v>2.7228809837505481E-2</v>
      </c>
    </row>
    <row r="96" spans="19:26" ht="15" thickBot="1" x14ac:dyDescent="0.35">
      <c r="S96" s="30" t="s">
        <v>471</v>
      </c>
      <c r="T96" s="31">
        <v>146.91</v>
      </c>
      <c r="U96" s="31">
        <v>148.5</v>
      </c>
      <c r="V96" s="31">
        <v>141.88999999999999</v>
      </c>
      <c r="W96" s="31">
        <v>143.6</v>
      </c>
      <c r="X96" s="31">
        <v>143.6</v>
      </c>
      <c r="Y96" s="31" t="s">
        <v>472</v>
      </c>
      <c r="Z96">
        <f t="shared" si="5"/>
        <v>2.3229300270770921E-2</v>
      </c>
    </row>
    <row r="97" spans="19:26" ht="15" thickBot="1" x14ac:dyDescent="0.35">
      <c r="S97" s="30" t="s">
        <v>473</v>
      </c>
      <c r="T97" s="31">
        <v>168.02</v>
      </c>
      <c r="U97" s="31">
        <v>168.3</v>
      </c>
      <c r="V97" s="31">
        <v>161.13</v>
      </c>
      <c r="W97" s="31">
        <v>161.58000000000001</v>
      </c>
      <c r="X97" s="31">
        <v>161.58000000000001</v>
      </c>
      <c r="Y97" s="31" t="s">
        <v>474</v>
      </c>
      <c r="Z97">
        <f t="shared" si="5"/>
        <v>0.1252089136490252</v>
      </c>
    </row>
    <row r="98" spans="19:26" ht="15" thickBot="1" x14ac:dyDescent="0.35">
      <c r="S98" s="30" t="s">
        <v>475</v>
      </c>
      <c r="T98" s="31">
        <v>168.6</v>
      </c>
      <c r="U98" s="31">
        <v>169.94</v>
      </c>
      <c r="V98" s="31">
        <v>166.67</v>
      </c>
      <c r="W98" s="31">
        <v>168.43</v>
      </c>
      <c r="X98" s="31">
        <v>168.43</v>
      </c>
      <c r="Y98" s="31" t="s">
        <v>476</v>
      </c>
      <c r="Z98">
        <f t="shared" si="5"/>
        <v>4.2393860626315102E-2</v>
      </c>
    </row>
    <row r="99" spans="19:26" ht="15" thickBot="1" x14ac:dyDescent="0.35">
      <c r="S99" s="30" t="s">
        <v>477</v>
      </c>
      <c r="T99" s="31">
        <v>167.22</v>
      </c>
      <c r="U99" s="31">
        <v>168.46</v>
      </c>
      <c r="V99" s="31">
        <v>165.67</v>
      </c>
      <c r="W99" s="31">
        <v>166.54</v>
      </c>
      <c r="X99" s="31">
        <v>166.54</v>
      </c>
      <c r="Y99" s="31" t="s">
        <v>478</v>
      </c>
      <c r="Z99">
        <f t="shared" si="5"/>
        <v>-1.1221278869560142E-2</v>
      </c>
    </row>
    <row r="100" spans="19:26" ht="15" thickBot="1" x14ac:dyDescent="0.35">
      <c r="S100" s="30" t="s">
        <v>479</v>
      </c>
      <c r="T100" s="31">
        <v>165.17</v>
      </c>
      <c r="U100" s="31">
        <v>167.8</v>
      </c>
      <c r="V100" s="31">
        <v>163.4</v>
      </c>
      <c r="W100" s="31">
        <v>166.81</v>
      </c>
      <c r="X100" s="31">
        <v>166.81</v>
      </c>
      <c r="Y100" s="31" t="s">
        <v>480</v>
      </c>
      <c r="Z100">
        <f t="shared" si="5"/>
        <v>1.6212321364237434E-3</v>
      </c>
    </row>
    <row r="101" spans="19:26" ht="15" thickBot="1" x14ac:dyDescent="0.35">
      <c r="S101" s="30" t="s">
        <v>481</v>
      </c>
      <c r="T101" s="31">
        <v>166.56</v>
      </c>
      <c r="U101" s="31">
        <v>169.63</v>
      </c>
      <c r="V101" s="31">
        <v>166.56</v>
      </c>
      <c r="W101" s="31">
        <v>167.85</v>
      </c>
      <c r="X101" s="31">
        <v>167.85</v>
      </c>
      <c r="Y101" s="31" t="s">
        <v>482</v>
      </c>
      <c r="Z101">
        <f t="shared" si="5"/>
        <v>6.2346382111383731E-3</v>
      </c>
    </row>
    <row r="102" spans="19:26" ht="15" thickBot="1" x14ac:dyDescent="0.35">
      <c r="S102" s="30" t="s">
        <v>483</v>
      </c>
      <c r="T102" s="31">
        <v>163.68</v>
      </c>
      <c r="U102" s="31">
        <v>166.48</v>
      </c>
      <c r="V102" s="31">
        <v>161.82</v>
      </c>
      <c r="W102" s="31">
        <v>163.97</v>
      </c>
      <c r="X102" s="31">
        <v>163.97</v>
      </c>
      <c r="Y102" s="31" t="s">
        <v>484</v>
      </c>
      <c r="Z102">
        <f t="shared" si="5"/>
        <v>-2.3115877271373222E-2</v>
      </c>
    </row>
    <row r="103" spans="19:26" ht="15" thickBot="1" x14ac:dyDescent="0.35">
      <c r="S103" s="30" t="s">
        <v>485</v>
      </c>
      <c r="T103" s="31">
        <v>162.16</v>
      </c>
      <c r="U103" s="31">
        <v>164.48</v>
      </c>
      <c r="V103" s="31">
        <v>159.54</v>
      </c>
      <c r="W103" s="31">
        <v>160.19</v>
      </c>
      <c r="X103" s="31">
        <v>160.19</v>
      </c>
      <c r="Y103" s="31" t="s">
        <v>486</v>
      </c>
      <c r="Z103">
        <f t="shared" si="5"/>
        <v>-2.3052997499542607E-2</v>
      </c>
    </row>
    <row r="104" spans="19:26" ht="15" thickBot="1" x14ac:dyDescent="0.35">
      <c r="S104" s="30" t="s">
        <v>487</v>
      </c>
      <c r="T104" s="31">
        <v>161.76</v>
      </c>
      <c r="U104" s="31">
        <v>162.16</v>
      </c>
      <c r="V104" s="31">
        <v>159.47999999999999</v>
      </c>
      <c r="W104" s="31">
        <v>162.16</v>
      </c>
      <c r="X104" s="31">
        <v>162.16</v>
      </c>
      <c r="Y104" s="31" t="s">
        <v>488</v>
      </c>
      <c r="Z104">
        <f t="shared" si="5"/>
        <v>1.2297896248205249E-2</v>
      </c>
    </row>
    <row r="105" spans="19:26" ht="15" thickBot="1" x14ac:dyDescent="0.35">
      <c r="S105" s="30" t="s">
        <v>489</v>
      </c>
      <c r="T105" s="31">
        <v>164.79</v>
      </c>
      <c r="U105" s="31">
        <v>164.79</v>
      </c>
      <c r="V105" s="31">
        <v>158.30000000000001</v>
      </c>
      <c r="W105" s="31">
        <v>158.72999999999999</v>
      </c>
      <c r="X105" s="31">
        <v>158.72999999999999</v>
      </c>
      <c r="Y105" s="31" t="s">
        <v>490</v>
      </c>
      <c r="Z105">
        <f t="shared" si="5"/>
        <v>-2.1151948692649278E-2</v>
      </c>
    </row>
    <row r="106" spans="19:26" ht="15" thickBot="1" x14ac:dyDescent="0.35">
      <c r="S106" s="30" t="s">
        <v>491</v>
      </c>
      <c r="T106" s="31">
        <v>169.28</v>
      </c>
      <c r="U106" s="31">
        <v>169.94</v>
      </c>
      <c r="V106" s="31">
        <v>164.5</v>
      </c>
      <c r="W106" s="31">
        <v>164.79</v>
      </c>
      <c r="X106" s="31">
        <v>164.79</v>
      </c>
      <c r="Y106" s="31" t="s">
        <v>492</v>
      </c>
      <c r="Z106">
        <f t="shared" si="5"/>
        <v>3.8178038178038193E-2</v>
      </c>
    </row>
    <row r="107" spans="19:26" ht="15" thickBot="1" x14ac:dyDescent="0.35">
      <c r="S107" s="30" t="s">
        <v>493</v>
      </c>
      <c r="T107" s="31">
        <v>165.36</v>
      </c>
      <c r="U107" s="31">
        <v>166.65</v>
      </c>
      <c r="V107" s="31">
        <v>163.11000000000001</v>
      </c>
      <c r="W107" s="31">
        <v>166.24</v>
      </c>
      <c r="X107" s="31">
        <v>166.24</v>
      </c>
      <c r="Y107" s="31" t="s">
        <v>494</v>
      </c>
      <c r="Z107">
        <f t="shared" si="5"/>
        <v>8.7990776139329884E-3</v>
      </c>
    </row>
    <row r="108" spans="19:26" ht="15" thickBot="1" x14ac:dyDescent="0.35">
      <c r="S108" s="30" t="s">
        <v>495</v>
      </c>
      <c r="T108" s="31">
        <v>167.1</v>
      </c>
      <c r="U108" s="31">
        <v>167.1</v>
      </c>
      <c r="V108" s="31">
        <v>162.76</v>
      </c>
      <c r="W108" s="31">
        <v>162.9</v>
      </c>
      <c r="X108" s="31">
        <v>162.9</v>
      </c>
      <c r="Y108" s="31" t="s">
        <v>496</v>
      </c>
      <c r="Z108">
        <f t="shared" si="5"/>
        <v>-2.0091434071222349E-2</v>
      </c>
    </row>
    <row r="109" spans="19:26" ht="15" thickBot="1" x14ac:dyDescent="0.35">
      <c r="S109" s="30" t="s">
        <v>497</v>
      </c>
      <c r="T109" s="31">
        <v>165.84</v>
      </c>
      <c r="U109" s="31">
        <v>171.9</v>
      </c>
      <c r="V109" s="31">
        <v>165.8</v>
      </c>
      <c r="W109" s="31">
        <v>170.17</v>
      </c>
      <c r="X109" s="31">
        <v>170.17</v>
      </c>
      <c r="Y109" s="31" t="s">
        <v>498</v>
      </c>
      <c r="Z109">
        <f t="shared" si="5"/>
        <v>4.462860650705943E-2</v>
      </c>
    </row>
    <row r="110" spans="19:26" ht="15" thickBot="1" x14ac:dyDescent="0.35">
      <c r="S110" s="30" t="s">
        <v>499</v>
      </c>
      <c r="T110" s="31">
        <v>167.07</v>
      </c>
      <c r="U110" s="31">
        <v>168.56</v>
      </c>
      <c r="V110" s="31">
        <v>162.72</v>
      </c>
      <c r="W110" s="31">
        <v>164.94</v>
      </c>
      <c r="X110" s="31">
        <v>164.94</v>
      </c>
      <c r="Y110" s="31" t="s">
        <v>500</v>
      </c>
      <c r="Z110">
        <f t="shared" si="5"/>
        <v>-3.0733971910442442E-2</v>
      </c>
    </row>
    <row r="111" spans="19:26" ht="15" thickBot="1" x14ac:dyDescent="0.35">
      <c r="S111" s="30" t="s">
        <v>501</v>
      </c>
      <c r="T111" s="31">
        <v>168.49</v>
      </c>
      <c r="U111" s="31">
        <v>170.35</v>
      </c>
      <c r="V111" s="31">
        <v>166.77</v>
      </c>
      <c r="W111" s="31">
        <v>169.79</v>
      </c>
      <c r="X111" s="31">
        <v>169.79</v>
      </c>
      <c r="Y111" s="31" t="s">
        <v>502</v>
      </c>
      <c r="Z111">
        <f t="shared" si="5"/>
        <v>2.940463198738932E-2</v>
      </c>
    </row>
    <row r="112" spans="19:26" ht="15" thickBot="1" x14ac:dyDescent="0.35">
      <c r="S112" s="30" t="s">
        <v>503</v>
      </c>
      <c r="T112" s="31">
        <v>167.53</v>
      </c>
      <c r="U112" s="31">
        <v>172.45</v>
      </c>
      <c r="V112" s="31">
        <v>167.34</v>
      </c>
      <c r="W112" s="31">
        <v>169.23</v>
      </c>
      <c r="X112" s="31">
        <v>169.23</v>
      </c>
      <c r="Y112" s="31" t="s">
        <v>504</v>
      </c>
      <c r="Z112">
        <f t="shared" si="5"/>
        <v>-3.2981918840921274E-3</v>
      </c>
    </row>
    <row r="113" spans="19:26" ht="15" thickBot="1" x14ac:dyDescent="0.35">
      <c r="S113" s="30" t="s">
        <v>505</v>
      </c>
      <c r="T113" s="31">
        <v>174.48</v>
      </c>
      <c r="U113" s="31">
        <v>174.9</v>
      </c>
      <c r="V113" s="31">
        <v>167.48</v>
      </c>
      <c r="W113" s="31">
        <v>169.99</v>
      </c>
      <c r="X113" s="31">
        <v>169.99</v>
      </c>
      <c r="Y113" s="31" t="s">
        <v>506</v>
      </c>
      <c r="Z113">
        <f t="shared" si="5"/>
        <v>4.4909295042251333E-3</v>
      </c>
    </row>
    <row r="114" spans="19:26" ht="15" thickBot="1" x14ac:dyDescent="0.35">
      <c r="S114" s="30" t="s">
        <v>507</v>
      </c>
      <c r="T114" s="31">
        <v>177.86</v>
      </c>
      <c r="U114" s="31">
        <v>178.28</v>
      </c>
      <c r="V114" s="31">
        <v>173.83</v>
      </c>
      <c r="W114" s="31">
        <v>176.17</v>
      </c>
      <c r="X114" s="31">
        <v>176.17</v>
      </c>
      <c r="Y114" s="31" t="s">
        <v>508</v>
      </c>
      <c r="Z114">
        <f t="shared" si="5"/>
        <v>3.635507971057108E-2</v>
      </c>
    </row>
    <row r="115" spans="19:26" ht="15" thickBot="1" x14ac:dyDescent="0.35">
      <c r="S115" s="30" t="s">
        <v>509</v>
      </c>
      <c r="T115" s="31">
        <v>179.08</v>
      </c>
      <c r="U115" s="31">
        <v>182.09</v>
      </c>
      <c r="V115" s="31">
        <v>175.81</v>
      </c>
      <c r="W115" s="31">
        <v>177.7</v>
      </c>
      <c r="X115" s="31">
        <v>177.7</v>
      </c>
      <c r="Y115" s="31" t="s">
        <v>510</v>
      </c>
      <c r="Z115">
        <f t="shared" si="5"/>
        <v>8.6847930975762124E-3</v>
      </c>
    </row>
    <row r="116" spans="19:26" ht="15" thickBot="1" x14ac:dyDescent="0.35">
      <c r="S116" s="30" t="s">
        <v>511</v>
      </c>
      <c r="T116" s="31">
        <v>177</v>
      </c>
      <c r="U116" s="31">
        <v>179.78</v>
      </c>
      <c r="V116" s="31">
        <v>176.71</v>
      </c>
      <c r="W116" s="31">
        <v>177.42</v>
      </c>
      <c r="X116" s="31">
        <v>177.42</v>
      </c>
      <c r="Y116" s="31" t="s">
        <v>512</v>
      </c>
      <c r="Z116">
        <f t="shared" si="5"/>
        <v>-1.5756893640967988E-3</v>
      </c>
    </row>
    <row r="117" spans="19:26" ht="15" thickBot="1" x14ac:dyDescent="0.35">
      <c r="S117" s="30" t="s">
        <v>513</v>
      </c>
      <c r="T117" s="31">
        <v>180.95</v>
      </c>
      <c r="U117" s="31">
        <v>182.09</v>
      </c>
      <c r="V117" s="31">
        <v>176.13</v>
      </c>
      <c r="W117" s="31">
        <v>177.18</v>
      </c>
      <c r="X117" s="31">
        <v>177.18</v>
      </c>
      <c r="Y117" s="31" t="s">
        <v>514</v>
      </c>
      <c r="Z117">
        <f t="shared" si="5"/>
        <v>-1.3527223537367866E-3</v>
      </c>
    </row>
    <row r="118" spans="19:26" ht="15" thickBot="1" x14ac:dyDescent="0.35">
      <c r="S118" s="30" t="s">
        <v>515</v>
      </c>
      <c r="T118" s="31">
        <v>170.6</v>
      </c>
      <c r="U118" s="31">
        <v>177.44</v>
      </c>
      <c r="V118" s="31">
        <v>170.45</v>
      </c>
      <c r="W118" s="31">
        <v>177</v>
      </c>
      <c r="X118" s="31">
        <v>177</v>
      </c>
      <c r="Y118" s="31" t="s">
        <v>516</v>
      </c>
      <c r="Z118">
        <f t="shared" si="5"/>
        <v>-1.0159160176092495E-3</v>
      </c>
    </row>
    <row r="119" spans="19:26" ht="15" thickBot="1" x14ac:dyDescent="0.35">
      <c r="S119" s="30" t="s">
        <v>517</v>
      </c>
      <c r="T119" s="31">
        <v>166.58</v>
      </c>
      <c r="U119" s="31">
        <v>169.25</v>
      </c>
      <c r="V119" s="31">
        <v>166.58</v>
      </c>
      <c r="W119" s="31">
        <v>166.82</v>
      </c>
      <c r="X119" s="31">
        <v>166.82</v>
      </c>
      <c r="Y119" s="31" t="s">
        <v>518</v>
      </c>
      <c r="Z119">
        <f t="shared" si="5"/>
        <v>-5.751412429378535E-2</v>
      </c>
    </row>
    <row r="120" spans="19:26" ht="15" thickBot="1" x14ac:dyDescent="0.35">
      <c r="S120" s="30" t="s">
        <v>519</v>
      </c>
      <c r="T120" s="31">
        <v>166.99</v>
      </c>
      <c r="U120" s="31">
        <v>169.8</v>
      </c>
      <c r="V120" s="31">
        <v>165.43</v>
      </c>
      <c r="W120" s="31">
        <v>168</v>
      </c>
      <c r="X120" s="31">
        <v>168</v>
      </c>
      <c r="Y120" s="31" t="s">
        <v>520</v>
      </c>
      <c r="Z120">
        <f t="shared" si="5"/>
        <v>7.0734923870039972E-3</v>
      </c>
    </row>
    <row r="121" spans="19:26" ht="15" thickBot="1" x14ac:dyDescent="0.35">
      <c r="S121" s="30" t="s">
        <v>521</v>
      </c>
      <c r="T121" s="31">
        <v>168.26</v>
      </c>
      <c r="U121" s="31">
        <v>168.99</v>
      </c>
      <c r="V121" s="31">
        <v>164.46</v>
      </c>
      <c r="W121" s="31">
        <v>166.78</v>
      </c>
      <c r="X121" s="31">
        <v>166.78</v>
      </c>
      <c r="Y121" s="31" t="s">
        <v>522</v>
      </c>
      <c r="Z121">
        <f t="shared" si="5"/>
        <v>-7.261904761904755E-3</v>
      </c>
    </row>
    <row r="122" spans="19:26" ht="15" thickBot="1" x14ac:dyDescent="0.35">
      <c r="S122" s="30" t="s">
        <v>523</v>
      </c>
      <c r="T122" s="31">
        <v>164.38</v>
      </c>
      <c r="U122" s="31">
        <v>168.26</v>
      </c>
      <c r="V122" s="31">
        <v>163.6</v>
      </c>
      <c r="W122" s="31">
        <v>167.4</v>
      </c>
      <c r="X122" s="31">
        <v>167.4</v>
      </c>
      <c r="Y122" s="31" t="s">
        <v>524</v>
      </c>
      <c r="Z122">
        <f t="shared" si="5"/>
        <v>3.717472118959135E-3</v>
      </c>
    </row>
    <row r="123" spans="19:26" ht="15" thickBot="1" x14ac:dyDescent="0.35">
      <c r="S123" s="30" t="s">
        <v>525</v>
      </c>
      <c r="T123" s="31">
        <v>163.82</v>
      </c>
      <c r="U123" s="31">
        <v>165.73</v>
      </c>
      <c r="V123" s="31">
        <v>162.24</v>
      </c>
      <c r="W123" s="31">
        <v>163</v>
      </c>
      <c r="X123" s="31">
        <v>163</v>
      </c>
      <c r="Y123" s="31" t="s">
        <v>526</v>
      </c>
      <c r="Z123">
        <f t="shared" si="5"/>
        <v>-2.6284348864994058E-2</v>
      </c>
    </row>
    <row r="124" spans="19:26" ht="15" thickBot="1" x14ac:dyDescent="0.35">
      <c r="S124" s="30" t="s">
        <v>527</v>
      </c>
      <c r="T124" s="31">
        <v>169.61</v>
      </c>
      <c r="U124" s="31">
        <v>169.8</v>
      </c>
      <c r="V124" s="31">
        <v>163.95</v>
      </c>
      <c r="W124" s="31">
        <v>163.95</v>
      </c>
      <c r="X124" s="31">
        <v>163.95</v>
      </c>
      <c r="Y124" s="31" t="s">
        <v>528</v>
      </c>
      <c r="Z124">
        <f t="shared" si="5"/>
        <v>5.8282208588956354E-3</v>
      </c>
    </row>
    <row r="125" spans="19:26" ht="15" thickBot="1" x14ac:dyDescent="0.35">
      <c r="S125" s="30" t="s">
        <v>529</v>
      </c>
      <c r="T125" s="31">
        <v>159.86000000000001</v>
      </c>
      <c r="U125" s="31">
        <v>162.78</v>
      </c>
      <c r="V125" s="31">
        <v>157.91</v>
      </c>
      <c r="W125" s="31">
        <v>161.52000000000001</v>
      </c>
      <c r="X125" s="31">
        <v>161.52000000000001</v>
      </c>
      <c r="Y125" s="31" t="s">
        <v>530</v>
      </c>
      <c r="Z125">
        <f t="shared" si="5"/>
        <v>-1.4821591948764737E-2</v>
      </c>
    </row>
    <row r="126" spans="19:26" ht="15" thickBot="1" x14ac:dyDescent="0.35">
      <c r="S126" s="30" t="s">
        <v>531</v>
      </c>
      <c r="T126" s="31">
        <v>151.05000000000001</v>
      </c>
      <c r="U126" s="31">
        <v>158.29</v>
      </c>
      <c r="V126" s="31">
        <v>150.75</v>
      </c>
      <c r="W126" s="31">
        <v>156</v>
      </c>
      <c r="X126" s="31">
        <v>156</v>
      </c>
      <c r="Y126" s="31" t="s">
        <v>532</v>
      </c>
      <c r="Z126">
        <f t="shared" si="5"/>
        <v>-3.4175334323922793E-2</v>
      </c>
    </row>
    <row r="127" spans="19:26" ht="15" thickBot="1" x14ac:dyDescent="0.35">
      <c r="S127" s="30" t="s">
        <v>533</v>
      </c>
      <c r="T127" s="31">
        <v>140.56</v>
      </c>
      <c r="U127" s="31">
        <v>144.88999999999999</v>
      </c>
      <c r="V127" s="31">
        <v>139.96</v>
      </c>
      <c r="W127" s="31">
        <v>144.1</v>
      </c>
      <c r="X127" s="31">
        <v>144.1</v>
      </c>
      <c r="Y127" s="31" t="s">
        <v>534</v>
      </c>
      <c r="Z127">
        <f t="shared" si="5"/>
        <v>-7.6282051282051316E-2</v>
      </c>
    </row>
    <row r="128" spans="19:26" ht="15" thickBot="1" x14ac:dyDescent="0.35">
      <c r="S128" s="30" t="s">
        <v>610</v>
      </c>
      <c r="T128" s="31">
        <v>139.38</v>
      </c>
      <c r="U128" s="31">
        <v>143.83000000000001</v>
      </c>
      <c r="V128" s="31">
        <v>139.19</v>
      </c>
      <c r="W128" s="31">
        <v>143.13999999999999</v>
      </c>
      <c r="X128" s="31">
        <v>143.13999999999999</v>
      </c>
      <c r="Y128" s="31" t="s">
        <v>611</v>
      </c>
      <c r="Z128">
        <f t="shared" si="5"/>
        <v>-6.662040249826565E-3</v>
      </c>
    </row>
    <row r="129" spans="19:26" ht="15" thickBot="1" x14ac:dyDescent="0.35">
      <c r="S129" s="30" t="s">
        <v>612</v>
      </c>
      <c r="T129" s="31">
        <v>141.69999999999999</v>
      </c>
      <c r="U129" s="31">
        <v>141.9</v>
      </c>
      <c r="V129" s="31">
        <v>138.43</v>
      </c>
      <c r="W129" s="31">
        <v>139.63</v>
      </c>
      <c r="X129" s="31">
        <v>139.63</v>
      </c>
      <c r="Y129" s="31" t="s">
        <v>613</v>
      </c>
      <c r="Z129">
        <f t="shared" si="5"/>
        <v>-2.4521447533882849E-2</v>
      </c>
    </row>
    <row r="130" spans="19:26" ht="15" thickBot="1" x14ac:dyDescent="0.35">
      <c r="S130" s="30" t="s">
        <v>614</v>
      </c>
      <c r="T130" s="31">
        <v>147.09</v>
      </c>
      <c r="U130" s="31">
        <v>148.44999999999999</v>
      </c>
      <c r="V130" s="31">
        <v>143.34</v>
      </c>
      <c r="W130" s="31">
        <v>144.19999999999999</v>
      </c>
      <c r="X130" s="31">
        <v>144.19999999999999</v>
      </c>
      <c r="Y130" s="31" t="s">
        <v>615</v>
      </c>
      <c r="Z130">
        <f t="shared" si="5"/>
        <v>3.2729356155553918E-2</v>
      </c>
    </row>
    <row r="131" spans="19:26" ht="15" thickBot="1" x14ac:dyDescent="0.35">
      <c r="S131" s="30" t="s">
        <v>616</v>
      </c>
      <c r="T131" s="31">
        <v>147.03</v>
      </c>
      <c r="U131" s="31">
        <v>149.58000000000001</v>
      </c>
      <c r="V131" s="31">
        <v>146.86000000000001</v>
      </c>
      <c r="W131" s="31">
        <v>148.05000000000001</v>
      </c>
      <c r="X131" s="31">
        <v>148.05000000000001</v>
      </c>
      <c r="Y131" s="31" t="s">
        <v>617</v>
      </c>
      <c r="Z131">
        <f t="shared" si="5"/>
        <v>2.669902912621375E-2</v>
      </c>
    </row>
    <row r="132" spans="19:26" ht="15" thickBot="1" x14ac:dyDescent="0.35">
      <c r="S132" s="30" t="s">
        <v>618</v>
      </c>
      <c r="T132" s="31">
        <v>150.46</v>
      </c>
      <c r="U132" s="31">
        <v>152.1</v>
      </c>
      <c r="V132" s="31">
        <v>147.47999999999999</v>
      </c>
      <c r="W132" s="31">
        <v>147.58000000000001</v>
      </c>
      <c r="X132" s="31">
        <v>147.58000000000001</v>
      </c>
      <c r="Y132" s="31" t="s">
        <v>619</v>
      </c>
      <c r="Z132">
        <f t="shared" ref="Z132:Z192" si="6">(W132-W131)/W131</f>
        <v>-3.1746031746031668E-3</v>
      </c>
    </row>
    <row r="133" spans="19:26" ht="15" thickBot="1" x14ac:dyDescent="0.35">
      <c r="S133" s="30" t="s">
        <v>620</v>
      </c>
      <c r="T133" s="31">
        <v>152.16</v>
      </c>
      <c r="U133" s="31">
        <v>153.72999999999999</v>
      </c>
      <c r="V133" s="31">
        <v>148.86000000000001</v>
      </c>
      <c r="W133" s="31">
        <v>152.38999999999999</v>
      </c>
      <c r="X133" s="31">
        <v>152.38999999999999</v>
      </c>
      <c r="Y133" s="31" t="s">
        <v>621</v>
      </c>
      <c r="Z133">
        <f t="shared" si="6"/>
        <v>3.2592492207616029E-2</v>
      </c>
    </row>
    <row r="134" spans="19:26" ht="15" thickBot="1" x14ac:dyDescent="0.35">
      <c r="S134" s="30" t="s">
        <v>622</v>
      </c>
      <c r="T134" s="31">
        <v>144.91999999999999</v>
      </c>
      <c r="U134" s="31">
        <v>150.99</v>
      </c>
      <c r="V134" s="31">
        <v>144.44</v>
      </c>
      <c r="W134" s="31">
        <v>150.18</v>
      </c>
      <c r="X134" s="31">
        <v>150.18</v>
      </c>
      <c r="Y134" s="31" t="s">
        <v>623</v>
      </c>
      <c r="Z134">
        <f t="shared" si="6"/>
        <v>-1.4502263928079137E-2</v>
      </c>
    </row>
    <row r="135" spans="19:26" ht="15" thickBot="1" x14ac:dyDescent="0.35">
      <c r="S135" s="30" t="s">
        <v>624</v>
      </c>
      <c r="T135" s="31">
        <v>147.71</v>
      </c>
      <c r="U135" s="31">
        <v>148</v>
      </c>
      <c r="V135" s="31">
        <v>144.57</v>
      </c>
      <c r="W135" s="31">
        <v>145.08000000000001</v>
      </c>
      <c r="X135" s="31">
        <v>145.08000000000001</v>
      </c>
      <c r="Y135" s="31" t="s">
        <v>625</v>
      </c>
      <c r="Z135">
        <f t="shared" si="6"/>
        <v>-3.3959248901318378E-2</v>
      </c>
    </row>
    <row r="136" spans="19:26" ht="15" thickBot="1" x14ac:dyDescent="0.35">
      <c r="S136" s="30" t="s">
        <v>626</v>
      </c>
      <c r="T136" s="31">
        <v>152.58000000000001</v>
      </c>
      <c r="U136" s="31">
        <v>152.68</v>
      </c>
      <c r="V136" s="31">
        <v>149.61000000000001</v>
      </c>
      <c r="W136" s="31">
        <v>151.19</v>
      </c>
      <c r="X136" s="31">
        <v>151.19</v>
      </c>
      <c r="Y136" s="31" t="s">
        <v>627</v>
      </c>
      <c r="Z136">
        <f t="shared" si="6"/>
        <v>4.211469534050169E-2</v>
      </c>
    </row>
    <row r="137" spans="19:26" ht="15" thickBot="1" x14ac:dyDescent="0.35">
      <c r="S137" s="30" t="s">
        <v>628</v>
      </c>
      <c r="T137" s="31">
        <v>151.47</v>
      </c>
      <c r="U137" s="31">
        <v>154</v>
      </c>
      <c r="V137" s="31">
        <v>151.02000000000001</v>
      </c>
      <c r="W137" s="31">
        <v>151.88999999999999</v>
      </c>
      <c r="X137" s="31">
        <v>151.88999999999999</v>
      </c>
      <c r="Y137" s="31" t="s">
        <v>629</v>
      </c>
      <c r="Z137">
        <f t="shared" si="6"/>
        <v>4.6299358423175386E-3</v>
      </c>
    </row>
    <row r="138" spans="19:26" ht="15" thickBot="1" x14ac:dyDescent="0.35">
      <c r="S138" s="30" t="s">
        <v>630</v>
      </c>
      <c r="T138" s="31">
        <v>151.58000000000001</v>
      </c>
      <c r="U138" s="31">
        <v>152.58000000000001</v>
      </c>
      <c r="V138" s="31">
        <v>149.57</v>
      </c>
      <c r="W138" s="31">
        <v>150.18</v>
      </c>
      <c r="X138" s="31">
        <v>150.18</v>
      </c>
      <c r="Y138" s="31" t="s">
        <v>631</v>
      </c>
      <c r="Z138">
        <f t="shared" si="6"/>
        <v>-1.1258147343472117E-2</v>
      </c>
    </row>
    <row r="139" spans="19:26" ht="15" thickBot="1" x14ac:dyDescent="0.35">
      <c r="S139" s="30" t="s">
        <v>632</v>
      </c>
      <c r="T139" s="31">
        <v>154.4</v>
      </c>
      <c r="U139" s="31">
        <v>155.13999999999999</v>
      </c>
      <c r="V139" s="31">
        <v>149.09</v>
      </c>
      <c r="W139" s="31">
        <v>151.49</v>
      </c>
      <c r="X139" s="31">
        <v>151.49</v>
      </c>
      <c r="Y139" s="31" t="s">
        <v>633</v>
      </c>
      <c r="Z139">
        <f t="shared" si="6"/>
        <v>8.7228658942602351E-3</v>
      </c>
    </row>
    <row r="140" spans="19:26" ht="15" thickBot="1" x14ac:dyDescent="0.35">
      <c r="S140" s="30" t="s">
        <v>634</v>
      </c>
      <c r="T140" s="31">
        <v>158.47999999999999</v>
      </c>
      <c r="U140" s="31">
        <v>160.38</v>
      </c>
      <c r="V140" s="31">
        <v>158.09</v>
      </c>
      <c r="W140" s="31">
        <v>160.05000000000001</v>
      </c>
      <c r="X140" s="31">
        <v>160.05000000000001</v>
      </c>
      <c r="Y140" s="31" t="s">
        <v>635</v>
      </c>
      <c r="Z140">
        <f t="shared" si="6"/>
        <v>5.6505379893062258E-2</v>
      </c>
    </row>
    <row r="141" spans="19:26" ht="15" thickBot="1" x14ac:dyDescent="0.35">
      <c r="S141" s="30" t="s">
        <v>636</v>
      </c>
      <c r="T141" s="31">
        <v>154.91999999999999</v>
      </c>
      <c r="U141" s="31">
        <v>157.63999999999999</v>
      </c>
      <c r="V141" s="31">
        <v>153.66999999999999</v>
      </c>
      <c r="W141" s="31">
        <v>156.26</v>
      </c>
      <c r="X141" s="31">
        <v>156.26</v>
      </c>
      <c r="Y141" s="31" t="s">
        <v>637</v>
      </c>
      <c r="Z141">
        <f t="shared" si="6"/>
        <v>-2.3680099968759888E-2</v>
      </c>
    </row>
    <row r="142" spans="19:26" ht="15" thickBot="1" x14ac:dyDescent="0.35">
      <c r="S142" s="30" t="s">
        <v>638</v>
      </c>
      <c r="T142" s="31">
        <v>157.94999999999999</v>
      </c>
      <c r="U142" s="31">
        <v>158.03</v>
      </c>
      <c r="V142" s="31">
        <v>153.91999999999999</v>
      </c>
      <c r="W142" s="31">
        <v>157.86000000000001</v>
      </c>
      <c r="X142" s="31">
        <v>157.86000000000001</v>
      </c>
      <c r="Y142" s="31" t="s">
        <v>639</v>
      </c>
      <c r="Z142">
        <f t="shared" si="6"/>
        <v>1.0239344681940502E-2</v>
      </c>
    </row>
    <row r="143" spans="19:26" ht="15" thickBot="1" x14ac:dyDescent="0.35">
      <c r="S143" s="30" t="s">
        <v>640</v>
      </c>
      <c r="T143" s="31">
        <v>162.86000000000001</v>
      </c>
      <c r="U143" s="31">
        <v>163.07</v>
      </c>
      <c r="V143" s="31">
        <v>159.47999999999999</v>
      </c>
      <c r="W143" s="31">
        <v>160.15</v>
      </c>
      <c r="X143" s="31">
        <v>160.15</v>
      </c>
      <c r="Y143" s="31" t="s">
        <v>641</v>
      </c>
      <c r="Z143">
        <f t="shared" si="6"/>
        <v>1.4506524768782414E-2</v>
      </c>
    </row>
    <row r="144" spans="19:26" ht="15" thickBot="1" x14ac:dyDescent="0.35">
      <c r="S144" s="30" t="s">
        <v>642</v>
      </c>
      <c r="T144" s="31">
        <v>164.49</v>
      </c>
      <c r="U144" s="31">
        <v>166.86</v>
      </c>
      <c r="V144" s="31">
        <v>163.02000000000001</v>
      </c>
      <c r="W144" s="31">
        <v>165.41</v>
      </c>
      <c r="X144" s="31">
        <v>165.41</v>
      </c>
      <c r="Y144" s="31" t="s">
        <v>643</v>
      </c>
      <c r="Z144">
        <f t="shared" si="6"/>
        <v>3.2844208554480114E-2</v>
      </c>
    </row>
    <row r="145" spans="19:26" ht="15" thickBot="1" x14ac:dyDescent="0.35">
      <c r="S145" s="30" t="s">
        <v>644</v>
      </c>
      <c r="T145" s="31">
        <v>171.2</v>
      </c>
      <c r="U145" s="31">
        <v>171.64</v>
      </c>
      <c r="V145" s="31">
        <v>167.61</v>
      </c>
      <c r="W145" s="31">
        <v>168.1</v>
      </c>
      <c r="X145" s="31">
        <v>168.1</v>
      </c>
      <c r="Y145" s="31" t="s">
        <v>645</v>
      </c>
      <c r="Z145">
        <f t="shared" si="6"/>
        <v>1.6262620155976047E-2</v>
      </c>
    </row>
    <row r="146" spans="19:26" ht="15" thickBot="1" x14ac:dyDescent="0.35">
      <c r="S146" s="30" t="s">
        <v>646</v>
      </c>
      <c r="T146" s="31">
        <v>167.3</v>
      </c>
      <c r="U146" s="31">
        <v>169.04</v>
      </c>
      <c r="V146" s="31">
        <v>165.58</v>
      </c>
      <c r="W146" s="31">
        <v>167.32</v>
      </c>
      <c r="X146" s="31">
        <v>167.32</v>
      </c>
      <c r="Y146" s="31" t="s">
        <v>647</v>
      </c>
      <c r="Z146">
        <f t="shared" si="6"/>
        <v>-4.6400951814396258E-3</v>
      </c>
    </row>
    <row r="147" spans="19:26" ht="15" thickBot="1" x14ac:dyDescent="0.35">
      <c r="S147" s="30" t="s">
        <v>648</v>
      </c>
      <c r="T147" s="31">
        <v>174.25</v>
      </c>
      <c r="U147" s="31">
        <v>174.37</v>
      </c>
      <c r="V147" s="31">
        <v>169.26</v>
      </c>
      <c r="W147" s="31">
        <v>170.71</v>
      </c>
      <c r="X147" s="31">
        <v>170.71</v>
      </c>
      <c r="Y147" s="31" t="s">
        <v>649</v>
      </c>
      <c r="Z147">
        <f t="shared" si="6"/>
        <v>2.0260578532154044E-2</v>
      </c>
    </row>
    <row r="148" spans="19:26" ht="15" thickBot="1" x14ac:dyDescent="0.35">
      <c r="S148" s="30" t="s">
        <v>650</v>
      </c>
      <c r="T148" s="31">
        <v>174.15</v>
      </c>
      <c r="U148" s="31">
        <v>176.84</v>
      </c>
      <c r="V148" s="31">
        <v>173.37</v>
      </c>
      <c r="W148" s="31">
        <v>175.16</v>
      </c>
      <c r="X148" s="31">
        <v>175.16</v>
      </c>
      <c r="Y148" s="31" t="s">
        <v>651</v>
      </c>
      <c r="Z148">
        <f t="shared" si="6"/>
        <v>2.6067600023431482E-2</v>
      </c>
    </row>
    <row r="149" spans="19:26" ht="15" thickBot="1" x14ac:dyDescent="0.35">
      <c r="S149" s="30" t="s">
        <v>652</v>
      </c>
      <c r="T149" s="31">
        <v>169.52</v>
      </c>
      <c r="U149" s="31">
        <v>172.06</v>
      </c>
      <c r="V149" s="31">
        <v>168.88</v>
      </c>
      <c r="W149" s="31">
        <v>170.3</v>
      </c>
      <c r="X149" s="31">
        <v>170.3</v>
      </c>
      <c r="Y149" s="31" t="s">
        <v>653</v>
      </c>
      <c r="Z149">
        <f t="shared" si="6"/>
        <v>-2.7746060744462123E-2</v>
      </c>
    </row>
    <row r="150" spans="19:26" ht="15" thickBot="1" x14ac:dyDescent="0.35">
      <c r="S150" s="30" t="s">
        <v>654</v>
      </c>
      <c r="T150" s="31">
        <v>178.01</v>
      </c>
      <c r="U150" s="31">
        <v>178.18</v>
      </c>
      <c r="V150" s="31">
        <v>171.67</v>
      </c>
      <c r="W150" s="31">
        <v>172</v>
      </c>
      <c r="X150" s="31">
        <v>172</v>
      </c>
      <c r="Y150" s="31" t="s">
        <v>655</v>
      </c>
      <c r="Z150">
        <f t="shared" si="6"/>
        <v>9.9823840281854873E-3</v>
      </c>
    </row>
    <row r="151" spans="19:26" ht="15" thickBot="1" x14ac:dyDescent="0.35">
      <c r="S151" s="30" t="s">
        <v>656</v>
      </c>
      <c r="T151" s="31">
        <v>169.56</v>
      </c>
      <c r="U151" s="31">
        <v>174.79</v>
      </c>
      <c r="V151" s="31">
        <v>169.33</v>
      </c>
      <c r="W151" s="31">
        <v>173.28</v>
      </c>
      <c r="X151" s="31">
        <v>173.28</v>
      </c>
      <c r="Y151" s="31" t="s">
        <v>657</v>
      </c>
      <c r="Z151">
        <f t="shared" si="6"/>
        <v>7.4418604651162856E-3</v>
      </c>
    </row>
    <row r="152" spans="19:26" ht="15" thickBot="1" x14ac:dyDescent="0.35">
      <c r="S152" s="30" t="s">
        <v>658</v>
      </c>
      <c r="T152" s="31">
        <v>167.7</v>
      </c>
      <c r="U152" s="31">
        <v>169</v>
      </c>
      <c r="V152" s="31">
        <v>166.14</v>
      </c>
      <c r="W152" s="31">
        <v>166.99</v>
      </c>
      <c r="X152" s="31">
        <v>166.99</v>
      </c>
      <c r="Y152" s="31" t="s">
        <v>659</v>
      </c>
      <c r="Z152">
        <f t="shared" si="6"/>
        <v>-3.6299630655586286E-2</v>
      </c>
    </row>
    <row r="153" spans="19:26" ht="15" thickBot="1" x14ac:dyDescent="0.35">
      <c r="S153" s="30" t="s">
        <v>660</v>
      </c>
      <c r="T153" s="31">
        <v>160.16999999999999</v>
      </c>
      <c r="U153" s="31">
        <v>163.29</v>
      </c>
      <c r="V153" s="31">
        <v>158.22999999999999</v>
      </c>
      <c r="W153" s="31">
        <v>162.29</v>
      </c>
      <c r="X153" s="31">
        <v>162.29</v>
      </c>
      <c r="Y153" s="31" t="s">
        <v>661</v>
      </c>
      <c r="Z153">
        <f t="shared" si="6"/>
        <v>-2.8145397928019743E-2</v>
      </c>
    </row>
    <row r="154" spans="19:26" ht="15" thickBot="1" x14ac:dyDescent="0.35">
      <c r="S154" s="30" t="s">
        <v>662</v>
      </c>
      <c r="T154" s="31">
        <v>159.99</v>
      </c>
      <c r="U154" s="31">
        <v>161.77000000000001</v>
      </c>
      <c r="V154" s="31">
        <v>158.55000000000001</v>
      </c>
      <c r="W154" s="31">
        <v>159.47</v>
      </c>
      <c r="X154" s="31">
        <v>159.47</v>
      </c>
      <c r="Y154" s="31" t="s">
        <v>663</v>
      </c>
      <c r="Z154">
        <f t="shared" si="6"/>
        <v>-1.7376301682173845E-2</v>
      </c>
    </row>
    <row r="155" spans="19:26" ht="15" thickBot="1" x14ac:dyDescent="0.35">
      <c r="S155" s="30" t="s">
        <v>664</v>
      </c>
      <c r="T155" s="31">
        <v>167.46</v>
      </c>
      <c r="U155" s="31">
        <v>168.45</v>
      </c>
      <c r="V155" s="31">
        <v>164.82</v>
      </c>
      <c r="W155" s="31">
        <v>165.24</v>
      </c>
      <c r="X155" s="31">
        <v>165.24</v>
      </c>
      <c r="Y155" s="31" t="s">
        <v>665</v>
      </c>
      <c r="Z155">
        <f t="shared" si="6"/>
        <v>3.6182354047783347E-2</v>
      </c>
    </row>
    <row r="156" spans="19:26" ht="15" thickBot="1" x14ac:dyDescent="0.35">
      <c r="S156" s="30" t="s">
        <v>666</v>
      </c>
      <c r="T156" s="31">
        <v>168.7</v>
      </c>
      <c r="U156" s="31">
        <v>169.61</v>
      </c>
      <c r="V156" s="31">
        <v>166.08</v>
      </c>
      <c r="W156" s="31">
        <v>169.1</v>
      </c>
      <c r="X156" s="31">
        <v>169.1</v>
      </c>
      <c r="Y156" s="31" t="s">
        <v>667</v>
      </c>
      <c r="Z156">
        <f t="shared" si="6"/>
        <v>2.3359961268457911E-2</v>
      </c>
    </row>
    <row r="157" spans="19:26" ht="15" thickBot="1" x14ac:dyDescent="0.35">
      <c r="S157" s="30" t="s">
        <v>668</v>
      </c>
      <c r="T157" s="31">
        <v>169.04</v>
      </c>
      <c r="U157" s="31">
        <v>174.15</v>
      </c>
      <c r="V157" s="31">
        <v>168.16</v>
      </c>
      <c r="W157" s="31">
        <v>171.7</v>
      </c>
      <c r="X157" s="31">
        <v>171.7</v>
      </c>
      <c r="Y157" s="31" t="s">
        <v>669</v>
      </c>
      <c r="Z157">
        <f t="shared" si="6"/>
        <v>1.5375517445298607E-2</v>
      </c>
    </row>
    <row r="158" spans="19:26" ht="15" thickBot="1" x14ac:dyDescent="0.35">
      <c r="S158" s="30" t="s">
        <v>670</v>
      </c>
      <c r="T158" s="31">
        <v>159.28</v>
      </c>
      <c r="U158" s="31">
        <v>161.47</v>
      </c>
      <c r="V158" s="31">
        <v>152.80000000000001</v>
      </c>
      <c r="W158" s="31">
        <v>161.06</v>
      </c>
      <c r="X158" s="31">
        <v>161.06</v>
      </c>
      <c r="Y158" s="31" t="s">
        <v>671</v>
      </c>
      <c r="Z158">
        <f t="shared" si="6"/>
        <v>-6.1968549796156014E-2</v>
      </c>
    </row>
    <row r="159" spans="19:26" ht="15" thickBot="1" x14ac:dyDescent="0.35">
      <c r="S159" s="30" t="s">
        <v>672</v>
      </c>
      <c r="T159" s="31">
        <v>164.12</v>
      </c>
      <c r="U159" s="31">
        <v>166.93</v>
      </c>
      <c r="V159" s="31">
        <v>155.5</v>
      </c>
      <c r="W159" s="31">
        <v>157.96</v>
      </c>
      <c r="X159" s="31">
        <v>157.96</v>
      </c>
      <c r="Y159" s="31" t="s">
        <v>673</v>
      </c>
      <c r="Z159">
        <f t="shared" si="6"/>
        <v>-1.9247485409164253E-2</v>
      </c>
    </row>
    <row r="160" spans="19:26" ht="15" thickBot="1" x14ac:dyDescent="0.35">
      <c r="S160" s="30" t="s">
        <v>674</v>
      </c>
      <c r="T160" s="31">
        <v>166.7</v>
      </c>
      <c r="U160" s="31">
        <v>167.26</v>
      </c>
      <c r="V160" s="31">
        <v>159.51</v>
      </c>
      <c r="W160" s="31">
        <v>160.55000000000001</v>
      </c>
      <c r="X160" s="31">
        <v>160.55000000000001</v>
      </c>
      <c r="Y160" s="31" t="s">
        <v>675</v>
      </c>
      <c r="Z160">
        <f t="shared" si="6"/>
        <v>1.6396556090149426E-2</v>
      </c>
    </row>
    <row r="161" spans="19:26" ht="15" thickBot="1" x14ac:dyDescent="0.35">
      <c r="S161" s="30" t="s">
        <v>676</v>
      </c>
      <c r="T161" s="31">
        <v>174.1</v>
      </c>
      <c r="U161" s="31">
        <v>175.36</v>
      </c>
      <c r="V161" s="31">
        <v>172.11</v>
      </c>
      <c r="W161" s="31">
        <v>172.35</v>
      </c>
      <c r="X161" s="31">
        <v>172.35</v>
      </c>
      <c r="Y161" s="31" t="s">
        <v>677</v>
      </c>
      <c r="Z161">
        <f t="shared" si="6"/>
        <v>7.3497352849579464E-2</v>
      </c>
    </row>
    <row r="162" spans="19:26" ht="15" thickBot="1" x14ac:dyDescent="0.35">
      <c r="S162" s="30" t="s">
        <v>678</v>
      </c>
      <c r="T162" s="31">
        <v>175.92</v>
      </c>
      <c r="U162" s="31">
        <v>177.89</v>
      </c>
      <c r="V162" s="31">
        <v>173.15</v>
      </c>
      <c r="W162" s="31">
        <v>173.73</v>
      </c>
      <c r="X162" s="31">
        <v>173.73</v>
      </c>
      <c r="Y162" s="31" t="s">
        <v>679</v>
      </c>
      <c r="Z162">
        <f t="shared" si="6"/>
        <v>8.0069625761531506E-3</v>
      </c>
    </row>
    <row r="163" spans="19:26" ht="15" thickBot="1" x14ac:dyDescent="0.35">
      <c r="S163" s="30" t="s">
        <v>680</v>
      </c>
      <c r="T163" s="31">
        <v>185</v>
      </c>
      <c r="U163" s="31">
        <v>186.26</v>
      </c>
      <c r="V163" s="31">
        <v>181.51</v>
      </c>
      <c r="W163" s="31">
        <v>182.71</v>
      </c>
      <c r="X163" s="31">
        <v>182.71</v>
      </c>
      <c r="Y163" s="31" t="s">
        <v>681</v>
      </c>
      <c r="Z163">
        <f t="shared" si="6"/>
        <v>5.1689403096759449E-2</v>
      </c>
    </row>
    <row r="164" spans="19:26" ht="15" thickBot="1" x14ac:dyDescent="0.35">
      <c r="S164" s="30" t="s">
        <v>682</v>
      </c>
      <c r="T164" s="31">
        <v>188.61</v>
      </c>
      <c r="U164" s="31">
        <v>189.26</v>
      </c>
      <c r="V164" s="31">
        <v>186.71</v>
      </c>
      <c r="W164" s="31">
        <v>188.62</v>
      </c>
      <c r="X164" s="31">
        <v>188.62</v>
      </c>
      <c r="Y164" s="31" t="s">
        <v>683</v>
      </c>
      <c r="Z164">
        <f t="shared" si="6"/>
        <v>3.2346341196431483E-2</v>
      </c>
    </row>
    <row r="165" spans="19:26" ht="15" thickBot="1" x14ac:dyDescent="0.35">
      <c r="S165" s="30" t="s">
        <v>684</v>
      </c>
      <c r="T165" s="31">
        <v>191.17</v>
      </c>
      <c r="U165" s="31">
        <v>192.98</v>
      </c>
      <c r="V165" s="31">
        <v>189.68</v>
      </c>
      <c r="W165" s="31">
        <v>191.66</v>
      </c>
      <c r="X165" s="31">
        <v>191.66</v>
      </c>
      <c r="Y165" s="31" t="s">
        <v>685</v>
      </c>
      <c r="Z165">
        <f t="shared" si="6"/>
        <v>1.6117060757077681E-2</v>
      </c>
    </row>
    <row r="166" spans="19:26" ht="15" thickBot="1" x14ac:dyDescent="0.35">
      <c r="S166" s="30" t="s">
        <v>686</v>
      </c>
      <c r="T166" s="31">
        <v>196.6</v>
      </c>
      <c r="U166" s="31">
        <v>196.92</v>
      </c>
      <c r="V166" s="31">
        <v>194.73</v>
      </c>
      <c r="W166" s="31">
        <v>194.86</v>
      </c>
      <c r="X166" s="31">
        <v>194.86</v>
      </c>
      <c r="Y166" s="31" t="s">
        <v>687</v>
      </c>
      <c r="Z166">
        <f t="shared" si="6"/>
        <v>1.6696232912449219E-2</v>
      </c>
    </row>
    <row r="167" spans="19:26" ht="15" thickBot="1" x14ac:dyDescent="0.35">
      <c r="S167" s="30" t="s">
        <v>688</v>
      </c>
      <c r="T167" s="31">
        <v>197.27</v>
      </c>
      <c r="U167" s="31">
        <v>198.45</v>
      </c>
      <c r="V167" s="31">
        <v>195.07</v>
      </c>
      <c r="W167" s="31">
        <v>195.73</v>
      </c>
      <c r="X167" s="31">
        <v>195.73</v>
      </c>
      <c r="Y167" s="31" t="s">
        <v>689</v>
      </c>
      <c r="Z167">
        <f t="shared" si="6"/>
        <v>4.4647439187107466E-3</v>
      </c>
    </row>
    <row r="168" spans="19:26" ht="15" thickBot="1" x14ac:dyDescent="0.35">
      <c r="S168" s="30" t="s">
        <v>690</v>
      </c>
      <c r="T168" s="31">
        <v>194.58</v>
      </c>
      <c r="U168" s="31">
        <v>195.5</v>
      </c>
      <c r="V168" s="31">
        <v>192.82</v>
      </c>
      <c r="W168" s="31">
        <v>195.25</v>
      </c>
      <c r="X168" s="31">
        <v>195.25</v>
      </c>
      <c r="Y168" s="31" t="s">
        <v>691</v>
      </c>
      <c r="Z168">
        <f t="shared" si="6"/>
        <v>-2.4523578398814171E-3</v>
      </c>
    </row>
    <row r="169" spans="19:26" ht="15" thickBot="1" x14ac:dyDescent="0.35">
      <c r="S169" s="30" t="s">
        <v>692</v>
      </c>
      <c r="T169" s="31">
        <v>199.25</v>
      </c>
      <c r="U169" s="31">
        <v>199.32</v>
      </c>
      <c r="V169" s="31">
        <v>195.68</v>
      </c>
      <c r="W169" s="31">
        <v>196.39</v>
      </c>
      <c r="X169" s="31">
        <v>196.39</v>
      </c>
      <c r="Y169" s="31" t="s">
        <v>693</v>
      </c>
      <c r="Z169">
        <f t="shared" si="6"/>
        <v>5.8386683738795714E-3</v>
      </c>
    </row>
    <row r="170" spans="19:26" ht="15" thickBot="1" x14ac:dyDescent="0.35">
      <c r="S170" s="30" t="s">
        <v>694</v>
      </c>
      <c r="T170" s="31">
        <v>199.27</v>
      </c>
      <c r="U170" s="31">
        <v>200.29</v>
      </c>
      <c r="V170" s="31">
        <v>197.64</v>
      </c>
      <c r="W170" s="31">
        <v>199.28</v>
      </c>
      <c r="X170" s="31">
        <v>199.28</v>
      </c>
      <c r="Y170" s="31" t="s">
        <v>695</v>
      </c>
      <c r="Z170">
        <f t="shared" si="6"/>
        <v>1.4715616884770176E-2</v>
      </c>
    </row>
    <row r="171" spans="19:26" ht="15" thickBot="1" x14ac:dyDescent="0.35">
      <c r="S171" s="30" t="s">
        <v>696</v>
      </c>
      <c r="T171" s="31">
        <v>197.49</v>
      </c>
      <c r="U171" s="31">
        <v>203.27</v>
      </c>
      <c r="V171" s="31">
        <v>196.91</v>
      </c>
      <c r="W171" s="31">
        <v>200.71</v>
      </c>
      <c r="X171" s="31">
        <v>200.71</v>
      </c>
      <c r="Y171" s="31" t="s">
        <v>697</v>
      </c>
      <c r="Z171">
        <f t="shared" si="6"/>
        <v>7.175832998795699E-3</v>
      </c>
    </row>
    <row r="172" spans="19:26" ht="15" thickBot="1" x14ac:dyDescent="0.35">
      <c r="S172" s="30" t="s">
        <v>698</v>
      </c>
      <c r="T172" s="31">
        <v>195.01</v>
      </c>
      <c r="U172" s="31">
        <v>197.44</v>
      </c>
      <c r="V172" s="31">
        <v>192</v>
      </c>
      <c r="W172" s="31">
        <v>197.38</v>
      </c>
      <c r="X172" s="31">
        <v>197.38</v>
      </c>
      <c r="Y172" s="31" t="s">
        <v>699</v>
      </c>
      <c r="Z172">
        <f t="shared" si="6"/>
        <v>-1.6591101589357841E-2</v>
      </c>
    </row>
    <row r="173" spans="19:26" ht="15" thickBot="1" x14ac:dyDescent="0.35">
      <c r="S173" s="30" t="s">
        <v>700</v>
      </c>
      <c r="T173" s="31">
        <v>196.27</v>
      </c>
      <c r="U173" s="31">
        <v>202.07</v>
      </c>
      <c r="V173" s="31">
        <v>196.25</v>
      </c>
      <c r="W173" s="31">
        <v>200.09</v>
      </c>
      <c r="X173" s="31">
        <v>200.09</v>
      </c>
      <c r="Y173" s="31" t="s">
        <v>701</v>
      </c>
      <c r="Z173">
        <f t="shared" si="6"/>
        <v>1.3729861181477393E-2</v>
      </c>
    </row>
    <row r="174" spans="19:26" ht="15" thickBot="1" x14ac:dyDescent="0.35">
      <c r="S174" s="30" t="s">
        <v>702</v>
      </c>
      <c r="T174" s="31">
        <v>190.58</v>
      </c>
      <c r="U174" s="31">
        <v>196.04</v>
      </c>
      <c r="V174" s="31">
        <v>190.49</v>
      </c>
      <c r="W174" s="31">
        <v>195.19</v>
      </c>
      <c r="X174" s="31">
        <v>195.19</v>
      </c>
      <c r="Y174" s="31" t="s">
        <v>703</v>
      </c>
      <c r="Z174">
        <f t="shared" si="6"/>
        <v>-2.448897995901847E-2</v>
      </c>
    </row>
    <row r="175" spans="19:26" ht="15" thickBot="1" x14ac:dyDescent="0.35">
      <c r="S175" s="30" t="s">
        <v>704</v>
      </c>
      <c r="T175" s="31">
        <v>201.04</v>
      </c>
      <c r="U175" s="31">
        <v>201.14</v>
      </c>
      <c r="V175" s="31">
        <v>194.91</v>
      </c>
      <c r="W175" s="31">
        <v>197.54</v>
      </c>
      <c r="X175" s="31">
        <v>197.54</v>
      </c>
      <c r="Y175" s="31" t="s">
        <v>705</v>
      </c>
      <c r="Z175">
        <f t="shared" si="6"/>
        <v>1.2039551206516699E-2</v>
      </c>
    </row>
    <row r="176" spans="19:26" ht="15" thickBot="1" x14ac:dyDescent="0.35">
      <c r="S176" s="30" t="s">
        <v>706</v>
      </c>
      <c r="T176" s="31">
        <v>190.23</v>
      </c>
      <c r="U176" s="31">
        <v>198</v>
      </c>
      <c r="V176" s="31">
        <v>189.76</v>
      </c>
      <c r="W176" s="31">
        <v>196.01</v>
      </c>
      <c r="X176" s="31">
        <v>196.01</v>
      </c>
      <c r="Y176" s="31" t="s">
        <v>707</v>
      </c>
      <c r="Z176">
        <f t="shared" si="6"/>
        <v>-7.745266781411366E-3</v>
      </c>
    </row>
    <row r="177" spans="19:26" ht="15" thickBot="1" x14ac:dyDescent="0.35">
      <c r="S177" s="30" t="s">
        <v>708</v>
      </c>
      <c r="T177" s="31">
        <v>183.59</v>
      </c>
      <c r="U177" s="31">
        <v>186.9</v>
      </c>
      <c r="V177" s="31">
        <v>179.67</v>
      </c>
      <c r="W177" s="31">
        <v>186.07</v>
      </c>
      <c r="X177" s="31">
        <v>186.07</v>
      </c>
      <c r="Y177" s="31" t="s">
        <v>709</v>
      </c>
      <c r="Z177">
        <f t="shared" si="6"/>
        <v>-5.0711698382735565E-2</v>
      </c>
    </row>
    <row r="178" spans="19:26" ht="15" thickBot="1" x14ac:dyDescent="0.35">
      <c r="S178" s="30" t="s">
        <v>710</v>
      </c>
      <c r="T178" s="31">
        <v>198.37</v>
      </c>
      <c r="U178" s="31">
        <v>198.57</v>
      </c>
      <c r="V178" s="31">
        <v>190.88</v>
      </c>
      <c r="W178" s="31">
        <v>191.76</v>
      </c>
      <c r="X178" s="31">
        <v>191.76</v>
      </c>
      <c r="Y178" s="31" t="s">
        <v>711</v>
      </c>
      <c r="Z178">
        <f t="shared" si="6"/>
        <v>3.0579889288977254E-2</v>
      </c>
    </row>
    <row r="179" spans="19:26" ht="15" thickBot="1" x14ac:dyDescent="0.35">
      <c r="S179" s="30" t="s">
        <v>712</v>
      </c>
      <c r="T179" s="31">
        <v>206.29</v>
      </c>
      <c r="U179" s="31">
        <v>206.89</v>
      </c>
      <c r="V179" s="31">
        <v>203.56</v>
      </c>
      <c r="W179" s="31">
        <v>206.53</v>
      </c>
      <c r="X179" s="31">
        <v>206.53</v>
      </c>
      <c r="Y179" s="31" t="s">
        <v>713</v>
      </c>
      <c r="Z179">
        <f t="shared" si="6"/>
        <v>7.702336253650402E-2</v>
      </c>
    </row>
    <row r="180" spans="19:26" ht="15" thickBot="1" x14ac:dyDescent="0.35">
      <c r="S180" s="30" t="s">
        <v>714</v>
      </c>
      <c r="T180" s="31">
        <v>212.64</v>
      </c>
      <c r="U180" s="31">
        <v>216.39</v>
      </c>
      <c r="V180" s="31">
        <v>212.6</v>
      </c>
      <c r="W180" s="31">
        <v>214.04</v>
      </c>
      <c r="X180" s="31">
        <v>214.04</v>
      </c>
      <c r="Y180" s="31" t="s">
        <v>715</v>
      </c>
      <c r="Z180">
        <f t="shared" si="6"/>
        <v>3.6362756016075103E-2</v>
      </c>
    </row>
    <row r="181" spans="19:26" ht="15" thickBot="1" x14ac:dyDescent="0.35">
      <c r="S181" s="30" t="s">
        <v>716</v>
      </c>
      <c r="T181" s="31">
        <v>209.15</v>
      </c>
      <c r="U181" s="31">
        <v>211.85</v>
      </c>
      <c r="V181" s="31">
        <v>208.42</v>
      </c>
      <c r="W181" s="31">
        <v>211.08</v>
      </c>
      <c r="X181" s="31">
        <v>211.08</v>
      </c>
      <c r="Y181" s="31" t="s">
        <v>717</v>
      </c>
      <c r="Z181">
        <f t="shared" si="6"/>
        <v>-1.382919080545683E-2</v>
      </c>
    </row>
    <row r="182" spans="19:26" ht="15" thickBot="1" x14ac:dyDescent="0.35">
      <c r="S182" s="30" t="s">
        <v>718</v>
      </c>
      <c r="T182" s="31">
        <v>209</v>
      </c>
      <c r="U182" s="31">
        <v>211.5</v>
      </c>
      <c r="V182" s="31">
        <v>207.47</v>
      </c>
      <c r="W182" s="31">
        <v>210.59</v>
      </c>
      <c r="X182" s="31">
        <v>210.59</v>
      </c>
      <c r="Y182" s="31" t="s">
        <v>719</v>
      </c>
      <c r="Z182">
        <f t="shared" si="6"/>
        <v>-2.3213947318552635E-3</v>
      </c>
    </row>
    <row r="183" spans="19:26" ht="15" thickBot="1" x14ac:dyDescent="0.35">
      <c r="S183" s="30" t="s">
        <v>720</v>
      </c>
      <c r="T183" s="31">
        <v>206.1</v>
      </c>
      <c r="U183" s="31">
        <v>209.08</v>
      </c>
      <c r="V183" s="31">
        <v>203.24</v>
      </c>
      <c r="W183" s="31">
        <v>208.91</v>
      </c>
      <c r="X183" s="31">
        <v>208.91</v>
      </c>
      <c r="Y183" s="31" t="s">
        <v>721</v>
      </c>
      <c r="Z183">
        <f t="shared" si="6"/>
        <v>-7.9775867799990827E-3</v>
      </c>
    </row>
    <row r="184" spans="19:26" ht="15" thickBot="1" x14ac:dyDescent="0.35">
      <c r="S184" s="30" t="s">
        <v>722</v>
      </c>
      <c r="T184" s="31">
        <v>214.85</v>
      </c>
      <c r="U184" s="31">
        <v>215.2</v>
      </c>
      <c r="V184" s="31">
        <v>211.46</v>
      </c>
      <c r="W184" s="31">
        <v>212.1</v>
      </c>
      <c r="X184" s="31">
        <v>212.1</v>
      </c>
      <c r="Y184" s="31" t="s">
        <v>723</v>
      </c>
      <c r="Z184">
        <f t="shared" si="6"/>
        <v>1.5269733378009659E-2</v>
      </c>
    </row>
    <row r="185" spans="19:26" ht="15" thickBot="1" x14ac:dyDescent="0.35">
      <c r="S185" s="30" t="s">
        <v>724</v>
      </c>
      <c r="T185" s="31">
        <v>215.11</v>
      </c>
      <c r="U185" s="31">
        <v>216.6</v>
      </c>
      <c r="V185" s="31">
        <v>213.16</v>
      </c>
      <c r="W185" s="31">
        <v>214.76</v>
      </c>
      <c r="X185" s="31">
        <v>214.76</v>
      </c>
      <c r="Y185" s="31" t="s">
        <v>725</v>
      </c>
      <c r="Z185">
        <f t="shared" si="6"/>
        <v>1.2541254125412526E-2</v>
      </c>
    </row>
    <row r="186" spans="19:26" ht="15" thickBot="1" x14ac:dyDescent="0.35">
      <c r="S186" s="30" t="s">
        <v>726</v>
      </c>
      <c r="T186" s="31">
        <v>215.5</v>
      </c>
      <c r="U186" s="31">
        <v>216.35</v>
      </c>
      <c r="V186" s="31">
        <v>211.03</v>
      </c>
      <c r="W186" s="31">
        <v>211.5</v>
      </c>
      <c r="X186" s="31">
        <v>211.5</v>
      </c>
      <c r="Y186" s="31" t="s">
        <v>727</v>
      </c>
      <c r="Z186">
        <f t="shared" si="6"/>
        <v>-1.5179735518718528E-2</v>
      </c>
    </row>
    <row r="187" spans="19:26" ht="15" thickBot="1" x14ac:dyDescent="0.35">
      <c r="S187" s="30" t="s">
        <v>728</v>
      </c>
      <c r="T187" s="31">
        <v>209.23</v>
      </c>
      <c r="U187" s="31">
        <v>212.81</v>
      </c>
      <c r="V187" s="31">
        <v>208.19</v>
      </c>
      <c r="W187" s="31">
        <v>209.51</v>
      </c>
      <c r="X187" s="31">
        <v>209.51</v>
      </c>
      <c r="Y187" s="31" t="s">
        <v>729</v>
      </c>
      <c r="Z187">
        <f t="shared" si="6"/>
        <v>-9.4089834515366857E-3</v>
      </c>
    </row>
    <row r="188" spans="19:26" ht="15" thickBot="1" x14ac:dyDescent="0.35">
      <c r="S188" s="30" t="s">
        <v>730</v>
      </c>
      <c r="T188" s="31">
        <v>203.9</v>
      </c>
      <c r="U188" s="31">
        <v>206.46</v>
      </c>
      <c r="V188" s="31">
        <v>203.02</v>
      </c>
      <c r="W188" s="31">
        <v>205.48</v>
      </c>
      <c r="X188" s="31">
        <v>205.48</v>
      </c>
      <c r="Y188" s="31" t="s">
        <v>731</v>
      </c>
      <c r="Z188">
        <f t="shared" si="6"/>
        <v>-1.9235358694095754E-2</v>
      </c>
    </row>
    <row r="189" spans="19:26" ht="15" thickBot="1" x14ac:dyDescent="0.35">
      <c r="S189" s="30" t="s">
        <v>732</v>
      </c>
      <c r="T189" s="31">
        <v>202.05</v>
      </c>
      <c r="U189" s="31">
        <v>207.27</v>
      </c>
      <c r="V189" s="31">
        <v>201.5</v>
      </c>
      <c r="W189" s="31">
        <v>205.94</v>
      </c>
      <c r="X189" s="31">
        <v>205.94</v>
      </c>
      <c r="Y189" s="31" t="s">
        <v>733</v>
      </c>
      <c r="Z189">
        <f t="shared" si="6"/>
        <v>2.2386606969048472E-3</v>
      </c>
    </row>
    <row r="190" spans="19:26" ht="15" thickBot="1" x14ac:dyDescent="0.35">
      <c r="S190" s="30" t="s">
        <v>734</v>
      </c>
      <c r="T190" s="31">
        <v>201.71</v>
      </c>
      <c r="U190" s="31">
        <v>202.28</v>
      </c>
      <c r="V190" s="31">
        <v>198.26</v>
      </c>
      <c r="W190" s="31">
        <v>199.85</v>
      </c>
      <c r="X190" s="31">
        <v>199.85</v>
      </c>
      <c r="Y190" s="31" t="s">
        <v>735</v>
      </c>
      <c r="Z190">
        <f t="shared" si="6"/>
        <v>-2.9571719918422858E-2</v>
      </c>
    </row>
    <row r="191" spans="19:26" ht="15" thickBot="1" x14ac:dyDescent="0.35">
      <c r="S191" s="30" t="s">
        <v>736</v>
      </c>
      <c r="T191" s="31">
        <v>211.61</v>
      </c>
      <c r="U191" s="31">
        <v>212.05</v>
      </c>
      <c r="V191" s="31">
        <v>207.82</v>
      </c>
      <c r="W191" s="31">
        <v>208</v>
      </c>
      <c r="X191" s="31">
        <v>208</v>
      </c>
      <c r="Y191" s="31" t="s">
        <v>737</v>
      </c>
      <c r="Z191">
        <f t="shared" si="6"/>
        <v>4.0780585439079337E-2</v>
      </c>
    </row>
    <row r="192" spans="19:26" x14ac:dyDescent="0.3">
      <c r="S192" s="30" t="s">
        <v>738</v>
      </c>
      <c r="T192" s="31">
        <v>215.32</v>
      </c>
      <c r="U192" s="31">
        <v>215.4</v>
      </c>
      <c r="V192" s="31">
        <v>209.37</v>
      </c>
      <c r="W192" s="31">
        <v>211.6</v>
      </c>
      <c r="X192" s="31">
        <v>211.6</v>
      </c>
      <c r="Y192" s="31" t="s">
        <v>739</v>
      </c>
      <c r="Z192">
        <f t="shared" si="6"/>
        <v>1.7307692307692281E-2</v>
      </c>
    </row>
  </sheetData>
  <mergeCells count="1">
    <mergeCell ref="AG3:AG4"/>
  </mergeCells>
  <hyperlinks>
    <hyperlink ref="A2" r:id="rId1" display="https://finance.yahoo.com/quote/BABA230120C00020000?p=BABA230120C00020000" xr:uid="{B5F5584D-79BA-4736-AF08-2D52DD39E0E1}"/>
    <hyperlink ref="C2" r:id="rId2" display="https://finance.yahoo.com/quote/BABA/options?strike=20&amp;straddle=false" xr:uid="{BA1BAF61-18D1-4A62-AA9A-C5A5FA49F4E8}"/>
    <hyperlink ref="A3" r:id="rId3" display="https://finance.yahoo.com/quote/BABA230120C00025000?p=BABA230120C00025000" xr:uid="{1B22DFA8-33EE-4375-8D50-E930F78B9722}"/>
    <hyperlink ref="C3" r:id="rId4" display="https://finance.yahoo.com/quote/BABA/options?strike=25&amp;straddle=false" xr:uid="{3581C688-BA0B-4111-B150-FB890AD98A63}"/>
    <hyperlink ref="A4" r:id="rId5" display="https://finance.yahoo.com/quote/BABA230120C00030000?p=BABA230120C00030000" xr:uid="{2A12C464-1BCB-407C-B7F1-426918597DD5}"/>
    <hyperlink ref="C4" r:id="rId6" display="https://finance.yahoo.com/quote/BABA/options?strike=30&amp;straddle=false" xr:uid="{37EFDF81-B643-4283-9E6B-EE851E89D9B2}"/>
    <hyperlink ref="A5" r:id="rId7" display="https://finance.yahoo.com/quote/BABA230120C00035000?p=BABA230120C00035000" xr:uid="{347A4D26-16D3-4F8A-B5F0-662B7BDC83CD}"/>
    <hyperlink ref="C5" r:id="rId8" display="https://finance.yahoo.com/quote/BABA/options?strike=35&amp;straddle=false" xr:uid="{9D706DC3-78D4-48B6-99E0-427B6AD35362}"/>
    <hyperlink ref="A6" r:id="rId9" display="https://finance.yahoo.com/quote/BABA230120C00040000?p=BABA230120C00040000" xr:uid="{904AE7D0-19DB-4074-A7B9-FE51B9DAE24D}"/>
    <hyperlink ref="C6" r:id="rId10" display="https://finance.yahoo.com/quote/BABA/options?strike=40&amp;straddle=false" xr:uid="{BFDEA538-418E-4B10-980D-16981E3AEC70}"/>
    <hyperlink ref="A7" r:id="rId11" display="https://finance.yahoo.com/quote/BABA230120C00045000?p=BABA230120C00045000" xr:uid="{5C18A91E-F91C-455F-BC12-0E7A33533AB8}"/>
    <hyperlink ref="C7" r:id="rId12" display="https://finance.yahoo.com/quote/BABA/options?strike=45&amp;straddle=false" xr:uid="{B7D13A9D-8FA8-4C91-84F9-80348D76D06D}"/>
    <hyperlink ref="A8" r:id="rId13" display="https://finance.yahoo.com/quote/BABA230120C00050000?p=BABA230120C00050000" xr:uid="{E619447E-E716-4349-943C-AC63BC3B87D2}"/>
    <hyperlink ref="C8" r:id="rId14" display="https://finance.yahoo.com/quote/BABA/options?strike=50&amp;straddle=false" xr:uid="{0D5A3688-88AB-4828-8DD8-7EE9A282E2CF}"/>
    <hyperlink ref="A9" r:id="rId15" display="https://finance.yahoo.com/quote/BABA230120C00055000?p=BABA230120C00055000" xr:uid="{51A411A7-0497-4958-B67A-D16C886F0C36}"/>
    <hyperlink ref="C9" r:id="rId16" display="https://finance.yahoo.com/quote/BABA/options?strike=55&amp;straddle=false" xr:uid="{A96AEF76-7680-4CD1-BF4C-E3C5727F590B}"/>
    <hyperlink ref="A10" r:id="rId17" display="https://finance.yahoo.com/quote/BABA230120C00060000?p=BABA230120C00060000" xr:uid="{7E2A29CF-461D-442A-B514-4257DB3B9EC2}"/>
    <hyperlink ref="C10" r:id="rId18" display="https://finance.yahoo.com/quote/BABA/options?strike=60&amp;straddle=false" xr:uid="{D2B2EB84-B244-4FB7-9101-323FD5D9DC06}"/>
    <hyperlink ref="A11" r:id="rId19" display="https://finance.yahoo.com/quote/BABA230120C00065000?p=BABA230120C00065000" xr:uid="{9965D300-0FA7-46E0-8B2C-201175706193}"/>
    <hyperlink ref="C11" r:id="rId20" display="https://finance.yahoo.com/quote/BABA/options?strike=65&amp;straddle=false" xr:uid="{769E16F4-1E5E-4FB5-87E1-D8D329817C15}"/>
    <hyperlink ref="A12" r:id="rId21" display="https://finance.yahoo.com/quote/BABA230120C00070000?p=BABA230120C00070000" xr:uid="{0BD6F8D7-DEBA-4E56-B7F5-004DA7F42128}"/>
    <hyperlink ref="C12" r:id="rId22" display="https://finance.yahoo.com/quote/BABA/options?strike=70&amp;straddle=false" xr:uid="{68CA34BC-461C-4AFC-9830-5592592378BE}"/>
    <hyperlink ref="A13" r:id="rId23" display="https://finance.yahoo.com/quote/BABA230120C00075000?p=BABA230120C00075000" xr:uid="{5D58A214-33D9-4D66-8262-CEE0F322B0F2}"/>
    <hyperlink ref="C13" r:id="rId24" display="https://finance.yahoo.com/quote/BABA/options?strike=75&amp;straddle=false" xr:uid="{A708B146-338A-4A1E-8380-8D00F6916AF7}"/>
    <hyperlink ref="A14" r:id="rId25" display="https://finance.yahoo.com/quote/BABA230120C00080000?p=BABA230120C00080000" xr:uid="{540884A1-A126-4122-AECD-F3DF0471EC17}"/>
    <hyperlink ref="C14" r:id="rId26" display="https://finance.yahoo.com/quote/BABA/options?strike=80&amp;straddle=false" xr:uid="{DC93DD7B-F9A9-4BC1-92E1-931DABDAC524}"/>
    <hyperlink ref="A15" r:id="rId27" display="https://finance.yahoo.com/quote/BABA230120C00085000?p=BABA230120C00085000" xr:uid="{1D3E526F-0250-4EE4-A9FE-88E01FF7FAEE}"/>
    <hyperlink ref="C15" r:id="rId28" display="https://finance.yahoo.com/quote/BABA/options?strike=85&amp;straddle=false" xr:uid="{6B16FD0F-6934-47D3-A726-04C2D8605202}"/>
    <hyperlink ref="A16" r:id="rId29" display="https://finance.yahoo.com/quote/BABA230120C00090000?p=BABA230120C00090000" xr:uid="{8BF954D6-AEE8-4E0C-B5AC-B4A08BBFB64D}"/>
    <hyperlink ref="C16" r:id="rId30" display="https://finance.yahoo.com/quote/BABA/options?strike=90&amp;straddle=false" xr:uid="{9DF1DC01-1196-47D0-B13D-3BA5CF7E9175}"/>
    <hyperlink ref="A17" r:id="rId31" display="https://finance.yahoo.com/quote/BABA230120C00095000?p=BABA230120C00095000" xr:uid="{DF309923-E1B6-47EB-ACFA-C122094D684F}"/>
    <hyperlink ref="C17" r:id="rId32" display="https://finance.yahoo.com/quote/BABA/options?strike=95&amp;straddle=false" xr:uid="{051B8859-F0FE-4429-A549-D8D6329A3E7E}"/>
    <hyperlink ref="A18" r:id="rId33" display="https://finance.yahoo.com/quote/BABA230120C00100000?p=BABA230120C00100000" xr:uid="{F9A1954A-DFEA-4695-8EC2-F24807DC1352}"/>
    <hyperlink ref="C18" r:id="rId34" display="https://finance.yahoo.com/quote/BABA/options?strike=100&amp;straddle=false" xr:uid="{20B5BA94-DB47-4FB0-90E9-72C78D8C44A4}"/>
    <hyperlink ref="A19" r:id="rId35" display="https://finance.yahoo.com/quote/BABA230120C00105000?p=BABA230120C00105000" xr:uid="{C2FAB02D-98F2-42A7-A2DB-6E119A96E30A}"/>
    <hyperlink ref="C19" r:id="rId36" display="https://finance.yahoo.com/quote/BABA/options?strike=105&amp;straddle=false" xr:uid="{63F52754-AC76-4261-9B8D-DE41D80513A1}"/>
    <hyperlink ref="A20" r:id="rId37" display="https://finance.yahoo.com/quote/BABA230120C00110000?p=BABA230120C00110000" xr:uid="{7E42EE04-44E8-436D-9B47-7728503BFE54}"/>
    <hyperlink ref="C20" r:id="rId38" display="https://finance.yahoo.com/quote/BABA/options?strike=110&amp;straddle=false" xr:uid="{A9F2B8CF-CCCA-466C-852F-FEF20179DCDA}"/>
    <hyperlink ref="A21" r:id="rId39" display="https://finance.yahoo.com/quote/BABA230120C00115000?p=BABA230120C00115000" xr:uid="{4D38948F-4B4F-466E-977F-196756B10B25}"/>
    <hyperlink ref="C21" r:id="rId40" display="https://finance.yahoo.com/quote/BABA/options?strike=115&amp;straddle=false" xr:uid="{DDAA16A3-DEA1-45C1-AB67-40C10FFBC792}"/>
    <hyperlink ref="A22" r:id="rId41" display="https://finance.yahoo.com/quote/BABA230120C00120000?p=BABA230120C00120000" xr:uid="{C6449A13-DA25-4A58-986C-A69FE385F6AE}"/>
    <hyperlink ref="C22" r:id="rId42" display="https://finance.yahoo.com/quote/BABA/options?strike=120&amp;straddle=false" xr:uid="{CAE53548-F6F6-46ED-81A7-860719DE1E7A}"/>
    <hyperlink ref="A23" r:id="rId43" display="https://finance.yahoo.com/quote/BABA230120C00125000?p=BABA230120C00125000" xr:uid="{02621E05-BBAA-44C3-B336-918E27547691}"/>
    <hyperlink ref="C23" r:id="rId44" display="https://finance.yahoo.com/quote/BABA/options?strike=125&amp;straddle=false" xr:uid="{61659142-0672-4A03-B3AE-8F037E2DD40E}"/>
    <hyperlink ref="A24" r:id="rId45" display="https://finance.yahoo.com/quote/BABA230120C00130000?p=BABA230120C00130000" xr:uid="{3DD16D95-1A60-41CC-8893-7915A3F10B25}"/>
    <hyperlink ref="C24" r:id="rId46" display="https://finance.yahoo.com/quote/BABA/options?strike=130&amp;straddle=false" xr:uid="{EF3554DD-9209-4184-A957-AA6765181846}"/>
    <hyperlink ref="A25" r:id="rId47" display="https://finance.yahoo.com/quote/BABA230120C00135000?p=BABA230120C00135000" xr:uid="{085C1135-EC1C-442B-9999-86B3E109C8CE}"/>
    <hyperlink ref="C25" r:id="rId48" display="https://finance.yahoo.com/quote/BABA/options?strike=135&amp;straddle=false" xr:uid="{4A6EE270-6208-42D2-B1FF-9C5A64905DE0}"/>
    <hyperlink ref="A26" r:id="rId49" display="https://finance.yahoo.com/quote/BABA230120C00140000?p=BABA230120C00140000" xr:uid="{8D9E5767-0623-4AF6-A844-02BBCCF020B6}"/>
    <hyperlink ref="C26" r:id="rId50" display="https://finance.yahoo.com/quote/BABA/options?strike=140&amp;straddle=false" xr:uid="{79E1F5D3-CBCE-47D3-BE2F-6B2F5E2418E9}"/>
    <hyperlink ref="A27" r:id="rId51" display="https://finance.yahoo.com/quote/BABA230120C00145000?p=BABA230120C00145000" xr:uid="{375A6EE2-4DF1-4191-9A46-46E0E6465650}"/>
    <hyperlink ref="C27" r:id="rId52" display="https://finance.yahoo.com/quote/BABA/options?strike=145&amp;straddle=false" xr:uid="{CC92EDB1-4B57-47C6-8C69-49DC92C85448}"/>
    <hyperlink ref="A28" r:id="rId53" display="https://finance.yahoo.com/quote/BABA230120C00150000?p=BABA230120C00150000" xr:uid="{E21D6AFC-0862-4A8F-B067-B9A9E48150CC}"/>
    <hyperlink ref="C28" r:id="rId54" display="https://finance.yahoo.com/quote/BABA/options?strike=150&amp;straddle=false" xr:uid="{3F6A9545-EC46-4EC1-BC23-007089F2FEAC}"/>
    <hyperlink ref="A29" r:id="rId55" display="https://finance.yahoo.com/quote/BABA230120C00155000?p=BABA230120C00155000" xr:uid="{465D3DA8-9FA6-44A1-B3D4-46DA8051A9F0}"/>
    <hyperlink ref="C29" r:id="rId56" display="https://finance.yahoo.com/quote/BABA/options?strike=155&amp;straddle=false" xr:uid="{470745E5-3D25-4A7C-8938-C1450AF948AB}"/>
    <hyperlink ref="A30" r:id="rId57" display="https://finance.yahoo.com/quote/BABA230120C00160000?p=BABA230120C00160000" xr:uid="{FC5E5BAF-6A83-4FD2-A6FC-9D35092310AA}"/>
    <hyperlink ref="C30" r:id="rId58" display="https://finance.yahoo.com/quote/BABA/options?strike=160&amp;straddle=false" xr:uid="{1D15F18C-1553-4325-82ED-F7FE1F490009}"/>
    <hyperlink ref="A31" r:id="rId59" display="https://finance.yahoo.com/quote/BABA230120C00165000?p=BABA230120C00165000" xr:uid="{BB9088C2-86E2-490C-B991-549AB47F00C2}"/>
    <hyperlink ref="C31" r:id="rId60" display="https://finance.yahoo.com/quote/BABA/options?strike=165&amp;straddle=false" xr:uid="{2B6F861E-993C-4825-B6D1-CDCA1B912A60}"/>
    <hyperlink ref="A32" r:id="rId61" display="https://finance.yahoo.com/quote/BABA230120C00170000?p=BABA230120C00170000" xr:uid="{AF8F1163-A743-4E70-A70D-9CC17ECF2BE5}"/>
    <hyperlink ref="C32" r:id="rId62" display="https://finance.yahoo.com/quote/BABA/options?strike=170&amp;straddle=false" xr:uid="{077F37CB-8B5F-4A37-8D56-46426DD962E3}"/>
    <hyperlink ref="A33" r:id="rId63" display="https://finance.yahoo.com/quote/BABA230120C00175000?p=BABA230120C00175000" xr:uid="{466C197F-640A-4BBC-A70B-2DF8D1539590}"/>
    <hyperlink ref="C33" r:id="rId64" display="https://finance.yahoo.com/quote/BABA/options?strike=175&amp;straddle=false" xr:uid="{A5EC0B45-910D-46C8-AC7F-7C55513B1B24}"/>
    <hyperlink ref="A34" r:id="rId65" display="https://finance.yahoo.com/quote/BABA230120C00180000?p=BABA230120C00180000" xr:uid="{00FBE3C0-DDD6-4ED9-AD4E-F1E7332AAD8A}"/>
    <hyperlink ref="C34" r:id="rId66" display="https://finance.yahoo.com/quote/BABA/options?strike=180&amp;straddle=false" xr:uid="{75FED5AB-740D-4AB0-A417-53F29ACA1937}"/>
    <hyperlink ref="A35" r:id="rId67" display="https://finance.yahoo.com/quote/BABA230120C00185000?p=BABA230120C00185000" xr:uid="{BC9CEA66-59AE-4EF0-88B8-4460E97EED33}"/>
    <hyperlink ref="C35" r:id="rId68" display="https://finance.yahoo.com/quote/BABA/options?strike=185&amp;straddle=false" xr:uid="{701A2D71-4109-4817-AA35-6E7C958C2C1C}"/>
    <hyperlink ref="A36" r:id="rId69" display="https://finance.yahoo.com/quote/BABA230120C00190000?p=BABA230120C00190000" xr:uid="{E15F818E-AEFC-467A-86A7-869765238A14}"/>
    <hyperlink ref="C36" r:id="rId70" display="https://finance.yahoo.com/quote/BABA/options?strike=190&amp;straddle=false" xr:uid="{2E68A4AA-B18D-434C-A0FF-A2EACB378369}"/>
    <hyperlink ref="A37" r:id="rId71" display="https://finance.yahoo.com/quote/BABA230120C00195000?p=BABA230120C00195000" xr:uid="{31BA99D5-9ED9-4229-BC28-F1528C56352B}"/>
    <hyperlink ref="C37" r:id="rId72" display="https://finance.yahoo.com/quote/BABA/options?strike=195&amp;straddle=false" xr:uid="{A2FC8281-68C4-49C9-9247-D8F90D882D2E}"/>
    <hyperlink ref="A38" r:id="rId73" display="https://finance.yahoo.com/quote/BABA230120C00200000?p=BABA230120C00200000" xr:uid="{99AF145E-A5E5-4F12-8208-1819F4CCCD2A}"/>
    <hyperlink ref="C38" r:id="rId74" display="https://finance.yahoo.com/quote/BABA/options?strike=200&amp;straddle=false" xr:uid="{69887349-CAC0-4C7E-A9A7-5E3B3997CB30}"/>
    <hyperlink ref="A39" r:id="rId75" display="https://finance.yahoo.com/quote/BABA230120C00210000?p=BABA230120C00210000" xr:uid="{731D81D7-04B2-421E-9722-3FD4158F0226}"/>
    <hyperlink ref="C39" r:id="rId76" display="https://finance.yahoo.com/quote/BABA/options?strike=210&amp;straddle=false" xr:uid="{60778E2A-9390-4ACA-A5A0-AB5540F37C5B}"/>
    <hyperlink ref="A40" r:id="rId77" display="https://finance.yahoo.com/quote/BABA230120C00220000?p=BABA230120C00220000" xr:uid="{87F418F5-9F9C-4661-90CC-95E2F4D09A85}"/>
    <hyperlink ref="C40" r:id="rId78" display="https://finance.yahoo.com/quote/BABA/options?strike=220&amp;straddle=false" xr:uid="{6A359DC1-7858-4AFD-9BB6-F97E9F363E5A}"/>
    <hyperlink ref="A41" r:id="rId79" display="https://finance.yahoo.com/quote/BABA230120C00230000?p=BABA230120C00230000" xr:uid="{2232EF0F-71F8-490B-8D52-50252EA80B1B}"/>
    <hyperlink ref="C41" r:id="rId80" display="https://finance.yahoo.com/quote/BABA/options?strike=230&amp;straddle=false" xr:uid="{F05FF23F-5AF1-4374-B789-822E4458F44C}"/>
    <hyperlink ref="A42" r:id="rId81" display="https://finance.yahoo.com/quote/BABA230120C00235000?p=BABA230120C00235000" xr:uid="{7AE40164-FCEB-43B8-978D-117322A5F4F3}"/>
    <hyperlink ref="C42" r:id="rId82" display="https://finance.yahoo.com/quote/BABA/options?strike=235&amp;straddle=false" xr:uid="{D4F5E377-41CD-4DDC-9EBD-28DC2031F233}"/>
    <hyperlink ref="A43" r:id="rId83" display="https://finance.yahoo.com/quote/BABA230120C00240000?p=BABA230120C00240000" xr:uid="{4CBE5E74-50A8-413C-87A9-A81A5B7C67C7}"/>
    <hyperlink ref="C43" r:id="rId84" display="https://finance.yahoo.com/quote/BABA/options?strike=240&amp;straddle=false" xr:uid="{57573F56-F863-47C3-9FCF-D7D9CCD2E45D}"/>
    <hyperlink ref="A44" r:id="rId85" display="https://finance.yahoo.com/quote/BABA230120C00245000?p=BABA230120C00245000" xr:uid="{E6191FFA-C09F-44EE-A5CF-BF1135B86685}"/>
    <hyperlink ref="C44" r:id="rId86" display="https://finance.yahoo.com/quote/BABA/options?strike=245&amp;straddle=false" xr:uid="{74FDFF07-4455-4DBE-A173-E737065248A4}"/>
    <hyperlink ref="A45" r:id="rId87" display="https://finance.yahoo.com/quote/BABA230120C00250000?p=BABA230120C00250000" xr:uid="{9124A481-A2FB-4297-8D2D-03370F68E1CC}"/>
    <hyperlink ref="C45" r:id="rId88" display="https://finance.yahoo.com/quote/BABA/options?strike=250&amp;straddle=false" xr:uid="{6A2896D3-2A3C-4F4A-A35E-DBE67FB3FB26}"/>
    <hyperlink ref="A46" r:id="rId89" display="https://finance.yahoo.com/quote/BABA230120C00255000?p=BABA230120C00255000" xr:uid="{AA49537D-D31B-4640-ADE2-DD1E6CD15541}"/>
    <hyperlink ref="C46" r:id="rId90" display="https://finance.yahoo.com/quote/BABA/options?strike=255&amp;straddle=false" xr:uid="{EB736E66-9DE6-4668-8D8E-DF1CEEC38CF9}"/>
    <hyperlink ref="A47" r:id="rId91" display="https://finance.yahoo.com/quote/BABA230120C00260000?p=BABA230120C00260000" xr:uid="{E3D269A5-D4E8-4EEC-9ED3-296A4F8649CB}"/>
    <hyperlink ref="C47" r:id="rId92" display="https://finance.yahoo.com/quote/BABA/options?strike=260&amp;straddle=false" xr:uid="{72F18CF0-2CB9-4543-81DF-9C43198C6BE8}"/>
    <hyperlink ref="A48" r:id="rId93" display="https://finance.yahoo.com/quote/BABA230120C00265000?p=BABA230120C00265000" xr:uid="{8FAEF681-893A-4B44-8725-A4BDFA805FFE}"/>
    <hyperlink ref="C48" r:id="rId94" display="https://finance.yahoo.com/quote/BABA/options?strike=265&amp;straddle=false" xr:uid="{2C32ADAC-A304-41BC-8FFA-6EB2FA567386}"/>
    <hyperlink ref="A49" r:id="rId95" display="https://finance.yahoo.com/quote/BABA230120C00270000?p=BABA230120C00270000" xr:uid="{2497DCAF-160B-4012-AB6D-EE4897A3F508}"/>
    <hyperlink ref="C49" r:id="rId96" display="https://finance.yahoo.com/quote/BABA/options?strike=270&amp;straddle=false" xr:uid="{A3C2310C-CE33-4890-B463-D67D1206BE5E}"/>
    <hyperlink ref="A50" r:id="rId97" display="https://finance.yahoo.com/quote/BABA230120C00275000?p=BABA230120C00275000" xr:uid="{D02130B8-91BA-4553-96CD-FC550D9FA1EB}"/>
    <hyperlink ref="C50" r:id="rId98" display="https://finance.yahoo.com/quote/BABA/options?strike=275&amp;straddle=false" xr:uid="{25194BBA-E0BE-4E9F-9DDB-B92C032D2B9A}"/>
    <hyperlink ref="A51" r:id="rId99" display="https://finance.yahoo.com/quote/BABA230120C00280000?p=BABA230120C00280000" xr:uid="{649C1F11-29EE-452C-86C0-1E7CE12EC7B2}"/>
    <hyperlink ref="C51" r:id="rId100" display="https://finance.yahoo.com/quote/BABA/options?strike=280&amp;straddle=false" xr:uid="{D64CEE91-E501-45C2-ACCE-CFD5842AE591}"/>
    <hyperlink ref="A52" r:id="rId101" display="https://finance.yahoo.com/quote/BABA230120C00285000?p=BABA230120C00285000" xr:uid="{0E766548-8BBF-47E5-BAA4-249F057292AE}"/>
    <hyperlink ref="C52" r:id="rId102" display="https://finance.yahoo.com/quote/BABA/options?strike=285&amp;straddle=false" xr:uid="{A825D24C-6FBB-4BE5-A153-32A0433056CC}"/>
    <hyperlink ref="A53" r:id="rId103" display="https://finance.yahoo.com/quote/BABA230120C00290000?p=BABA230120C00290000" xr:uid="{FC50F382-ECBC-41CB-B9E4-6A3112BA1D3C}"/>
    <hyperlink ref="C53" r:id="rId104" display="https://finance.yahoo.com/quote/BABA/options?strike=290&amp;straddle=false" xr:uid="{92B3DC0F-3027-4403-87FE-2C1026AFC844}"/>
    <hyperlink ref="A54" r:id="rId105" display="https://finance.yahoo.com/quote/BABA230120C00295000?p=BABA230120C00295000" xr:uid="{39D15951-3453-4B70-BB9C-DEFDA7AB8AA3}"/>
    <hyperlink ref="C54" r:id="rId106" display="https://finance.yahoo.com/quote/BABA/options?strike=295&amp;straddle=false" xr:uid="{10B99A18-CE4A-43B5-9AAE-F7537AFCAD77}"/>
    <hyperlink ref="A55" r:id="rId107" display="https://finance.yahoo.com/quote/BABA230120C00300000?p=BABA230120C00300000" xr:uid="{2E709AA8-FBA5-4AAE-814E-EFCB98FA671B}"/>
    <hyperlink ref="C55" r:id="rId108" display="https://finance.yahoo.com/quote/BABA/options?strike=300&amp;straddle=false" xr:uid="{885CF785-1BF5-4F90-876D-5394ECE948ED}"/>
    <hyperlink ref="A56" r:id="rId109" display="https://finance.yahoo.com/quote/BABA230120C00305000?p=BABA230120C00305000" xr:uid="{F14AAD39-FA55-4D6F-8505-D784D1CDEB4D}"/>
    <hyperlink ref="C56" r:id="rId110" display="https://finance.yahoo.com/quote/BABA/options?strike=305&amp;straddle=false" xr:uid="{20CB5AA9-111E-47E8-B96A-385AD4711EFC}"/>
    <hyperlink ref="A57" r:id="rId111" display="https://finance.yahoo.com/quote/BABA230120C00310000?p=BABA230120C00310000" xr:uid="{7C910838-36AF-4C9D-9FC7-4E79D06D9D73}"/>
    <hyperlink ref="C57" r:id="rId112" display="https://finance.yahoo.com/quote/BABA/options?strike=310&amp;straddle=false" xr:uid="{CBA1C648-C681-40EA-B967-B2DE90F34714}"/>
    <hyperlink ref="A58" r:id="rId113" display="https://finance.yahoo.com/quote/BABA230120C00315000?p=BABA230120C00315000" xr:uid="{3587D3AA-08BF-4544-9374-3310DDDFFABE}"/>
    <hyperlink ref="C58" r:id="rId114" display="https://finance.yahoo.com/quote/BABA/options?strike=315&amp;straddle=false" xr:uid="{FA7C0EBE-79A9-443F-BB24-5E23FF63E6E8}"/>
    <hyperlink ref="A59" r:id="rId115" display="https://finance.yahoo.com/quote/BABA230120C00320000?p=BABA230120C00320000" xr:uid="{9034A07B-B04B-46B8-9B33-CD8C4F03371A}"/>
    <hyperlink ref="C59" r:id="rId116" display="https://finance.yahoo.com/quote/BABA/options?strike=320&amp;straddle=false" xr:uid="{BFDAF099-E709-49EF-A502-695343B987AB}"/>
    <hyperlink ref="A60" r:id="rId117" display="https://finance.yahoo.com/quote/BABA230120C00330000?p=BABA230120C00330000" xr:uid="{BF7C7ACF-1B0B-4D7D-B8FE-0DA90984A5C8}"/>
    <hyperlink ref="C60" r:id="rId118" display="https://finance.yahoo.com/quote/BABA/options?strike=330&amp;straddle=false" xr:uid="{314B8D4A-4FA0-4E4F-B14F-7978C15C5FA3}"/>
    <hyperlink ref="A61" r:id="rId119" display="https://finance.yahoo.com/quote/BABA230120C00340000?p=BABA230120C00340000" xr:uid="{A8CACBDA-E6B0-4759-83CE-159949400862}"/>
    <hyperlink ref="C61" r:id="rId120" display="https://finance.yahoo.com/quote/BABA/options?strike=340&amp;straddle=false" xr:uid="{09017D69-8F13-4C34-A246-11BB89D96800}"/>
    <hyperlink ref="A62" r:id="rId121" display="https://finance.yahoo.com/quote/BABA230120C00350000?p=BABA230120C00350000" xr:uid="{71D8A387-58DF-4DA5-82FF-E1C82C792B36}"/>
    <hyperlink ref="C62" r:id="rId122" display="https://finance.yahoo.com/quote/BABA/options?strike=350&amp;straddle=false" xr:uid="{3931CF25-D48A-4A37-AFF6-AA0F276D5B63}"/>
    <hyperlink ref="A63" r:id="rId123" display="https://finance.yahoo.com/quote/BABA230120C00360000?p=BABA230120C00360000" xr:uid="{8E043117-9B19-4DA8-9A97-D68289A64DD5}"/>
    <hyperlink ref="C63" r:id="rId124" display="https://finance.yahoo.com/quote/BABA/options?strike=360&amp;straddle=false" xr:uid="{7E6AA51C-6189-4050-9F1B-C73A907E1081}"/>
    <hyperlink ref="A64" r:id="rId125" display="https://finance.yahoo.com/quote/BABA230120C00370000?p=BABA230120C00370000" xr:uid="{9228E8AF-593C-41F6-AF86-332778ECF98D}"/>
    <hyperlink ref="C64" r:id="rId126" display="https://finance.yahoo.com/quote/BABA/options?strike=370&amp;straddle=false" xr:uid="{A6CE0649-335F-4F79-86D2-CA4ACA1B5373}"/>
    <hyperlink ref="A65" r:id="rId127" display="https://finance.yahoo.com/quote/BABA230120C00380000?p=BABA230120C00380000" xr:uid="{0FF69DAE-2282-4A0E-B076-686F5A1BF978}"/>
    <hyperlink ref="C65" r:id="rId128" display="https://finance.yahoo.com/quote/BABA/options?strike=380&amp;straddle=false" xr:uid="{F4F6A4CB-242E-4A89-A4C2-63440D8A1F57}"/>
    <hyperlink ref="A66" r:id="rId129" display="https://finance.yahoo.com/quote/BABA230120C00390000?p=BABA230120C00390000" xr:uid="{0A669493-42E5-42BE-BC9F-E979D999AD1C}"/>
    <hyperlink ref="C66" r:id="rId130" display="https://finance.yahoo.com/quote/BABA/options?strike=390&amp;straddle=false" xr:uid="{95E1AA04-5348-4B4E-92EE-14D8CD5DE2B1}"/>
    <hyperlink ref="A67" r:id="rId131" display="https://finance.yahoo.com/quote/BABA230120C00400000?p=BABA230120C00400000" xr:uid="{46049C95-6E1A-488A-9E5E-DD1C2184677E}"/>
    <hyperlink ref="C67" r:id="rId132" display="https://finance.yahoo.com/quote/BABA/options?strike=400&amp;straddle=false" xr:uid="{42E23AC0-6AE7-494F-B04F-E2C3193ED9C6}"/>
    <hyperlink ref="A68" r:id="rId133" display="https://finance.yahoo.com/quote/BABA230120C00410000?p=BABA230120C00410000" xr:uid="{B91988EC-4A04-4119-B59C-59F1EE4ECD6D}"/>
    <hyperlink ref="C68" r:id="rId134" display="https://finance.yahoo.com/quote/BABA/options?strike=410&amp;straddle=false" xr:uid="{161C9FE8-3DF3-42D8-93FE-F0CD7EBEFC8B}"/>
    <hyperlink ref="A69" r:id="rId135" display="https://finance.yahoo.com/quote/BABA230120C00420000?p=BABA230120C00420000" xr:uid="{E2305E6A-663D-4205-9E43-A04264046729}"/>
    <hyperlink ref="C69" r:id="rId136" display="https://finance.yahoo.com/quote/BABA/options?strike=420&amp;straddle=false" xr:uid="{EDD231FA-F48F-4A82-BAED-F634532EC23D}"/>
    <hyperlink ref="A70" r:id="rId137" display="https://finance.yahoo.com/quote/BABA230120C00430000?p=BABA230120C00430000" xr:uid="{19EF7A53-EC15-4974-AB16-0F43A58115B8}"/>
    <hyperlink ref="C70" r:id="rId138" display="https://finance.yahoo.com/quote/BABA/options?strike=430&amp;straddle=false" xr:uid="{75AD06AB-99DE-4D23-9C01-3295C7763EFC}"/>
    <hyperlink ref="A71" r:id="rId139" display="https://finance.yahoo.com/quote/BABA230120C00440000?p=BABA230120C00440000" xr:uid="{7C1B72BE-3B20-469A-B2ED-5CCD07F4E317}"/>
    <hyperlink ref="C71" r:id="rId140" display="https://finance.yahoo.com/quote/BABA/options?strike=440&amp;straddle=false" xr:uid="{5819ED4E-E3BB-4893-B310-0FD499343ECC}"/>
    <hyperlink ref="A72" r:id="rId141" display="https://finance.yahoo.com/quote/BABA230120C00450000?p=BABA230120C00450000" xr:uid="{0EF3B3F4-4553-4F99-89CD-B3DF48B26DD4}"/>
    <hyperlink ref="C72" r:id="rId142" display="https://finance.yahoo.com/quote/BABA/options?strike=450&amp;straddle=false" xr:uid="{24FAE6F6-1C3C-47D7-8880-9AC75AB656A9}"/>
    <hyperlink ref="A73" r:id="rId143" display="https://finance.yahoo.com/quote/BABA230120C00460000?p=BABA230120C00460000" xr:uid="{28B367CB-682C-4940-8B3E-AF02CD3906A3}"/>
    <hyperlink ref="C73" r:id="rId144" display="https://finance.yahoo.com/quote/BABA/options?strike=460&amp;straddle=false" xr:uid="{00CE9B24-49B5-4763-885D-583C9202BD9D}"/>
  </hyperlinks>
  <pageMargins left="0.7" right="0.7" top="0.75" bottom="0.75" header="0.3" footer="0.3"/>
  <drawing r:id="rId1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1E6CF-F2F2-4F76-B291-19D7EF78A4A4}">
  <sheetPr codeName="Foglio6"/>
  <dimension ref="A1:AG255"/>
  <sheetViews>
    <sheetView workbookViewId="0">
      <selection activeCell="P2" sqref="P2"/>
    </sheetView>
  </sheetViews>
  <sheetFormatPr defaultRowHeight="14.4" x14ac:dyDescent="0.3"/>
  <cols>
    <col min="11" max="11" width="8.88671875" customWidth="1"/>
    <col min="13" max="13" width="10.5546875" bestFit="1" customWidth="1"/>
    <col min="18" max="18" width="10.109375" customWidth="1"/>
    <col min="31" max="31" width="9.21875" bestFit="1" customWidth="1"/>
  </cols>
  <sheetData>
    <row r="1" spans="1:33" ht="43.8" thickBot="1" x14ac:dyDescent="0.35">
      <c r="A1" s="21" t="s">
        <v>11</v>
      </c>
      <c r="B1" s="22" t="s">
        <v>12</v>
      </c>
      <c r="C1" s="23" t="s">
        <v>13</v>
      </c>
      <c r="D1" s="22" t="s">
        <v>14</v>
      </c>
      <c r="E1" s="22" t="s">
        <v>15</v>
      </c>
      <c r="F1" s="22" t="s">
        <v>16</v>
      </c>
      <c r="G1" s="22" t="s">
        <v>17</v>
      </c>
      <c r="H1" s="22" t="s">
        <v>18</v>
      </c>
      <c r="I1" s="22" t="s">
        <v>19</v>
      </c>
      <c r="J1" s="22" t="s">
        <v>20</v>
      </c>
      <c r="K1" s="22" t="s">
        <v>21</v>
      </c>
      <c r="L1" s="22" t="s">
        <v>116</v>
      </c>
      <c r="M1" s="22" t="s">
        <v>609</v>
      </c>
      <c r="O1" s="22" t="s">
        <v>1582</v>
      </c>
      <c r="P1" s="22" t="s">
        <v>1581</v>
      </c>
      <c r="Q1" t="s">
        <v>337</v>
      </c>
      <c r="R1" t="s">
        <v>338</v>
      </c>
      <c r="S1" s="27" t="s">
        <v>119</v>
      </c>
      <c r="T1" s="28" t="s">
        <v>120</v>
      </c>
      <c r="U1" s="28" t="s">
        <v>121</v>
      </c>
      <c r="V1" s="28" t="s">
        <v>122</v>
      </c>
      <c r="W1" s="28" t="s">
        <v>123</v>
      </c>
      <c r="X1" s="29" t="s">
        <v>124</v>
      </c>
      <c r="Y1" s="28" t="s">
        <v>19</v>
      </c>
      <c r="Z1" s="28" t="s">
        <v>336</v>
      </c>
    </row>
    <row r="2" spans="1:33" ht="58.2" thickBot="1" x14ac:dyDescent="0.35">
      <c r="A2" s="17" t="s">
        <v>535</v>
      </c>
      <c r="B2" s="24" t="s">
        <v>536</v>
      </c>
      <c r="C2" s="18">
        <v>40</v>
      </c>
      <c r="D2" s="24">
        <v>78.8</v>
      </c>
      <c r="E2" s="24">
        <v>67.5</v>
      </c>
      <c r="F2" s="24">
        <v>71.099999999999994</v>
      </c>
      <c r="G2" s="24">
        <v>0</v>
      </c>
      <c r="H2" s="24" t="s">
        <v>22</v>
      </c>
      <c r="I2" s="24">
        <v>3</v>
      </c>
      <c r="J2" s="24">
        <v>83</v>
      </c>
      <c r="K2" s="26">
        <v>0.78779999999999994</v>
      </c>
      <c r="L2">
        <f>AVERAGE(E2,F2)</f>
        <v>69.3</v>
      </c>
      <c r="M2">
        <f>12/12</f>
        <v>1</v>
      </c>
      <c r="O2">
        <v>2.01817</v>
      </c>
      <c r="P2">
        <v>-8.7319999999999995E-2</v>
      </c>
      <c r="Q2">
        <f>_xlfn.STDEV.S(Z3:Z255)</f>
        <v>3.6321649020674952E-2</v>
      </c>
      <c r="R2">
        <f>Q2*SQRT(252)</f>
        <v>0.57658830309887199</v>
      </c>
      <c r="S2" s="30" t="s">
        <v>254</v>
      </c>
      <c r="T2" s="31">
        <v>115</v>
      </c>
      <c r="U2" s="31">
        <v>115</v>
      </c>
      <c r="V2" s="31">
        <v>110.23</v>
      </c>
      <c r="W2" s="31">
        <v>111</v>
      </c>
      <c r="X2" s="31">
        <v>111</v>
      </c>
      <c r="Y2" s="31" t="s">
        <v>255</v>
      </c>
      <c r="AD2" s="46"/>
      <c r="AE2" s="46" t="s">
        <v>1583</v>
      </c>
      <c r="AF2" s="46" t="s">
        <v>1584</v>
      </c>
      <c r="AG2" s="46" t="s">
        <v>116</v>
      </c>
    </row>
    <row r="3" spans="1:33" ht="58.2" thickBot="1" x14ac:dyDescent="0.35">
      <c r="A3" s="17" t="s">
        <v>537</v>
      </c>
      <c r="B3" s="24" t="s">
        <v>538</v>
      </c>
      <c r="C3" s="18">
        <v>50</v>
      </c>
      <c r="D3" s="24">
        <v>64</v>
      </c>
      <c r="E3" s="24">
        <v>58.85</v>
      </c>
      <c r="F3" s="24">
        <v>61.85</v>
      </c>
      <c r="G3" s="24">
        <v>0</v>
      </c>
      <c r="H3" s="24" t="s">
        <v>22</v>
      </c>
      <c r="I3" s="24">
        <v>15</v>
      </c>
      <c r="J3" s="24">
        <v>81</v>
      </c>
      <c r="K3" s="26">
        <v>0.70799999999999996</v>
      </c>
      <c r="L3">
        <f t="shared" ref="L3:L42" si="0">AVERAGE(E3,F3)</f>
        <v>60.35</v>
      </c>
      <c r="M3" s="20">
        <v>45002</v>
      </c>
      <c r="R3">
        <f>R2</f>
        <v>0.57658830309887199</v>
      </c>
      <c r="S3" s="30" t="s">
        <v>125</v>
      </c>
      <c r="T3" s="31">
        <v>115.7</v>
      </c>
      <c r="U3" s="31">
        <v>118.22</v>
      </c>
      <c r="V3" s="31">
        <v>113.38</v>
      </c>
      <c r="W3" s="31">
        <v>117.5</v>
      </c>
      <c r="X3" s="31">
        <v>117.5</v>
      </c>
      <c r="Y3" s="31" t="s">
        <v>126</v>
      </c>
      <c r="Z3">
        <f>(X3-X2)/X2</f>
        <v>5.8558558558558557E-2</v>
      </c>
      <c r="AD3" s="46" t="s">
        <v>1585</v>
      </c>
      <c r="AE3" s="46" cm="1">
        <f t="array" ref="AE3">BSCall('T=1m'!$N$2,$C$15,O2,$R$2,$M$2)</f>
        <v>96.282406593249917</v>
      </c>
      <c r="AF3" s="46" cm="1">
        <f t="array" ref="AF3">BSCall('T=1m'!$N$2,$C$15,P2,$R$2,$M$2)</f>
        <v>21.868458544340591</v>
      </c>
      <c r="AG3" s="59">
        <f>L15</f>
        <v>21.200000000000003</v>
      </c>
    </row>
    <row r="4" spans="1:33" ht="58.2" thickBot="1" x14ac:dyDescent="0.35">
      <c r="A4" s="17" t="s">
        <v>539</v>
      </c>
      <c r="B4" s="24" t="s">
        <v>540</v>
      </c>
      <c r="C4" s="18">
        <v>55</v>
      </c>
      <c r="D4" s="24">
        <v>52.54</v>
      </c>
      <c r="E4" s="24">
        <v>54.55</v>
      </c>
      <c r="F4" s="24">
        <v>57.85</v>
      </c>
      <c r="G4" s="24">
        <v>0</v>
      </c>
      <c r="H4" s="24" t="s">
        <v>22</v>
      </c>
      <c r="I4" s="24">
        <v>1</v>
      </c>
      <c r="J4" s="24">
        <v>5</v>
      </c>
      <c r="K4" s="26">
        <v>0.68630000000000002</v>
      </c>
      <c r="L4">
        <f t="shared" si="0"/>
        <v>56.2</v>
      </c>
      <c r="R4">
        <f t="shared" ref="R4:R42" si="1">R3</f>
        <v>0.57658830309887199</v>
      </c>
      <c r="S4" s="30" t="s">
        <v>127</v>
      </c>
      <c r="T4" s="31">
        <v>117.62</v>
      </c>
      <c r="U4" s="31">
        <v>118.95</v>
      </c>
      <c r="V4" s="31">
        <v>109.75</v>
      </c>
      <c r="W4" s="31">
        <v>110.2</v>
      </c>
      <c r="X4" s="31">
        <v>110.2</v>
      </c>
      <c r="Y4" s="31" t="s">
        <v>128</v>
      </c>
      <c r="Z4">
        <f t="shared" ref="Z4:Z67" si="2">(X4-X3)/X3</f>
        <v>-6.2127659574468058E-2</v>
      </c>
      <c r="AD4" s="46" t="s">
        <v>1586</v>
      </c>
      <c r="AE4" s="46" cm="1">
        <f t="array" ref="AE4">BSCall('T=1m'!$N$2,$C$15,O2,$K$15,$M$2)</f>
        <v>96.281658504936331</v>
      </c>
      <c r="AF4" s="46" cm="1">
        <f t="array" ref="AF4">BSCall('T=1m'!$N$2,$C$15,P2,$K$15,$M$2)</f>
        <v>20.418575928023856</v>
      </c>
      <c r="AG4" s="59"/>
    </row>
    <row r="5" spans="1:33" ht="58.2" thickBot="1" x14ac:dyDescent="0.35">
      <c r="A5" s="17" t="s">
        <v>541</v>
      </c>
      <c r="B5" s="24" t="s">
        <v>542</v>
      </c>
      <c r="C5" s="18">
        <v>60</v>
      </c>
      <c r="D5" s="24">
        <v>61.22</v>
      </c>
      <c r="E5" s="24">
        <v>50.45</v>
      </c>
      <c r="F5" s="24">
        <v>53.7</v>
      </c>
      <c r="G5" s="24">
        <v>0</v>
      </c>
      <c r="H5" s="24" t="s">
        <v>22</v>
      </c>
      <c r="I5" s="24">
        <v>11</v>
      </c>
      <c r="J5" s="24">
        <v>60</v>
      </c>
      <c r="K5" s="26">
        <v>0.66110000000000002</v>
      </c>
      <c r="L5">
        <f t="shared" si="0"/>
        <v>52.075000000000003</v>
      </c>
      <c r="R5">
        <f t="shared" si="1"/>
        <v>0.57658830309887199</v>
      </c>
      <c r="S5" s="30" t="s">
        <v>129</v>
      </c>
      <c r="T5" s="31">
        <v>115.03</v>
      </c>
      <c r="U5" s="31">
        <v>115.09</v>
      </c>
      <c r="V5" s="31">
        <v>108.71</v>
      </c>
      <c r="W5" s="31">
        <v>108.8</v>
      </c>
      <c r="X5" s="31">
        <v>108.8</v>
      </c>
      <c r="Y5" s="31" t="s">
        <v>130</v>
      </c>
      <c r="Z5">
        <f t="shared" si="2"/>
        <v>-1.2704174228675187E-2</v>
      </c>
    </row>
    <row r="6" spans="1:33" ht="58.2" thickBot="1" x14ac:dyDescent="0.35">
      <c r="A6" s="17" t="s">
        <v>543</v>
      </c>
      <c r="B6" s="24" t="s">
        <v>542</v>
      </c>
      <c r="C6" s="18">
        <v>65</v>
      </c>
      <c r="D6" s="24">
        <v>57.12</v>
      </c>
      <c r="E6" s="24">
        <v>47.05</v>
      </c>
      <c r="F6" s="24">
        <v>49.65</v>
      </c>
      <c r="G6" s="24">
        <v>0</v>
      </c>
      <c r="H6" s="24" t="s">
        <v>22</v>
      </c>
      <c r="I6" s="24">
        <v>11</v>
      </c>
      <c r="J6" s="24">
        <v>23</v>
      </c>
      <c r="K6" s="26">
        <v>0.65049999999999997</v>
      </c>
      <c r="L6">
        <f t="shared" si="0"/>
        <v>48.349999999999994</v>
      </c>
      <c r="R6">
        <f t="shared" si="1"/>
        <v>0.57658830309887199</v>
      </c>
      <c r="S6" s="30" t="s">
        <v>131</v>
      </c>
      <c r="T6" s="31">
        <v>115.54</v>
      </c>
      <c r="U6" s="31">
        <v>120.1</v>
      </c>
      <c r="V6" s="31">
        <v>115.54</v>
      </c>
      <c r="W6" s="31">
        <v>116.58</v>
      </c>
      <c r="X6" s="31">
        <v>116.58</v>
      </c>
      <c r="Y6" s="31" t="s">
        <v>132</v>
      </c>
      <c r="Z6">
        <f t="shared" si="2"/>
        <v>7.150735294117648E-2</v>
      </c>
    </row>
    <row r="7" spans="1:33" ht="58.2" thickBot="1" x14ac:dyDescent="0.35">
      <c r="A7" s="17" t="s">
        <v>544</v>
      </c>
      <c r="B7" s="24" t="s">
        <v>545</v>
      </c>
      <c r="C7" s="18">
        <v>70</v>
      </c>
      <c r="D7" s="24">
        <v>51</v>
      </c>
      <c r="E7" s="24">
        <v>43.05</v>
      </c>
      <c r="F7" s="24">
        <v>46</v>
      </c>
      <c r="G7" s="24">
        <v>0</v>
      </c>
      <c r="H7" s="24" t="s">
        <v>22</v>
      </c>
      <c r="I7" s="24">
        <v>1</v>
      </c>
      <c r="J7" s="24">
        <v>216</v>
      </c>
      <c r="K7" s="26">
        <v>0.62970000000000004</v>
      </c>
      <c r="L7">
        <f t="shared" si="0"/>
        <v>44.524999999999999</v>
      </c>
      <c r="R7">
        <f t="shared" si="1"/>
        <v>0.57658830309887199</v>
      </c>
      <c r="S7" s="30" t="s">
        <v>133</v>
      </c>
      <c r="T7" s="31">
        <v>118.36</v>
      </c>
      <c r="U7" s="31">
        <v>119.6</v>
      </c>
      <c r="V7" s="31">
        <v>115.74</v>
      </c>
      <c r="W7" s="31">
        <v>116.71</v>
      </c>
      <c r="X7" s="31">
        <v>116.71</v>
      </c>
      <c r="Y7" s="31" t="s">
        <v>134</v>
      </c>
      <c r="Z7">
        <f t="shared" si="2"/>
        <v>1.1151140847486315E-3</v>
      </c>
    </row>
    <row r="8" spans="1:33" ht="58.2" thickBot="1" x14ac:dyDescent="0.35">
      <c r="A8" s="17" t="s">
        <v>546</v>
      </c>
      <c r="B8" s="24" t="s">
        <v>547</v>
      </c>
      <c r="C8" s="18">
        <v>75</v>
      </c>
      <c r="D8" s="24">
        <v>43.4</v>
      </c>
      <c r="E8" s="24">
        <v>39.75</v>
      </c>
      <c r="F8" s="24">
        <v>42.2</v>
      </c>
      <c r="G8" s="24">
        <v>0</v>
      </c>
      <c r="H8" s="24" t="s">
        <v>22</v>
      </c>
      <c r="I8" s="24">
        <v>1</v>
      </c>
      <c r="J8" s="24">
        <v>92</v>
      </c>
      <c r="K8" s="26">
        <v>0.61519999999999997</v>
      </c>
      <c r="L8">
        <f t="shared" si="0"/>
        <v>40.975000000000001</v>
      </c>
      <c r="R8">
        <f t="shared" si="1"/>
        <v>0.57658830309887199</v>
      </c>
      <c r="S8" s="30" t="s">
        <v>135</v>
      </c>
      <c r="T8" s="31">
        <v>113.86</v>
      </c>
      <c r="U8" s="31">
        <v>116.23</v>
      </c>
      <c r="V8" s="31">
        <v>111.92</v>
      </c>
      <c r="W8" s="31">
        <v>115.09</v>
      </c>
      <c r="X8" s="31">
        <v>115.09</v>
      </c>
      <c r="Y8" s="31" t="s">
        <v>136</v>
      </c>
      <c r="Z8">
        <f t="shared" si="2"/>
        <v>-1.3880558649644336E-2</v>
      </c>
    </row>
    <row r="9" spans="1:33" ht="58.2" thickBot="1" x14ac:dyDescent="0.35">
      <c r="A9" s="17" t="s">
        <v>548</v>
      </c>
      <c r="B9" s="24" t="s">
        <v>549</v>
      </c>
      <c r="C9" s="18">
        <v>80</v>
      </c>
      <c r="D9" s="24">
        <v>42.35</v>
      </c>
      <c r="E9" s="24">
        <v>35.950000000000003</v>
      </c>
      <c r="F9" s="24">
        <v>38.9</v>
      </c>
      <c r="G9" s="24">
        <v>0</v>
      </c>
      <c r="H9" s="24" t="s">
        <v>22</v>
      </c>
      <c r="I9" s="24">
        <v>1</v>
      </c>
      <c r="J9" s="24">
        <v>144</v>
      </c>
      <c r="K9" s="26">
        <v>0.59630000000000005</v>
      </c>
      <c r="L9">
        <f t="shared" si="0"/>
        <v>37.424999999999997</v>
      </c>
      <c r="R9">
        <f t="shared" si="1"/>
        <v>0.57658830309887199</v>
      </c>
      <c r="S9" s="30" t="s">
        <v>137</v>
      </c>
      <c r="T9" s="31">
        <v>110.53</v>
      </c>
      <c r="U9" s="31">
        <v>113.86</v>
      </c>
      <c r="V9" s="31">
        <v>109.4</v>
      </c>
      <c r="W9" s="31">
        <v>112.99</v>
      </c>
      <c r="X9" s="31">
        <v>112.99</v>
      </c>
      <c r="Y9" s="31" t="s">
        <v>138</v>
      </c>
      <c r="Z9">
        <f t="shared" si="2"/>
        <v>-1.8246589625510543E-2</v>
      </c>
    </row>
    <row r="10" spans="1:33" ht="58.2" thickBot="1" x14ac:dyDescent="0.35">
      <c r="A10" s="17" t="s">
        <v>550</v>
      </c>
      <c r="B10" s="24" t="s">
        <v>551</v>
      </c>
      <c r="C10" s="18">
        <v>85</v>
      </c>
      <c r="D10" s="24">
        <v>37.700000000000003</v>
      </c>
      <c r="E10" s="24">
        <v>33.15</v>
      </c>
      <c r="F10" s="24">
        <v>35.799999999999997</v>
      </c>
      <c r="G10" s="24">
        <v>0</v>
      </c>
      <c r="H10" s="24" t="s">
        <v>22</v>
      </c>
      <c r="I10" s="24">
        <v>5</v>
      </c>
      <c r="J10" s="24">
        <v>173</v>
      </c>
      <c r="K10" s="26">
        <v>0.59219999999999995</v>
      </c>
      <c r="L10">
        <f t="shared" si="0"/>
        <v>34.474999999999994</v>
      </c>
      <c r="R10">
        <f t="shared" si="1"/>
        <v>0.57658830309887199</v>
      </c>
      <c r="S10" s="30" t="s">
        <v>139</v>
      </c>
      <c r="T10" s="31">
        <v>112.86</v>
      </c>
      <c r="U10" s="31">
        <v>116.5</v>
      </c>
      <c r="V10" s="31">
        <v>110.82</v>
      </c>
      <c r="W10" s="31">
        <v>115.15</v>
      </c>
      <c r="X10" s="31">
        <v>115.15</v>
      </c>
      <c r="Y10" s="31" t="s">
        <v>140</v>
      </c>
      <c r="Z10">
        <f t="shared" si="2"/>
        <v>1.9116735994335877E-2</v>
      </c>
    </row>
    <row r="11" spans="1:33" ht="58.2" thickBot="1" x14ac:dyDescent="0.35">
      <c r="A11" s="17" t="s">
        <v>552</v>
      </c>
      <c r="B11" s="24" t="s">
        <v>553</v>
      </c>
      <c r="C11" s="18">
        <v>90</v>
      </c>
      <c r="D11" s="24">
        <v>34.94</v>
      </c>
      <c r="E11" s="24">
        <v>30.15</v>
      </c>
      <c r="F11" s="24">
        <v>32.65</v>
      </c>
      <c r="G11" s="24">
        <v>0</v>
      </c>
      <c r="H11" s="24" t="s">
        <v>22</v>
      </c>
      <c r="I11" s="24">
        <v>5</v>
      </c>
      <c r="J11" s="24">
        <v>240</v>
      </c>
      <c r="K11" s="26">
        <v>0.57930000000000004</v>
      </c>
      <c r="L11">
        <f t="shared" si="0"/>
        <v>31.4</v>
      </c>
      <c r="R11">
        <f t="shared" si="1"/>
        <v>0.57658830309887199</v>
      </c>
      <c r="S11" s="30" t="s">
        <v>141</v>
      </c>
      <c r="T11" s="31">
        <v>115.7</v>
      </c>
      <c r="U11" s="31">
        <v>124.11</v>
      </c>
      <c r="V11" s="31">
        <v>112.68</v>
      </c>
      <c r="W11" s="31">
        <v>117.24</v>
      </c>
      <c r="X11" s="31">
        <v>117.24</v>
      </c>
      <c r="Y11" s="31" t="s">
        <v>142</v>
      </c>
      <c r="Z11">
        <f t="shared" si="2"/>
        <v>1.8150238818931734E-2</v>
      </c>
    </row>
    <row r="12" spans="1:33" ht="58.2" thickBot="1" x14ac:dyDescent="0.35">
      <c r="A12" s="17" t="s">
        <v>554</v>
      </c>
      <c r="B12" s="24" t="s">
        <v>555</v>
      </c>
      <c r="C12" s="18">
        <v>95</v>
      </c>
      <c r="D12" s="24">
        <v>31.15</v>
      </c>
      <c r="E12" s="24">
        <v>27.45</v>
      </c>
      <c r="F12" s="24">
        <v>30.2</v>
      </c>
      <c r="G12" s="24">
        <v>0</v>
      </c>
      <c r="H12" s="24" t="s">
        <v>22</v>
      </c>
      <c r="I12" s="24">
        <v>1</v>
      </c>
      <c r="J12" s="24">
        <v>320</v>
      </c>
      <c r="K12" s="26">
        <v>0.57599999999999996</v>
      </c>
      <c r="L12">
        <f t="shared" si="0"/>
        <v>28.824999999999999</v>
      </c>
      <c r="R12">
        <f t="shared" si="1"/>
        <v>0.57658830309887199</v>
      </c>
      <c r="S12" s="30" t="s">
        <v>143</v>
      </c>
      <c r="T12" s="31">
        <v>114.01</v>
      </c>
      <c r="U12" s="31">
        <v>118.24</v>
      </c>
      <c r="V12" s="31">
        <v>112.37</v>
      </c>
      <c r="W12" s="31">
        <v>114.99</v>
      </c>
      <c r="X12" s="31">
        <v>114.99</v>
      </c>
      <c r="Y12" s="31" t="s">
        <v>144</v>
      </c>
      <c r="Z12">
        <f t="shared" si="2"/>
        <v>-1.9191402251791199E-2</v>
      </c>
    </row>
    <row r="13" spans="1:33" ht="58.2" thickBot="1" x14ac:dyDescent="0.35">
      <c r="A13" s="17" t="s">
        <v>556</v>
      </c>
      <c r="B13" s="24" t="s">
        <v>557</v>
      </c>
      <c r="C13" s="18">
        <v>100</v>
      </c>
      <c r="D13" s="24">
        <v>26.32</v>
      </c>
      <c r="E13" s="24">
        <v>25</v>
      </c>
      <c r="F13" s="24">
        <v>26.65</v>
      </c>
      <c r="G13" s="24">
        <v>-2.0299999999999998</v>
      </c>
      <c r="H13" s="25">
        <v>-7.1599999999999997E-2</v>
      </c>
      <c r="I13" s="24">
        <v>20</v>
      </c>
      <c r="J13" s="24">
        <v>457</v>
      </c>
      <c r="K13" s="26">
        <v>0.55710000000000004</v>
      </c>
      <c r="L13">
        <f t="shared" si="0"/>
        <v>25.824999999999999</v>
      </c>
      <c r="R13">
        <f t="shared" si="1"/>
        <v>0.57658830309887199</v>
      </c>
      <c r="S13" s="30" t="s">
        <v>145</v>
      </c>
      <c r="T13" s="31">
        <v>102.81</v>
      </c>
      <c r="U13" s="31">
        <v>105.68</v>
      </c>
      <c r="V13" s="31">
        <v>98.7</v>
      </c>
      <c r="W13" s="31">
        <v>103.59</v>
      </c>
      <c r="X13" s="31">
        <v>103.59</v>
      </c>
      <c r="Y13" s="31" t="s">
        <v>146</v>
      </c>
      <c r="Z13">
        <f t="shared" si="2"/>
        <v>-9.9139055570049497E-2</v>
      </c>
    </row>
    <row r="14" spans="1:33" ht="58.2" thickBot="1" x14ac:dyDescent="0.35">
      <c r="A14" s="17" t="s">
        <v>558</v>
      </c>
      <c r="B14" s="24" t="s">
        <v>559</v>
      </c>
      <c r="C14" s="18">
        <v>105</v>
      </c>
      <c r="D14" s="24">
        <v>30.5</v>
      </c>
      <c r="E14" s="24">
        <v>23</v>
      </c>
      <c r="F14" s="24">
        <v>24.75</v>
      </c>
      <c r="G14" s="24">
        <v>0</v>
      </c>
      <c r="H14" s="24" t="s">
        <v>22</v>
      </c>
      <c r="I14" s="24">
        <v>12</v>
      </c>
      <c r="J14" s="24">
        <v>639</v>
      </c>
      <c r="K14" s="26">
        <v>0.56140000000000001</v>
      </c>
      <c r="L14">
        <f t="shared" si="0"/>
        <v>23.875</v>
      </c>
      <c r="R14">
        <f t="shared" si="1"/>
        <v>0.57658830309887199</v>
      </c>
      <c r="S14" s="30" t="s">
        <v>147</v>
      </c>
      <c r="T14" s="31">
        <v>100.5</v>
      </c>
      <c r="U14" s="31">
        <v>111.74</v>
      </c>
      <c r="V14" s="31">
        <v>99.6</v>
      </c>
      <c r="W14" s="31">
        <v>108.3</v>
      </c>
      <c r="X14" s="31">
        <v>108.3</v>
      </c>
      <c r="Y14" s="31" t="s">
        <v>148</v>
      </c>
      <c r="Z14">
        <f t="shared" si="2"/>
        <v>4.5467709238343409E-2</v>
      </c>
    </row>
    <row r="15" spans="1:33" ht="58.2" thickBot="1" x14ac:dyDescent="0.35">
      <c r="A15" s="40" t="s">
        <v>560</v>
      </c>
      <c r="B15" s="41" t="s">
        <v>561</v>
      </c>
      <c r="C15" s="42">
        <v>110</v>
      </c>
      <c r="D15" s="41">
        <v>20.75</v>
      </c>
      <c r="E15" s="41">
        <v>20.3</v>
      </c>
      <c r="F15" s="41">
        <v>22.1</v>
      </c>
      <c r="G15" s="41">
        <v>-3.35</v>
      </c>
      <c r="H15" s="43">
        <v>-0.13900000000000001</v>
      </c>
      <c r="I15" s="41">
        <v>8</v>
      </c>
      <c r="J15" s="41">
        <v>1.002</v>
      </c>
      <c r="K15" s="47">
        <v>0.54349999999999998</v>
      </c>
      <c r="L15" s="48">
        <f t="shared" si="0"/>
        <v>21.200000000000003</v>
      </c>
      <c r="M15" s="39"/>
      <c r="R15">
        <f t="shared" si="1"/>
        <v>0.57658830309887199</v>
      </c>
      <c r="S15" s="30" t="s">
        <v>149</v>
      </c>
      <c r="T15" s="31">
        <v>99.14</v>
      </c>
      <c r="U15" s="31">
        <v>101.89</v>
      </c>
      <c r="V15" s="31">
        <v>95.77</v>
      </c>
      <c r="W15" s="31">
        <v>100.37</v>
      </c>
      <c r="X15" s="31">
        <v>100.37</v>
      </c>
      <c r="Y15" s="31" t="s">
        <v>150</v>
      </c>
      <c r="Z15">
        <f t="shared" si="2"/>
        <v>-7.3222530009233538E-2</v>
      </c>
    </row>
    <row r="16" spans="1:33" ht="58.2" thickBot="1" x14ac:dyDescent="0.35">
      <c r="A16" s="17" t="s">
        <v>562</v>
      </c>
      <c r="B16" s="24" t="s">
        <v>563</v>
      </c>
      <c r="C16" s="18">
        <v>115</v>
      </c>
      <c r="D16" s="24">
        <v>19.350000000000001</v>
      </c>
      <c r="E16" s="24">
        <v>18.55</v>
      </c>
      <c r="F16" s="24">
        <v>20.45</v>
      </c>
      <c r="G16" s="24">
        <v>-2.42</v>
      </c>
      <c r="H16" s="25">
        <v>-0.11119999999999999</v>
      </c>
      <c r="I16" s="24">
        <v>8</v>
      </c>
      <c r="J16" s="24">
        <v>293</v>
      </c>
      <c r="K16" s="26">
        <v>0.54590000000000005</v>
      </c>
      <c r="L16">
        <f t="shared" si="0"/>
        <v>19.5</v>
      </c>
      <c r="R16">
        <f t="shared" si="1"/>
        <v>0.57658830309887199</v>
      </c>
      <c r="S16" s="30" t="s">
        <v>151</v>
      </c>
      <c r="T16" s="31">
        <v>92</v>
      </c>
      <c r="U16" s="31">
        <v>105.74</v>
      </c>
      <c r="V16" s="31">
        <v>87.12</v>
      </c>
      <c r="W16" s="31">
        <v>104.98</v>
      </c>
      <c r="X16" s="31">
        <v>104.98</v>
      </c>
      <c r="Y16" s="31" t="s">
        <v>152</v>
      </c>
      <c r="Z16">
        <f t="shared" si="2"/>
        <v>4.5930058782504724E-2</v>
      </c>
    </row>
    <row r="17" spans="1:26" ht="58.2" thickBot="1" x14ac:dyDescent="0.35">
      <c r="A17" s="17" t="s">
        <v>564</v>
      </c>
      <c r="B17" s="24" t="s">
        <v>202</v>
      </c>
      <c r="C17" s="18">
        <v>120</v>
      </c>
      <c r="D17" s="24">
        <v>19</v>
      </c>
      <c r="E17" s="24">
        <v>17.3</v>
      </c>
      <c r="F17" s="24">
        <v>18.55</v>
      </c>
      <c r="G17" s="24">
        <v>-0.4</v>
      </c>
      <c r="H17" s="25">
        <v>-2.06E-2</v>
      </c>
      <c r="I17" s="24">
        <v>1</v>
      </c>
      <c r="J17" s="24">
        <v>715</v>
      </c>
      <c r="K17" s="26">
        <v>0.54769999999999996</v>
      </c>
      <c r="L17">
        <f t="shared" si="0"/>
        <v>17.925000000000001</v>
      </c>
      <c r="R17">
        <f t="shared" si="1"/>
        <v>0.57658830309887199</v>
      </c>
      <c r="S17" s="30" t="s">
        <v>153</v>
      </c>
      <c r="T17" s="31">
        <v>75.099999999999994</v>
      </c>
      <c r="U17" s="31">
        <v>80.14</v>
      </c>
      <c r="V17" s="31">
        <v>73.28</v>
      </c>
      <c r="W17" s="31">
        <v>76.760000000000005</v>
      </c>
      <c r="X17" s="31">
        <v>76.760000000000005</v>
      </c>
      <c r="Y17" s="31" t="s">
        <v>154</v>
      </c>
      <c r="Z17">
        <f t="shared" si="2"/>
        <v>-0.26881310725852542</v>
      </c>
    </row>
    <row r="18" spans="1:26" ht="58.2" thickBot="1" x14ac:dyDescent="0.35">
      <c r="A18" s="17" t="s">
        <v>565</v>
      </c>
      <c r="B18" s="24" t="s">
        <v>566</v>
      </c>
      <c r="C18" s="18">
        <v>125</v>
      </c>
      <c r="D18" s="24">
        <v>21.05</v>
      </c>
      <c r="E18" s="24">
        <v>14.65</v>
      </c>
      <c r="F18" s="24">
        <v>16.8</v>
      </c>
      <c r="G18" s="24">
        <v>0</v>
      </c>
      <c r="H18" s="24" t="s">
        <v>22</v>
      </c>
      <c r="I18" s="24">
        <v>2</v>
      </c>
      <c r="J18" s="24">
        <v>509</v>
      </c>
      <c r="K18" s="26">
        <v>0.53110000000000002</v>
      </c>
      <c r="L18">
        <f t="shared" si="0"/>
        <v>15.725000000000001</v>
      </c>
      <c r="R18">
        <f t="shared" si="1"/>
        <v>0.57658830309887199</v>
      </c>
      <c r="S18" s="30" t="s">
        <v>155</v>
      </c>
      <c r="T18" s="31">
        <v>80.7</v>
      </c>
      <c r="U18" s="31">
        <v>82.45</v>
      </c>
      <c r="V18" s="31">
        <v>77.08</v>
      </c>
      <c r="W18" s="31">
        <v>77.760000000000005</v>
      </c>
      <c r="X18" s="31">
        <v>77.760000000000005</v>
      </c>
      <c r="Y18" s="31" t="s">
        <v>156</v>
      </c>
      <c r="Z18">
        <f t="shared" si="2"/>
        <v>1.3027618551328815E-2</v>
      </c>
    </row>
    <row r="19" spans="1:26" ht="58.2" thickBot="1" x14ac:dyDescent="0.35">
      <c r="A19" s="17" t="s">
        <v>567</v>
      </c>
      <c r="B19" s="24" t="s">
        <v>388</v>
      </c>
      <c r="C19" s="18">
        <v>130</v>
      </c>
      <c r="D19" s="24">
        <v>15.75</v>
      </c>
      <c r="E19" s="24">
        <v>12.6</v>
      </c>
      <c r="F19" s="24">
        <v>15</v>
      </c>
      <c r="G19" s="24">
        <v>0</v>
      </c>
      <c r="H19" s="24" t="s">
        <v>22</v>
      </c>
      <c r="I19" s="24">
        <v>5</v>
      </c>
      <c r="J19" s="24">
        <v>810</v>
      </c>
      <c r="K19" s="26">
        <v>0.51780000000000004</v>
      </c>
      <c r="L19">
        <f t="shared" si="0"/>
        <v>13.8</v>
      </c>
      <c r="R19">
        <f t="shared" si="1"/>
        <v>0.57658830309887199</v>
      </c>
      <c r="S19" s="30" t="s">
        <v>157</v>
      </c>
      <c r="T19" s="31">
        <v>93.26</v>
      </c>
      <c r="U19" s="31">
        <v>93.95</v>
      </c>
      <c r="V19" s="31">
        <v>86.68</v>
      </c>
      <c r="W19" s="31">
        <v>86.71</v>
      </c>
      <c r="X19" s="31">
        <v>86.71</v>
      </c>
      <c r="Y19" s="31" t="s">
        <v>158</v>
      </c>
      <c r="Z19">
        <f t="shared" si="2"/>
        <v>0.11509773662551424</v>
      </c>
    </row>
    <row r="20" spans="1:26" ht="58.2" thickBot="1" x14ac:dyDescent="0.35">
      <c r="A20" s="17" t="s">
        <v>568</v>
      </c>
      <c r="B20" s="24" t="s">
        <v>569</v>
      </c>
      <c r="C20" s="18">
        <v>135</v>
      </c>
      <c r="D20" s="24">
        <v>17.22</v>
      </c>
      <c r="E20" s="24">
        <v>11.7</v>
      </c>
      <c r="F20" s="24">
        <v>13</v>
      </c>
      <c r="G20" s="24">
        <v>0</v>
      </c>
      <c r="H20" s="24" t="s">
        <v>22</v>
      </c>
      <c r="I20" s="24">
        <v>1</v>
      </c>
      <c r="J20" s="24">
        <v>428</v>
      </c>
      <c r="K20" s="26">
        <v>0.51290000000000002</v>
      </c>
      <c r="L20">
        <f t="shared" si="0"/>
        <v>12.35</v>
      </c>
      <c r="R20">
        <f t="shared" si="1"/>
        <v>0.57658830309887199</v>
      </c>
      <c r="S20" s="30" t="s">
        <v>159</v>
      </c>
      <c r="T20" s="31">
        <v>95.19</v>
      </c>
      <c r="U20" s="31">
        <v>95.7</v>
      </c>
      <c r="V20" s="31">
        <v>90.82</v>
      </c>
      <c r="W20" s="31">
        <v>92.92</v>
      </c>
      <c r="X20" s="31">
        <v>92.92</v>
      </c>
      <c r="Y20" s="31" t="s">
        <v>160</v>
      </c>
      <c r="Z20">
        <f t="shared" si="2"/>
        <v>7.1618037135278617E-2</v>
      </c>
    </row>
    <row r="21" spans="1:26" ht="58.2" thickBot="1" x14ac:dyDescent="0.35">
      <c r="A21" s="17" t="s">
        <v>570</v>
      </c>
      <c r="B21" s="24" t="s">
        <v>571</v>
      </c>
      <c r="C21" s="18">
        <v>140</v>
      </c>
      <c r="D21" s="24">
        <v>13.12</v>
      </c>
      <c r="E21" s="24">
        <v>10.6</v>
      </c>
      <c r="F21" s="24">
        <v>11.8</v>
      </c>
      <c r="G21" s="24">
        <v>0</v>
      </c>
      <c r="H21" s="24" t="s">
        <v>22</v>
      </c>
      <c r="I21" s="24">
        <v>1</v>
      </c>
      <c r="J21" s="24">
        <v>744</v>
      </c>
      <c r="K21" s="26">
        <v>0.51239999999999997</v>
      </c>
      <c r="L21">
        <f t="shared" si="0"/>
        <v>11.2</v>
      </c>
      <c r="R21">
        <f t="shared" si="1"/>
        <v>0.57658830309887199</v>
      </c>
      <c r="S21" s="30" t="s">
        <v>161</v>
      </c>
      <c r="T21" s="31">
        <v>100.26</v>
      </c>
      <c r="U21" s="31">
        <v>100.97</v>
      </c>
      <c r="V21" s="31">
        <v>98.32</v>
      </c>
      <c r="W21" s="31">
        <v>100.93</v>
      </c>
      <c r="X21" s="31">
        <v>100.93</v>
      </c>
      <c r="Y21" s="31" t="s">
        <v>162</v>
      </c>
      <c r="Z21">
        <f t="shared" si="2"/>
        <v>8.6203185535944957E-2</v>
      </c>
    </row>
    <row r="22" spans="1:26" ht="58.2" thickBot="1" x14ac:dyDescent="0.35">
      <c r="A22" s="17" t="s">
        <v>572</v>
      </c>
      <c r="B22" s="24" t="s">
        <v>573</v>
      </c>
      <c r="C22" s="18">
        <v>145</v>
      </c>
      <c r="D22" s="24">
        <v>11.9</v>
      </c>
      <c r="E22" s="24">
        <v>9.5500000000000007</v>
      </c>
      <c r="F22" s="24">
        <v>11.1</v>
      </c>
      <c r="G22" s="24">
        <v>0</v>
      </c>
      <c r="H22" s="24" t="s">
        <v>22</v>
      </c>
      <c r="I22" s="24">
        <v>1</v>
      </c>
      <c r="J22" s="24">
        <v>524</v>
      </c>
      <c r="K22" s="26">
        <v>0.51629999999999998</v>
      </c>
      <c r="L22">
        <f t="shared" si="0"/>
        <v>10.324999999999999</v>
      </c>
      <c r="R22">
        <f t="shared" si="1"/>
        <v>0.57658830309887199</v>
      </c>
      <c r="S22" s="30" t="s">
        <v>163</v>
      </c>
      <c r="T22" s="31">
        <v>99.32</v>
      </c>
      <c r="U22" s="31">
        <v>100.91</v>
      </c>
      <c r="V22" s="31">
        <v>95.57</v>
      </c>
      <c r="W22" s="31">
        <v>97.5</v>
      </c>
      <c r="X22" s="31">
        <v>97.5</v>
      </c>
      <c r="Y22" s="31" t="s">
        <v>164</v>
      </c>
      <c r="Z22">
        <f t="shared" si="2"/>
        <v>-3.3983949271772583E-2</v>
      </c>
    </row>
    <row r="23" spans="1:26" ht="58.2" thickBot="1" x14ac:dyDescent="0.35">
      <c r="A23" s="17" t="s">
        <v>574</v>
      </c>
      <c r="B23" s="24" t="s">
        <v>575</v>
      </c>
      <c r="C23" s="18">
        <v>150</v>
      </c>
      <c r="D23" s="24">
        <v>9.25</v>
      </c>
      <c r="E23" s="24">
        <v>8.8000000000000007</v>
      </c>
      <c r="F23" s="24">
        <v>9.65</v>
      </c>
      <c r="G23" s="24">
        <v>-1.47</v>
      </c>
      <c r="H23" s="25">
        <v>-0.1371</v>
      </c>
      <c r="I23" s="24">
        <v>3</v>
      </c>
      <c r="J23" s="24">
        <v>2.8330000000000002</v>
      </c>
      <c r="K23" s="26">
        <v>0.51200000000000001</v>
      </c>
      <c r="L23">
        <f t="shared" si="0"/>
        <v>9.2250000000000014</v>
      </c>
      <c r="R23">
        <f t="shared" si="1"/>
        <v>0.57658830309887199</v>
      </c>
      <c r="S23" s="30" t="s">
        <v>165</v>
      </c>
      <c r="T23" s="31">
        <v>99.56</v>
      </c>
      <c r="U23" s="31">
        <v>103.36</v>
      </c>
      <c r="V23" s="31">
        <v>98.6</v>
      </c>
      <c r="W23" s="31">
        <v>98.66</v>
      </c>
      <c r="X23" s="31">
        <v>98.66</v>
      </c>
      <c r="Y23" s="31" t="s">
        <v>166</v>
      </c>
      <c r="Z23">
        <f t="shared" si="2"/>
        <v>1.1897435897435863E-2</v>
      </c>
    </row>
    <row r="24" spans="1:26" ht="58.2" thickBot="1" x14ac:dyDescent="0.35">
      <c r="A24" s="17" t="s">
        <v>576</v>
      </c>
      <c r="B24" s="24" t="s">
        <v>577</v>
      </c>
      <c r="C24" s="18">
        <v>155</v>
      </c>
      <c r="D24" s="24">
        <v>9.6999999999999993</v>
      </c>
      <c r="E24" s="24">
        <v>7.8</v>
      </c>
      <c r="F24" s="24">
        <v>9</v>
      </c>
      <c r="G24" s="24">
        <v>0</v>
      </c>
      <c r="H24" s="24" t="s">
        <v>22</v>
      </c>
      <c r="I24" s="24">
        <v>3</v>
      </c>
      <c r="J24" s="24">
        <v>208</v>
      </c>
      <c r="K24" s="26">
        <v>0.51249999999999996</v>
      </c>
      <c r="L24">
        <f t="shared" si="0"/>
        <v>8.4</v>
      </c>
      <c r="R24">
        <f t="shared" si="1"/>
        <v>0.57658830309887199</v>
      </c>
      <c r="S24" s="30" t="s">
        <v>256</v>
      </c>
      <c r="T24" s="31">
        <v>100.29</v>
      </c>
      <c r="U24" s="31">
        <v>104.39</v>
      </c>
      <c r="V24" s="31">
        <v>99.33</v>
      </c>
      <c r="W24" s="31">
        <v>100.6</v>
      </c>
      <c r="X24" s="31">
        <v>100.6</v>
      </c>
      <c r="Y24" s="31" t="s">
        <v>257</v>
      </c>
      <c r="Z24">
        <f t="shared" si="2"/>
        <v>1.9663490776403787E-2</v>
      </c>
    </row>
    <row r="25" spans="1:26" ht="58.2" thickBot="1" x14ac:dyDescent="0.35">
      <c r="A25" s="17" t="s">
        <v>578</v>
      </c>
      <c r="B25" s="24" t="s">
        <v>205</v>
      </c>
      <c r="C25" s="18">
        <v>160</v>
      </c>
      <c r="D25" s="24">
        <v>8.5</v>
      </c>
      <c r="E25" s="24">
        <v>6.7</v>
      </c>
      <c r="F25" s="24">
        <v>8.1</v>
      </c>
      <c r="G25" s="24">
        <v>0</v>
      </c>
      <c r="H25" s="24" t="s">
        <v>22</v>
      </c>
      <c r="I25" s="24">
        <v>15</v>
      </c>
      <c r="J25" s="24">
        <v>783</v>
      </c>
      <c r="K25" s="26">
        <v>0.50590000000000002</v>
      </c>
      <c r="L25">
        <f t="shared" si="0"/>
        <v>7.4</v>
      </c>
      <c r="R25">
        <f t="shared" si="1"/>
        <v>0.57658830309887199</v>
      </c>
      <c r="S25" s="30" t="s">
        <v>258</v>
      </c>
      <c r="T25" s="31">
        <v>106.03</v>
      </c>
      <c r="U25" s="31">
        <v>106.63</v>
      </c>
      <c r="V25" s="31">
        <v>101.07</v>
      </c>
      <c r="W25" s="31">
        <v>102.05</v>
      </c>
      <c r="X25" s="31">
        <v>102.05</v>
      </c>
      <c r="Y25" s="31" t="s">
        <v>259</v>
      </c>
      <c r="Z25">
        <f t="shared" si="2"/>
        <v>1.441351888667995E-2</v>
      </c>
    </row>
    <row r="26" spans="1:26" ht="58.2" thickBot="1" x14ac:dyDescent="0.35">
      <c r="A26" s="17" t="s">
        <v>579</v>
      </c>
      <c r="B26" s="24" t="s">
        <v>580</v>
      </c>
      <c r="C26" s="18">
        <v>165</v>
      </c>
      <c r="D26" s="24">
        <v>9.5</v>
      </c>
      <c r="E26" s="24">
        <v>6</v>
      </c>
      <c r="F26" s="24">
        <v>7</v>
      </c>
      <c r="G26" s="24">
        <v>0</v>
      </c>
      <c r="H26" s="24" t="s">
        <v>22</v>
      </c>
      <c r="I26" s="24">
        <v>4</v>
      </c>
      <c r="J26" s="24">
        <v>1.298</v>
      </c>
      <c r="K26" s="26">
        <v>0.51419999999999999</v>
      </c>
      <c r="L26">
        <f t="shared" si="0"/>
        <v>6.5</v>
      </c>
      <c r="R26">
        <f t="shared" si="1"/>
        <v>0.57658830309887199</v>
      </c>
      <c r="S26" s="30" t="s">
        <v>260</v>
      </c>
      <c r="T26" s="31">
        <v>107.39</v>
      </c>
      <c r="U26" s="31">
        <v>107.39</v>
      </c>
      <c r="V26" s="31">
        <v>103.24</v>
      </c>
      <c r="W26" s="31">
        <v>105.42</v>
      </c>
      <c r="X26" s="31">
        <v>105.42</v>
      </c>
      <c r="Y26" s="31" t="s">
        <v>261</v>
      </c>
      <c r="Z26">
        <f t="shared" si="2"/>
        <v>3.302302792748657E-2</v>
      </c>
    </row>
    <row r="27" spans="1:26" ht="58.2" thickBot="1" x14ac:dyDescent="0.35">
      <c r="A27" s="17" t="s">
        <v>581</v>
      </c>
      <c r="B27" s="24" t="s">
        <v>582</v>
      </c>
      <c r="C27" s="18">
        <v>170</v>
      </c>
      <c r="D27" s="24">
        <v>7.8</v>
      </c>
      <c r="E27" s="24">
        <v>5.5</v>
      </c>
      <c r="F27" s="24">
        <v>6.65</v>
      </c>
      <c r="G27" s="24">
        <v>0</v>
      </c>
      <c r="H27" s="24" t="s">
        <v>22</v>
      </c>
      <c r="I27" s="24">
        <v>1</v>
      </c>
      <c r="J27" s="24">
        <v>250</v>
      </c>
      <c r="K27" s="26">
        <v>0.50529999999999997</v>
      </c>
      <c r="L27">
        <f t="shared" si="0"/>
        <v>6.0750000000000002</v>
      </c>
      <c r="R27">
        <f t="shared" si="1"/>
        <v>0.57658830309887199</v>
      </c>
      <c r="S27" s="30" t="s">
        <v>262</v>
      </c>
      <c r="T27" s="31">
        <v>105.85</v>
      </c>
      <c r="U27" s="31">
        <v>111.25</v>
      </c>
      <c r="V27" s="31">
        <v>105.85</v>
      </c>
      <c r="W27" s="31">
        <v>107.09</v>
      </c>
      <c r="X27" s="31">
        <v>107.09</v>
      </c>
      <c r="Y27" s="31" t="s">
        <v>263</v>
      </c>
      <c r="Z27">
        <f t="shared" si="2"/>
        <v>1.5841396319483985E-2</v>
      </c>
    </row>
    <row r="28" spans="1:26" ht="58.2" thickBot="1" x14ac:dyDescent="0.35">
      <c r="A28" s="17" t="s">
        <v>583</v>
      </c>
      <c r="B28" s="24" t="s">
        <v>584</v>
      </c>
      <c r="C28" s="18">
        <v>175</v>
      </c>
      <c r="D28" s="24">
        <v>7.6</v>
      </c>
      <c r="E28" s="24">
        <v>4.5999999999999996</v>
      </c>
      <c r="F28" s="24">
        <v>6.3</v>
      </c>
      <c r="G28" s="24">
        <v>0</v>
      </c>
      <c r="H28" s="24" t="s">
        <v>22</v>
      </c>
      <c r="I28" s="24">
        <v>3</v>
      </c>
      <c r="J28" s="24">
        <v>1.304</v>
      </c>
      <c r="K28" s="26">
        <v>0.50319999999999998</v>
      </c>
      <c r="L28">
        <f t="shared" si="0"/>
        <v>5.4499999999999993</v>
      </c>
      <c r="R28">
        <f t="shared" si="1"/>
        <v>0.57658830309887199</v>
      </c>
      <c r="S28" s="30" t="s">
        <v>264</v>
      </c>
      <c r="T28" s="31">
        <v>105.97</v>
      </c>
      <c r="U28" s="31">
        <v>107.49</v>
      </c>
      <c r="V28" s="31">
        <v>103.64</v>
      </c>
      <c r="W28" s="31">
        <v>105.19</v>
      </c>
      <c r="X28" s="31">
        <v>105.19</v>
      </c>
      <c r="Y28" s="31" t="s">
        <v>265</v>
      </c>
      <c r="Z28">
        <f t="shared" si="2"/>
        <v>-1.7742086095807318E-2</v>
      </c>
    </row>
    <row r="29" spans="1:26" ht="58.2" thickBot="1" x14ac:dyDescent="0.35">
      <c r="A29" s="17" t="s">
        <v>585</v>
      </c>
      <c r="B29" s="24" t="s">
        <v>381</v>
      </c>
      <c r="C29" s="18">
        <v>180</v>
      </c>
      <c r="D29" s="24">
        <v>5.6</v>
      </c>
      <c r="E29" s="24">
        <v>4.0999999999999996</v>
      </c>
      <c r="F29" s="24">
        <v>5.3</v>
      </c>
      <c r="G29" s="24">
        <v>0</v>
      </c>
      <c r="H29" s="24" t="s">
        <v>22</v>
      </c>
      <c r="I29" s="24">
        <v>50</v>
      </c>
      <c r="J29" s="24">
        <v>878</v>
      </c>
      <c r="K29" s="26">
        <v>0.51500000000000001</v>
      </c>
      <c r="L29">
        <f t="shared" si="0"/>
        <v>4.6999999999999993</v>
      </c>
      <c r="R29">
        <f t="shared" si="1"/>
        <v>0.57658830309887199</v>
      </c>
      <c r="S29" s="30" t="s">
        <v>266</v>
      </c>
      <c r="T29" s="31">
        <v>107.89</v>
      </c>
      <c r="U29" s="31">
        <v>108.55</v>
      </c>
      <c r="V29" s="31">
        <v>104</v>
      </c>
      <c r="W29" s="31">
        <v>107.94</v>
      </c>
      <c r="X29" s="31">
        <v>107.94</v>
      </c>
      <c r="Y29" s="31" t="s">
        <v>267</v>
      </c>
      <c r="Z29">
        <f t="shared" si="2"/>
        <v>2.6143169502804448E-2</v>
      </c>
    </row>
    <row r="30" spans="1:26" ht="58.2" thickBot="1" x14ac:dyDescent="0.35">
      <c r="A30" s="17" t="s">
        <v>586</v>
      </c>
      <c r="B30" s="24" t="s">
        <v>587</v>
      </c>
      <c r="C30" s="18">
        <v>185</v>
      </c>
      <c r="D30" s="24">
        <v>5.2</v>
      </c>
      <c r="E30" s="24">
        <v>4.0999999999999996</v>
      </c>
      <c r="F30" s="24">
        <v>5.25</v>
      </c>
      <c r="G30" s="24">
        <v>0</v>
      </c>
      <c r="H30" s="24" t="s">
        <v>22</v>
      </c>
      <c r="I30" s="24">
        <v>2</v>
      </c>
      <c r="J30" s="24">
        <v>578</v>
      </c>
      <c r="K30" s="26">
        <v>0.50970000000000004</v>
      </c>
      <c r="L30">
        <f t="shared" si="0"/>
        <v>4.6749999999999998</v>
      </c>
      <c r="R30">
        <f t="shared" si="1"/>
        <v>0.57658830309887199</v>
      </c>
      <c r="S30" s="30" t="s">
        <v>268</v>
      </c>
      <c r="T30" s="31">
        <v>100.07</v>
      </c>
      <c r="U30" s="31">
        <v>108.95</v>
      </c>
      <c r="V30" s="31">
        <v>100.02</v>
      </c>
      <c r="W30" s="31">
        <v>108.93</v>
      </c>
      <c r="X30" s="31">
        <v>108.93</v>
      </c>
      <c r="Y30" s="31" t="s">
        <v>269</v>
      </c>
      <c r="Z30">
        <f t="shared" si="2"/>
        <v>9.1717620900501114E-3</v>
      </c>
    </row>
    <row r="31" spans="1:26" ht="58.2" thickBot="1" x14ac:dyDescent="0.35">
      <c r="A31" s="17" t="s">
        <v>588</v>
      </c>
      <c r="B31" s="24" t="s">
        <v>81</v>
      </c>
      <c r="C31" s="18">
        <v>190</v>
      </c>
      <c r="D31" s="24">
        <v>4.96</v>
      </c>
      <c r="E31" s="24">
        <v>3.8</v>
      </c>
      <c r="F31" s="24">
        <v>4.5</v>
      </c>
      <c r="G31" s="24">
        <v>0</v>
      </c>
      <c r="H31" s="24" t="s">
        <v>22</v>
      </c>
      <c r="I31" s="24">
        <v>1</v>
      </c>
      <c r="J31" s="24">
        <v>527</v>
      </c>
      <c r="K31" s="26">
        <v>0.50590000000000002</v>
      </c>
      <c r="L31">
        <f t="shared" si="0"/>
        <v>4.1500000000000004</v>
      </c>
      <c r="R31">
        <f t="shared" si="1"/>
        <v>0.57658830309887199</v>
      </c>
      <c r="S31" s="30" t="s">
        <v>270</v>
      </c>
      <c r="T31" s="31">
        <v>115.1</v>
      </c>
      <c r="U31" s="31">
        <v>115.4</v>
      </c>
      <c r="V31" s="31">
        <v>109.6</v>
      </c>
      <c r="W31" s="31">
        <v>109.72</v>
      </c>
      <c r="X31" s="31">
        <v>109.72</v>
      </c>
      <c r="Y31" s="31" t="s">
        <v>271</v>
      </c>
      <c r="Z31">
        <f t="shared" si="2"/>
        <v>7.252363903424144E-3</v>
      </c>
    </row>
    <row r="32" spans="1:26" ht="58.2" thickBot="1" x14ac:dyDescent="0.35">
      <c r="A32" s="17" t="s">
        <v>589</v>
      </c>
      <c r="B32" s="24" t="s">
        <v>590</v>
      </c>
      <c r="C32" s="18">
        <v>195</v>
      </c>
      <c r="D32" s="24">
        <v>4.25</v>
      </c>
      <c r="E32" s="24">
        <v>3.3</v>
      </c>
      <c r="F32" s="24">
        <v>4.45</v>
      </c>
      <c r="G32" s="24">
        <v>0</v>
      </c>
      <c r="H32" s="24" t="s">
        <v>22</v>
      </c>
      <c r="I32" s="24">
        <v>1</v>
      </c>
      <c r="J32" s="24">
        <v>256</v>
      </c>
      <c r="K32" s="26">
        <v>0.50980000000000003</v>
      </c>
      <c r="L32">
        <f t="shared" si="0"/>
        <v>3.875</v>
      </c>
      <c r="R32">
        <f t="shared" si="1"/>
        <v>0.57658830309887199</v>
      </c>
      <c r="S32" s="30" t="s">
        <v>272</v>
      </c>
      <c r="T32" s="31">
        <v>114</v>
      </c>
      <c r="U32" s="31">
        <v>114.85</v>
      </c>
      <c r="V32" s="31">
        <v>112.06</v>
      </c>
      <c r="W32" s="31">
        <v>112.93</v>
      </c>
      <c r="X32" s="31">
        <v>112.93</v>
      </c>
      <c r="Y32" s="31" t="s">
        <v>273</v>
      </c>
      <c r="Z32">
        <f t="shared" si="2"/>
        <v>2.9256288734961795E-2</v>
      </c>
    </row>
    <row r="33" spans="1:26" ht="58.2" thickBot="1" x14ac:dyDescent="0.35">
      <c r="A33" s="17" t="s">
        <v>591</v>
      </c>
      <c r="B33" s="24" t="s">
        <v>592</v>
      </c>
      <c r="C33" s="18">
        <v>200</v>
      </c>
      <c r="D33" s="24">
        <v>3.92</v>
      </c>
      <c r="E33" s="24">
        <v>3</v>
      </c>
      <c r="F33" s="24">
        <v>4.05</v>
      </c>
      <c r="G33" s="24">
        <v>0</v>
      </c>
      <c r="H33" s="24" t="s">
        <v>22</v>
      </c>
      <c r="I33" s="24">
        <v>3</v>
      </c>
      <c r="J33" s="24">
        <v>1.673</v>
      </c>
      <c r="K33" s="26">
        <v>0.50960000000000005</v>
      </c>
      <c r="L33">
        <f t="shared" si="0"/>
        <v>3.5249999999999999</v>
      </c>
      <c r="R33">
        <f t="shared" si="1"/>
        <v>0.57658830309887199</v>
      </c>
      <c r="S33" s="30" t="s">
        <v>274</v>
      </c>
      <c r="T33" s="31">
        <v>120.88</v>
      </c>
      <c r="U33" s="31">
        <v>120.88</v>
      </c>
      <c r="V33" s="31">
        <v>117.2</v>
      </c>
      <c r="W33" s="31">
        <v>118.99</v>
      </c>
      <c r="X33" s="31">
        <v>118.99</v>
      </c>
      <c r="Y33" s="31" t="s">
        <v>275</v>
      </c>
      <c r="Z33">
        <f t="shared" si="2"/>
        <v>5.3661560258567144E-2</v>
      </c>
    </row>
    <row r="34" spans="1:26" ht="58.2" thickBot="1" x14ac:dyDescent="0.35">
      <c r="A34" s="17" t="s">
        <v>593</v>
      </c>
      <c r="B34" s="24" t="s">
        <v>68</v>
      </c>
      <c r="C34" s="18">
        <v>205</v>
      </c>
      <c r="D34" s="24">
        <v>3.55</v>
      </c>
      <c r="E34" s="24">
        <v>2.65</v>
      </c>
      <c r="F34" s="24">
        <v>3.35</v>
      </c>
      <c r="G34" s="24">
        <v>0</v>
      </c>
      <c r="H34" s="24" t="s">
        <v>22</v>
      </c>
      <c r="I34" s="24">
        <v>4</v>
      </c>
      <c r="J34" s="24">
        <v>201</v>
      </c>
      <c r="K34" s="26">
        <v>0.50060000000000004</v>
      </c>
      <c r="L34">
        <f t="shared" si="0"/>
        <v>3</v>
      </c>
      <c r="R34">
        <f t="shared" si="1"/>
        <v>0.57658830309887199</v>
      </c>
      <c r="S34" s="30" t="s">
        <v>276</v>
      </c>
      <c r="T34" s="31">
        <v>125</v>
      </c>
      <c r="U34" s="31">
        <v>129.4</v>
      </c>
      <c r="V34" s="31">
        <v>124.06</v>
      </c>
      <c r="W34" s="31">
        <v>124.43</v>
      </c>
      <c r="X34" s="31">
        <v>124.43</v>
      </c>
      <c r="Y34" s="31" t="s">
        <v>277</v>
      </c>
      <c r="Z34">
        <f t="shared" si="2"/>
        <v>4.5718127573745798E-2</v>
      </c>
    </row>
    <row r="35" spans="1:26" ht="58.2" thickBot="1" x14ac:dyDescent="0.35">
      <c r="A35" s="17" t="s">
        <v>594</v>
      </c>
      <c r="B35" s="24" t="s">
        <v>595</v>
      </c>
      <c r="C35" s="18">
        <v>210</v>
      </c>
      <c r="D35" s="24">
        <v>4.75</v>
      </c>
      <c r="E35" s="24">
        <v>2.4500000000000002</v>
      </c>
      <c r="F35" s="24">
        <v>3.1</v>
      </c>
      <c r="G35" s="24">
        <v>0</v>
      </c>
      <c r="H35" s="24" t="s">
        <v>22</v>
      </c>
      <c r="I35" s="24">
        <v>1</v>
      </c>
      <c r="J35" s="24">
        <v>621</v>
      </c>
      <c r="K35" s="26">
        <v>0.50280000000000002</v>
      </c>
      <c r="L35">
        <f t="shared" si="0"/>
        <v>2.7750000000000004</v>
      </c>
      <c r="R35">
        <f t="shared" si="1"/>
        <v>0.57658830309887199</v>
      </c>
      <c r="S35" s="30" t="s">
        <v>278</v>
      </c>
      <c r="T35" s="31">
        <v>125.61</v>
      </c>
      <c r="U35" s="31">
        <v>127.58</v>
      </c>
      <c r="V35" s="31">
        <v>124.51</v>
      </c>
      <c r="W35" s="31">
        <v>125.56</v>
      </c>
      <c r="X35" s="31">
        <v>125.56</v>
      </c>
      <c r="Y35" s="31" t="s">
        <v>279</v>
      </c>
      <c r="Z35">
        <f t="shared" si="2"/>
        <v>9.0814112352326243E-3</v>
      </c>
    </row>
    <row r="36" spans="1:26" ht="58.2" thickBot="1" x14ac:dyDescent="0.35">
      <c r="A36" s="17" t="s">
        <v>596</v>
      </c>
      <c r="B36" s="24" t="s">
        <v>597</v>
      </c>
      <c r="C36" s="18">
        <v>215</v>
      </c>
      <c r="D36" s="24">
        <v>3.01</v>
      </c>
      <c r="E36" s="24">
        <v>2.12</v>
      </c>
      <c r="F36" s="24">
        <v>2.95</v>
      </c>
      <c r="G36" s="24">
        <v>0</v>
      </c>
      <c r="H36" s="24" t="s">
        <v>22</v>
      </c>
      <c r="I36" s="24">
        <v>1</v>
      </c>
      <c r="J36" s="24">
        <v>328</v>
      </c>
      <c r="K36" s="26">
        <v>0.50319999999999998</v>
      </c>
      <c r="L36">
        <f t="shared" si="0"/>
        <v>2.5350000000000001</v>
      </c>
      <c r="R36">
        <f t="shared" si="1"/>
        <v>0.57658830309887199</v>
      </c>
      <c r="S36" s="30" t="s">
        <v>280</v>
      </c>
      <c r="T36" s="31">
        <v>123.77</v>
      </c>
      <c r="U36" s="31">
        <v>126.81</v>
      </c>
      <c r="V36" s="31">
        <v>123.38</v>
      </c>
      <c r="W36" s="31">
        <v>126.24</v>
      </c>
      <c r="X36" s="31">
        <v>126.24</v>
      </c>
      <c r="Y36" s="31" t="s">
        <v>281</v>
      </c>
      <c r="Z36">
        <f t="shared" si="2"/>
        <v>5.415737496017781E-3</v>
      </c>
    </row>
    <row r="37" spans="1:26" ht="58.2" thickBot="1" x14ac:dyDescent="0.35">
      <c r="A37" s="17" t="s">
        <v>598</v>
      </c>
      <c r="B37" s="24" t="s">
        <v>599</v>
      </c>
      <c r="C37" s="18">
        <v>220</v>
      </c>
      <c r="D37" s="24">
        <v>3.42</v>
      </c>
      <c r="E37" s="24">
        <v>1.89</v>
      </c>
      <c r="F37" s="24">
        <v>2.87</v>
      </c>
      <c r="G37" s="24">
        <v>0</v>
      </c>
      <c r="H37" s="24" t="s">
        <v>22</v>
      </c>
      <c r="I37" s="24">
        <v>1</v>
      </c>
      <c r="J37" s="24">
        <v>1.238</v>
      </c>
      <c r="K37" s="26">
        <v>0.50680000000000003</v>
      </c>
      <c r="L37">
        <f t="shared" si="0"/>
        <v>2.38</v>
      </c>
      <c r="R37">
        <f t="shared" si="1"/>
        <v>0.57658830309887199</v>
      </c>
      <c r="S37" s="30" t="s">
        <v>282</v>
      </c>
      <c r="T37" s="31">
        <v>120.56</v>
      </c>
      <c r="U37" s="31">
        <v>122.38</v>
      </c>
      <c r="V37" s="31">
        <v>119.37</v>
      </c>
      <c r="W37" s="31">
        <v>121.92</v>
      </c>
      <c r="X37" s="31">
        <v>121.92</v>
      </c>
      <c r="Y37" s="31" t="s">
        <v>283</v>
      </c>
      <c r="Z37">
        <f t="shared" si="2"/>
        <v>-3.4220532319391581E-2</v>
      </c>
    </row>
    <row r="38" spans="1:26" ht="58.2" thickBot="1" x14ac:dyDescent="0.35">
      <c r="A38" s="17" t="s">
        <v>600</v>
      </c>
      <c r="B38" s="24" t="s">
        <v>601</v>
      </c>
      <c r="C38" s="18">
        <v>225</v>
      </c>
      <c r="D38" s="24">
        <v>4.05</v>
      </c>
      <c r="E38" s="24">
        <v>1.7</v>
      </c>
      <c r="F38" s="24">
        <v>2.57</v>
      </c>
      <c r="G38" s="24">
        <v>0</v>
      </c>
      <c r="H38" s="24" t="s">
        <v>22</v>
      </c>
      <c r="I38" s="24">
        <v>45</v>
      </c>
      <c r="J38" s="24">
        <v>499</v>
      </c>
      <c r="K38" s="26">
        <v>0.505</v>
      </c>
      <c r="L38">
        <f t="shared" si="0"/>
        <v>2.1349999999999998</v>
      </c>
      <c r="R38">
        <f t="shared" si="1"/>
        <v>0.57658830309887199</v>
      </c>
      <c r="S38" s="30" t="s">
        <v>284</v>
      </c>
      <c r="T38" s="31">
        <v>125.33</v>
      </c>
      <c r="U38" s="31">
        <v>126.72</v>
      </c>
      <c r="V38" s="31">
        <v>121.94</v>
      </c>
      <c r="W38" s="31">
        <v>122.25</v>
      </c>
      <c r="X38" s="31">
        <v>122.25</v>
      </c>
      <c r="Y38" s="31" t="s">
        <v>285</v>
      </c>
      <c r="Z38">
        <f t="shared" si="2"/>
        <v>2.7066929133858129E-3</v>
      </c>
    </row>
    <row r="39" spans="1:26" ht="58.2" thickBot="1" x14ac:dyDescent="0.35">
      <c r="A39" s="17" t="s">
        <v>602</v>
      </c>
      <c r="B39" s="24" t="s">
        <v>603</v>
      </c>
      <c r="C39" s="18">
        <v>230</v>
      </c>
      <c r="D39" s="24">
        <v>3.2</v>
      </c>
      <c r="E39" s="24">
        <v>1.83</v>
      </c>
      <c r="F39" s="24">
        <v>2.42</v>
      </c>
      <c r="G39" s="24">
        <v>0</v>
      </c>
      <c r="H39" s="24" t="s">
        <v>22</v>
      </c>
      <c r="I39" s="24">
        <v>3</v>
      </c>
      <c r="J39" s="24">
        <v>724</v>
      </c>
      <c r="K39" s="26">
        <v>0.51490000000000002</v>
      </c>
      <c r="L39">
        <f t="shared" si="0"/>
        <v>2.125</v>
      </c>
      <c r="R39">
        <f t="shared" si="1"/>
        <v>0.57658830309887199</v>
      </c>
      <c r="S39" s="30" t="s">
        <v>286</v>
      </c>
      <c r="T39" s="31">
        <v>124.11</v>
      </c>
      <c r="U39" s="31">
        <v>128.34</v>
      </c>
      <c r="V39" s="31">
        <v>123.4</v>
      </c>
      <c r="W39" s="31">
        <v>123.98</v>
      </c>
      <c r="X39" s="31">
        <v>123.98</v>
      </c>
      <c r="Y39" s="31" t="s">
        <v>287</v>
      </c>
      <c r="Z39">
        <f t="shared" si="2"/>
        <v>1.4151329243353815E-2</v>
      </c>
    </row>
    <row r="40" spans="1:26" ht="58.2" thickBot="1" x14ac:dyDescent="0.35">
      <c r="A40" s="17" t="s">
        <v>604</v>
      </c>
      <c r="B40" s="24" t="s">
        <v>605</v>
      </c>
      <c r="C40" s="18">
        <v>240</v>
      </c>
      <c r="D40" s="24">
        <v>2.23</v>
      </c>
      <c r="E40" s="24">
        <v>1.3</v>
      </c>
      <c r="F40" s="24">
        <v>1.8</v>
      </c>
      <c r="G40" s="24">
        <v>0</v>
      </c>
      <c r="H40" s="24" t="s">
        <v>22</v>
      </c>
      <c r="I40" s="24">
        <v>5</v>
      </c>
      <c r="J40" s="24">
        <v>434</v>
      </c>
      <c r="K40" s="26">
        <v>0.50039999999999996</v>
      </c>
      <c r="L40">
        <f t="shared" si="0"/>
        <v>1.55</v>
      </c>
      <c r="R40">
        <f t="shared" si="1"/>
        <v>0.57658830309887199</v>
      </c>
      <c r="S40" s="30" t="s">
        <v>288</v>
      </c>
      <c r="T40" s="31">
        <v>123.09</v>
      </c>
      <c r="U40" s="31">
        <v>126.8</v>
      </c>
      <c r="V40" s="31">
        <v>121.94</v>
      </c>
      <c r="W40" s="31">
        <v>126.5</v>
      </c>
      <c r="X40" s="31">
        <v>126.5</v>
      </c>
      <c r="Y40" s="31" t="s">
        <v>289</v>
      </c>
      <c r="Z40">
        <f t="shared" si="2"/>
        <v>2.0325859009517631E-2</v>
      </c>
    </row>
    <row r="41" spans="1:26" ht="58.2" thickBot="1" x14ac:dyDescent="0.35">
      <c r="A41" s="17" t="s">
        <v>606</v>
      </c>
      <c r="B41" s="24" t="s">
        <v>83</v>
      </c>
      <c r="C41" s="18">
        <v>250</v>
      </c>
      <c r="D41" s="24">
        <v>2</v>
      </c>
      <c r="E41" s="24">
        <v>1.1599999999999999</v>
      </c>
      <c r="F41" s="24">
        <v>1.84</v>
      </c>
      <c r="G41" s="24">
        <v>0</v>
      </c>
      <c r="H41" s="24" t="s">
        <v>22</v>
      </c>
      <c r="I41" s="24">
        <v>2</v>
      </c>
      <c r="J41" s="24">
        <v>1.7809999999999999</v>
      </c>
      <c r="K41" s="26">
        <v>0.51529999999999998</v>
      </c>
      <c r="L41">
        <f t="shared" si="0"/>
        <v>1.5</v>
      </c>
      <c r="R41">
        <f t="shared" si="1"/>
        <v>0.57658830309887199</v>
      </c>
      <c r="S41" s="30" t="s">
        <v>290</v>
      </c>
      <c r="T41" s="31">
        <v>118.16</v>
      </c>
      <c r="U41" s="31">
        <v>122.24</v>
      </c>
      <c r="V41" s="31">
        <v>116.8</v>
      </c>
      <c r="W41" s="31">
        <v>121.9</v>
      </c>
      <c r="X41" s="31">
        <v>121.9</v>
      </c>
      <c r="Y41" s="31" t="s">
        <v>291</v>
      </c>
      <c r="Z41">
        <f t="shared" si="2"/>
        <v>-3.636363636363632E-2</v>
      </c>
    </row>
    <row r="42" spans="1:26" ht="58.2" thickBot="1" x14ac:dyDescent="0.35">
      <c r="A42" s="17" t="s">
        <v>607</v>
      </c>
      <c r="B42" s="24" t="s">
        <v>608</v>
      </c>
      <c r="C42" s="18">
        <v>260</v>
      </c>
      <c r="D42" s="24">
        <v>1.4</v>
      </c>
      <c r="E42" s="24">
        <v>1.0900000000000001</v>
      </c>
      <c r="F42" s="24">
        <v>1.47</v>
      </c>
      <c r="G42" s="24">
        <v>0</v>
      </c>
      <c r="H42" s="24" t="s">
        <v>22</v>
      </c>
      <c r="I42" s="24">
        <v>5</v>
      </c>
      <c r="J42" s="24">
        <v>1.286</v>
      </c>
      <c r="K42" s="26">
        <v>0.51659999999999995</v>
      </c>
      <c r="L42">
        <f t="shared" si="0"/>
        <v>1.28</v>
      </c>
      <c r="R42">
        <f t="shared" si="1"/>
        <v>0.57658830309887199</v>
      </c>
      <c r="S42" s="30" t="s">
        <v>292</v>
      </c>
      <c r="T42" s="31">
        <v>116.1</v>
      </c>
      <c r="U42" s="31">
        <v>116.55</v>
      </c>
      <c r="V42" s="31">
        <v>113.6</v>
      </c>
      <c r="W42" s="31">
        <v>114.82</v>
      </c>
      <c r="X42" s="31">
        <v>114.82</v>
      </c>
      <c r="Y42" s="31" t="s">
        <v>293</v>
      </c>
      <c r="Z42">
        <f t="shared" si="2"/>
        <v>-5.8080393765381558E-2</v>
      </c>
    </row>
    <row r="43" spans="1:26" ht="15" thickBot="1" x14ac:dyDescent="0.35">
      <c r="S43" s="30" t="s">
        <v>294</v>
      </c>
      <c r="T43" s="31">
        <v>121.27</v>
      </c>
      <c r="U43" s="31">
        <v>123.94</v>
      </c>
      <c r="V43" s="31">
        <v>119.66</v>
      </c>
      <c r="W43" s="31">
        <v>122.22</v>
      </c>
      <c r="X43" s="31">
        <v>122.22</v>
      </c>
      <c r="Y43" s="31" t="s">
        <v>295</v>
      </c>
      <c r="Z43">
        <f t="shared" si="2"/>
        <v>6.4448702316669618E-2</v>
      </c>
    </row>
    <row r="44" spans="1:26" ht="15" thickBot="1" x14ac:dyDescent="0.35">
      <c r="S44" s="30" t="s">
        <v>296</v>
      </c>
      <c r="T44" s="31">
        <v>121.55</v>
      </c>
      <c r="U44" s="31">
        <v>125.27</v>
      </c>
      <c r="V44" s="31">
        <v>120.73</v>
      </c>
      <c r="W44" s="31">
        <v>123.47</v>
      </c>
      <c r="X44" s="31">
        <v>123.47</v>
      </c>
      <c r="Y44" s="31" t="s">
        <v>297</v>
      </c>
      <c r="Z44">
        <f t="shared" si="2"/>
        <v>1.0227458681066929E-2</v>
      </c>
    </row>
    <row r="45" spans="1:26" ht="15" thickBot="1" x14ac:dyDescent="0.35">
      <c r="S45" s="30" t="s">
        <v>298</v>
      </c>
      <c r="T45" s="31">
        <v>127.63</v>
      </c>
      <c r="U45" s="31">
        <v>127.63</v>
      </c>
      <c r="V45" s="31">
        <v>121.17</v>
      </c>
      <c r="W45" s="31">
        <v>122.88</v>
      </c>
      <c r="X45" s="31">
        <v>122.88</v>
      </c>
      <c r="Y45" s="31" t="s">
        <v>299</v>
      </c>
      <c r="Z45">
        <f t="shared" si="2"/>
        <v>-4.7784887017089444E-3</v>
      </c>
    </row>
    <row r="46" spans="1:26" ht="15" thickBot="1" x14ac:dyDescent="0.35">
      <c r="S46" s="30" t="s">
        <v>300</v>
      </c>
      <c r="T46" s="31">
        <v>124.81</v>
      </c>
      <c r="U46" s="31">
        <v>128</v>
      </c>
      <c r="V46" s="31">
        <v>122.97</v>
      </c>
      <c r="W46" s="31">
        <v>127.22</v>
      </c>
      <c r="X46" s="31">
        <v>127.22</v>
      </c>
      <c r="Y46" s="31" t="s">
        <v>301</v>
      </c>
      <c r="Z46">
        <f t="shared" si="2"/>
        <v>3.5319010416666699E-2</v>
      </c>
    </row>
    <row r="47" spans="1:26" ht="15" thickBot="1" x14ac:dyDescent="0.35">
      <c r="S47" s="30" t="s">
        <v>302</v>
      </c>
      <c r="T47" s="31">
        <v>118.17</v>
      </c>
      <c r="U47" s="31">
        <v>125.87</v>
      </c>
      <c r="V47" s="31">
        <v>117.5</v>
      </c>
      <c r="W47" s="31">
        <v>125.79</v>
      </c>
      <c r="X47" s="31">
        <v>125.79</v>
      </c>
      <c r="Y47" s="31" t="s">
        <v>303</v>
      </c>
      <c r="Z47">
        <f t="shared" si="2"/>
        <v>-1.1240371010847293E-2</v>
      </c>
    </row>
    <row r="48" spans="1:26" ht="15" thickBot="1" x14ac:dyDescent="0.35">
      <c r="S48" s="30" t="s">
        <v>304</v>
      </c>
      <c r="T48" s="31">
        <v>113.25</v>
      </c>
      <c r="U48" s="31">
        <v>115.32</v>
      </c>
      <c r="V48" s="31">
        <v>110.06</v>
      </c>
      <c r="W48" s="31">
        <v>115.23</v>
      </c>
      <c r="X48" s="31">
        <v>115.23</v>
      </c>
      <c r="Y48" s="31" t="s">
        <v>305</v>
      </c>
      <c r="Z48">
        <f t="shared" si="2"/>
        <v>-8.3949439542093982E-2</v>
      </c>
    </row>
    <row r="49" spans="19:26" ht="15" thickBot="1" x14ac:dyDescent="0.35">
      <c r="S49" s="30" t="s">
        <v>306</v>
      </c>
      <c r="T49" s="31">
        <v>113.11</v>
      </c>
      <c r="U49" s="31">
        <v>114.54</v>
      </c>
      <c r="V49" s="31">
        <v>110.27</v>
      </c>
      <c r="W49" s="31">
        <v>111.79</v>
      </c>
      <c r="X49" s="31">
        <v>111.79</v>
      </c>
      <c r="Y49" s="31" t="s">
        <v>307</v>
      </c>
      <c r="Z49">
        <f t="shared" si="2"/>
        <v>-2.9853336804651544E-2</v>
      </c>
    </row>
    <row r="50" spans="19:26" ht="15" thickBot="1" x14ac:dyDescent="0.35">
      <c r="S50" s="30" t="s">
        <v>308</v>
      </c>
      <c r="T50" s="31">
        <v>120.93</v>
      </c>
      <c r="U50" s="31">
        <v>120.93</v>
      </c>
      <c r="V50" s="31">
        <v>112.96</v>
      </c>
      <c r="W50" s="31">
        <v>113.37</v>
      </c>
      <c r="X50" s="31">
        <v>113.37</v>
      </c>
      <c r="Y50" s="31" t="s">
        <v>309</v>
      </c>
      <c r="Z50">
        <f t="shared" si="2"/>
        <v>1.4133643438590198E-2</v>
      </c>
    </row>
    <row r="51" spans="19:26" ht="15" thickBot="1" x14ac:dyDescent="0.35">
      <c r="S51" s="30" t="s">
        <v>310</v>
      </c>
      <c r="T51" s="31">
        <v>119.91</v>
      </c>
      <c r="U51" s="31">
        <v>122.46</v>
      </c>
      <c r="V51" s="31">
        <v>118.04</v>
      </c>
      <c r="W51" s="31">
        <v>119.14</v>
      </c>
      <c r="X51" s="31">
        <v>119.14</v>
      </c>
      <c r="Y51" s="31" t="s">
        <v>311</v>
      </c>
      <c r="Z51">
        <f t="shared" si="2"/>
        <v>5.0895298579871184E-2</v>
      </c>
    </row>
    <row r="52" spans="19:26" ht="15" thickBot="1" x14ac:dyDescent="0.35">
      <c r="S52" s="30" t="s">
        <v>312</v>
      </c>
      <c r="T52" s="31">
        <v>119.32</v>
      </c>
      <c r="U52" s="31">
        <v>120.78</v>
      </c>
      <c r="V52" s="31">
        <v>115.32</v>
      </c>
      <c r="W52" s="31">
        <v>120.37</v>
      </c>
      <c r="X52" s="31">
        <v>120.37</v>
      </c>
      <c r="Y52" s="31" t="s">
        <v>313</v>
      </c>
      <c r="Z52">
        <f t="shared" si="2"/>
        <v>1.0323988584858184E-2</v>
      </c>
    </row>
    <row r="53" spans="19:26" ht="15" thickBot="1" x14ac:dyDescent="0.35">
      <c r="S53" s="30" t="s">
        <v>314</v>
      </c>
      <c r="T53" s="31">
        <v>128.22999999999999</v>
      </c>
      <c r="U53" s="31">
        <v>128.96</v>
      </c>
      <c r="V53" s="31">
        <v>122.52</v>
      </c>
      <c r="W53" s="31">
        <v>123.23</v>
      </c>
      <c r="X53" s="31">
        <v>123.23</v>
      </c>
      <c r="Y53" s="31" t="s">
        <v>315</v>
      </c>
      <c r="Z53">
        <f t="shared" si="2"/>
        <v>2.3760073107917251E-2</v>
      </c>
    </row>
    <row r="54" spans="19:26" ht="15" thickBot="1" x14ac:dyDescent="0.35">
      <c r="S54" s="30" t="s">
        <v>316</v>
      </c>
      <c r="T54" s="31">
        <v>135.77000000000001</v>
      </c>
      <c r="U54" s="31">
        <v>136.75</v>
      </c>
      <c r="V54" s="31">
        <v>130.68</v>
      </c>
      <c r="W54" s="31">
        <v>131.03</v>
      </c>
      <c r="X54" s="31">
        <v>131.03</v>
      </c>
      <c r="Y54" s="31" t="s">
        <v>317</v>
      </c>
      <c r="Z54">
        <f t="shared" si="2"/>
        <v>6.3296275257648277E-2</v>
      </c>
    </row>
    <row r="55" spans="19:26" ht="15" thickBot="1" x14ac:dyDescent="0.35">
      <c r="S55" s="30" t="s">
        <v>318</v>
      </c>
      <c r="T55" s="31">
        <v>128.1</v>
      </c>
      <c r="U55" s="31">
        <v>130.86000000000001</v>
      </c>
      <c r="V55" s="31">
        <v>127.13</v>
      </c>
      <c r="W55" s="31">
        <v>127.74</v>
      </c>
      <c r="X55" s="31">
        <v>127.74</v>
      </c>
      <c r="Y55" s="31" t="s">
        <v>319</v>
      </c>
      <c r="Z55">
        <f t="shared" si="2"/>
        <v>-2.5108753720522067E-2</v>
      </c>
    </row>
    <row r="56" spans="19:26" ht="15" thickBot="1" x14ac:dyDescent="0.35">
      <c r="S56" s="30" t="s">
        <v>320</v>
      </c>
      <c r="T56" s="31">
        <v>126.27</v>
      </c>
      <c r="U56" s="31">
        <v>132.13</v>
      </c>
      <c r="V56" s="31">
        <v>124.82</v>
      </c>
      <c r="W56" s="31">
        <v>128.6</v>
      </c>
      <c r="X56" s="31">
        <v>128.6</v>
      </c>
      <c r="Y56" s="31" t="s">
        <v>321</v>
      </c>
      <c r="Z56">
        <f t="shared" si="2"/>
        <v>6.7324252387662396E-3</v>
      </c>
    </row>
    <row r="57" spans="19:26" ht="15" thickBot="1" x14ac:dyDescent="0.35">
      <c r="S57" s="30" t="s">
        <v>322</v>
      </c>
      <c r="T57" s="31">
        <v>132.81</v>
      </c>
      <c r="U57" s="31">
        <v>134.36000000000001</v>
      </c>
      <c r="V57" s="31">
        <v>129.35</v>
      </c>
      <c r="W57" s="31">
        <v>131.57</v>
      </c>
      <c r="X57" s="31">
        <v>131.57</v>
      </c>
      <c r="Y57" s="31" t="s">
        <v>323</v>
      </c>
      <c r="Z57">
        <f t="shared" si="2"/>
        <v>2.3094867807153956E-2</v>
      </c>
    </row>
    <row r="58" spans="19:26" ht="15" thickBot="1" x14ac:dyDescent="0.35">
      <c r="S58" s="30" t="s">
        <v>324</v>
      </c>
      <c r="T58" s="31">
        <v>135.19999999999999</v>
      </c>
      <c r="U58" s="31">
        <v>135.91999999999999</v>
      </c>
      <c r="V58" s="31">
        <v>131.30000000000001</v>
      </c>
      <c r="W58" s="31">
        <v>131.37</v>
      </c>
      <c r="X58" s="31">
        <v>131.37</v>
      </c>
      <c r="Y58" s="31" t="s">
        <v>325</v>
      </c>
      <c r="Z58">
        <f t="shared" si="2"/>
        <v>-1.5201033670288716E-3</v>
      </c>
    </row>
    <row r="59" spans="19:26" ht="15" thickBot="1" x14ac:dyDescent="0.35">
      <c r="S59" s="30" t="s">
        <v>326</v>
      </c>
      <c r="T59" s="31">
        <v>136.02000000000001</v>
      </c>
      <c r="U59" s="31">
        <v>138.69999999999999</v>
      </c>
      <c r="V59" s="31">
        <v>135.59</v>
      </c>
      <c r="W59" s="31">
        <v>137.41</v>
      </c>
      <c r="X59" s="31">
        <v>137.41</v>
      </c>
      <c r="Y59" s="31" t="s">
        <v>327</v>
      </c>
      <c r="Z59">
        <f t="shared" si="2"/>
        <v>4.597701149425281E-2</v>
      </c>
    </row>
    <row r="60" spans="19:26" ht="15" thickBot="1" x14ac:dyDescent="0.35">
      <c r="S60" s="30" t="s">
        <v>328</v>
      </c>
      <c r="T60" s="31">
        <v>129.21</v>
      </c>
      <c r="U60" s="31">
        <v>134.22999999999999</v>
      </c>
      <c r="V60" s="31">
        <v>127.47</v>
      </c>
      <c r="W60" s="31">
        <v>132.19</v>
      </c>
      <c r="X60" s="31">
        <v>132.19</v>
      </c>
      <c r="Y60" s="31" t="s">
        <v>329</v>
      </c>
      <c r="Z60">
        <f t="shared" si="2"/>
        <v>-3.79885015646605E-2</v>
      </c>
    </row>
    <row r="61" spans="19:26" ht="15" thickBot="1" x14ac:dyDescent="0.35">
      <c r="S61" s="30" t="s">
        <v>330</v>
      </c>
      <c r="T61" s="31">
        <v>131.99</v>
      </c>
      <c r="U61" s="31">
        <v>132.6</v>
      </c>
      <c r="V61" s="31">
        <v>126.23</v>
      </c>
      <c r="W61" s="31">
        <v>128.30000000000001</v>
      </c>
      <c r="X61" s="31">
        <v>128.30000000000001</v>
      </c>
      <c r="Y61" s="31" t="s">
        <v>331</v>
      </c>
      <c r="Z61">
        <f t="shared" si="2"/>
        <v>-2.9427339435660688E-2</v>
      </c>
    </row>
    <row r="62" spans="19:26" ht="15" thickBot="1" x14ac:dyDescent="0.35">
      <c r="S62" s="30" t="s">
        <v>332</v>
      </c>
      <c r="T62" s="31">
        <v>130.24</v>
      </c>
      <c r="U62" s="31">
        <v>133.88</v>
      </c>
      <c r="V62" s="31">
        <v>128.18</v>
      </c>
      <c r="W62" s="31">
        <v>129.81</v>
      </c>
      <c r="X62" s="31">
        <v>129.81</v>
      </c>
      <c r="Y62" s="31" t="s">
        <v>333</v>
      </c>
      <c r="Z62">
        <f t="shared" si="2"/>
        <v>1.1769290724863529E-2</v>
      </c>
    </row>
    <row r="63" spans="19:26" ht="15" thickBot="1" x14ac:dyDescent="0.35">
      <c r="S63" s="30" t="s">
        <v>334</v>
      </c>
      <c r="T63" s="31">
        <v>124.26</v>
      </c>
      <c r="U63" s="31">
        <v>128.4</v>
      </c>
      <c r="V63" s="31">
        <v>123.46</v>
      </c>
      <c r="W63" s="31">
        <v>126.63</v>
      </c>
      <c r="X63" s="31">
        <v>126.63</v>
      </c>
      <c r="Y63" s="31" t="s">
        <v>335</v>
      </c>
      <c r="Z63">
        <f t="shared" si="2"/>
        <v>-2.4497342269470816E-2</v>
      </c>
    </row>
    <row r="64" spans="19:26" ht="15" thickBot="1" x14ac:dyDescent="0.35">
      <c r="S64" s="30" t="s">
        <v>407</v>
      </c>
      <c r="T64" s="31">
        <v>118</v>
      </c>
      <c r="U64" s="31">
        <v>126.62</v>
      </c>
      <c r="V64" s="31">
        <v>117.7</v>
      </c>
      <c r="W64" s="31">
        <v>121.16</v>
      </c>
      <c r="X64" s="31">
        <v>121.16</v>
      </c>
      <c r="Y64" s="31" t="s">
        <v>408</v>
      </c>
      <c r="Z64">
        <f t="shared" si="2"/>
        <v>-4.3196714838505873E-2</v>
      </c>
    </row>
    <row r="65" spans="19:26" ht="15" thickBot="1" x14ac:dyDescent="0.35">
      <c r="S65" s="30" t="s">
        <v>409</v>
      </c>
      <c r="T65" s="31">
        <v>119.53</v>
      </c>
      <c r="U65" s="31">
        <v>120.87</v>
      </c>
      <c r="V65" s="31">
        <v>115.77</v>
      </c>
      <c r="W65" s="31">
        <v>119.56</v>
      </c>
      <c r="X65" s="31">
        <v>119.56</v>
      </c>
      <c r="Y65" s="31" t="s">
        <v>410</v>
      </c>
      <c r="Z65">
        <f t="shared" si="2"/>
        <v>-1.3205678441729898E-2</v>
      </c>
    </row>
    <row r="66" spans="19:26" ht="15" thickBot="1" x14ac:dyDescent="0.35">
      <c r="S66" s="30" t="s">
        <v>411</v>
      </c>
      <c r="T66" s="31">
        <v>119.38</v>
      </c>
      <c r="U66" s="31">
        <v>121.95</v>
      </c>
      <c r="V66" s="31">
        <v>115.82</v>
      </c>
      <c r="W66" s="31">
        <v>120.38</v>
      </c>
      <c r="X66" s="31">
        <v>120.38</v>
      </c>
      <c r="Y66" s="31" t="s">
        <v>412</v>
      </c>
      <c r="Z66">
        <f t="shared" si="2"/>
        <v>6.8584810973569181E-3</v>
      </c>
    </row>
    <row r="67" spans="19:26" ht="15" thickBot="1" x14ac:dyDescent="0.35">
      <c r="S67" s="30" t="s">
        <v>413</v>
      </c>
      <c r="T67" s="31">
        <v>121.23</v>
      </c>
      <c r="U67" s="31">
        <v>122.91</v>
      </c>
      <c r="V67" s="31">
        <v>118.59</v>
      </c>
      <c r="W67" s="31">
        <v>118.79</v>
      </c>
      <c r="X67" s="31">
        <v>118.79</v>
      </c>
      <c r="Y67" s="31" t="s">
        <v>414</v>
      </c>
      <c r="Z67">
        <f t="shared" si="2"/>
        <v>-1.3208174115301455E-2</v>
      </c>
    </row>
    <row r="68" spans="19:26" ht="15" thickBot="1" x14ac:dyDescent="0.35">
      <c r="S68" s="30" t="s">
        <v>415</v>
      </c>
      <c r="T68" s="31">
        <v>112.63</v>
      </c>
      <c r="U68" s="31">
        <v>124.3</v>
      </c>
      <c r="V68" s="31">
        <v>112.3</v>
      </c>
      <c r="W68" s="31">
        <v>122.99</v>
      </c>
      <c r="X68" s="31">
        <v>122.99</v>
      </c>
      <c r="Y68" s="31" t="s">
        <v>416</v>
      </c>
      <c r="Z68">
        <f t="shared" ref="Z68:Z131" si="3">(X68-X67)/X67</f>
        <v>3.535651149086614E-2</v>
      </c>
    </row>
    <row r="69" spans="19:26" ht="15" thickBot="1" x14ac:dyDescent="0.35">
      <c r="S69" s="30" t="s">
        <v>417</v>
      </c>
      <c r="T69" s="31">
        <v>113.8</v>
      </c>
      <c r="U69" s="31">
        <v>114.2</v>
      </c>
      <c r="V69" s="31">
        <v>110.38</v>
      </c>
      <c r="W69" s="31">
        <v>112.09</v>
      </c>
      <c r="X69" s="31">
        <v>112.09</v>
      </c>
      <c r="Y69" s="31" t="s">
        <v>418</v>
      </c>
      <c r="Z69">
        <f t="shared" si="3"/>
        <v>-8.8625091470851222E-2</v>
      </c>
    </row>
    <row r="70" spans="19:26" ht="15" thickBot="1" x14ac:dyDescent="0.35">
      <c r="S70" s="30" t="s">
        <v>419</v>
      </c>
      <c r="T70" s="31">
        <v>116.26</v>
      </c>
      <c r="U70" s="31">
        <v>116.42</v>
      </c>
      <c r="V70" s="31">
        <v>114.47</v>
      </c>
      <c r="W70" s="31">
        <v>114.8</v>
      </c>
      <c r="X70" s="31">
        <v>114.8</v>
      </c>
      <c r="Y70" s="31" t="s">
        <v>420</v>
      </c>
      <c r="Z70">
        <f t="shared" si="3"/>
        <v>2.4177000624498114E-2</v>
      </c>
    </row>
    <row r="71" spans="19:26" ht="15" thickBot="1" x14ac:dyDescent="0.35">
      <c r="S71" s="30" t="s">
        <v>421</v>
      </c>
      <c r="T71" s="31">
        <v>117.8</v>
      </c>
      <c r="U71" s="31">
        <v>121.8</v>
      </c>
      <c r="V71" s="31">
        <v>116.1</v>
      </c>
      <c r="W71" s="31">
        <v>116.59</v>
      </c>
      <c r="X71" s="31">
        <v>116.59</v>
      </c>
      <c r="Y71" s="31" t="s">
        <v>422</v>
      </c>
      <c r="Z71">
        <f t="shared" si="3"/>
        <v>1.5592334494773574E-2</v>
      </c>
    </row>
    <row r="72" spans="19:26" ht="15" thickBot="1" x14ac:dyDescent="0.35">
      <c r="S72" s="30" t="s">
        <v>423</v>
      </c>
      <c r="T72" s="31">
        <v>116.8</v>
      </c>
      <c r="U72" s="31">
        <v>119.59</v>
      </c>
      <c r="V72" s="31">
        <v>115.39</v>
      </c>
      <c r="W72" s="31">
        <v>118.66</v>
      </c>
      <c r="X72" s="31">
        <v>118.66</v>
      </c>
      <c r="Y72" s="31" t="s">
        <v>424</v>
      </c>
      <c r="Z72">
        <f t="shared" si="3"/>
        <v>1.7754524401749662E-2</v>
      </c>
    </row>
    <row r="73" spans="19:26" ht="15" thickBot="1" x14ac:dyDescent="0.35">
      <c r="S73" s="30" t="s">
        <v>425</v>
      </c>
      <c r="T73" s="31">
        <v>117.09</v>
      </c>
      <c r="U73" s="31">
        <v>118.66</v>
      </c>
      <c r="V73" s="31">
        <v>115.15</v>
      </c>
      <c r="W73" s="31">
        <v>117.81</v>
      </c>
      <c r="X73" s="31">
        <v>117.81</v>
      </c>
      <c r="Y73" s="31" t="s">
        <v>426</v>
      </c>
      <c r="Z73">
        <f t="shared" si="3"/>
        <v>-7.1633237822349097E-3</v>
      </c>
    </row>
    <row r="74" spans="19:26" ht="15" thickBot="1" x14ac:dyDescent="0.35">
      <c r="S74" s="30" t="s">
        <v>427</v>
      </c>
      <c r="T74" s="31">
        <v>116.85</v>
      </c>
      <c r="U74" s="31">
        <v>122.98</v>
      </c>
      <c r="V74" s="31">
        <v>116.6</v>
      </c>
      <c r="W74" s="31">
        <v>122.98</v>
      </c>
      <c r="X74" s="31">
        <v>122.98</v>
      </c>
      <c r="Y74" s="31" t="s">
        <v>428</v>
      </c>
      <c r="Z74">
        <f t="shared" si="3"/>
        <v>4.3884220354808601E-2</v>
      </c>
    </row>
    <row r="75" spans="19:26" ht="15" thickBot="1" x14ac:dyDescent="0.35">
      <c r="S75" s="30" t="s">
        <v>429</v>
      </c>
      <c r="T75" s="31">
        <v>118.5</v>
      </c>
      <c r="U75" s="31">
        <v>118.83</v>
      </c>
      <c r="V75" s="31">
        <v>113.69</v>
      </c>
      <c r="W75" s="31">
        <v>115</v>
      </c>
      <c r="X75" s="31">
        <v>115</v>
      </c>
      <c r="Y75" s="31" t="s">
        <v>430</v>
      </c>
      <c r="Z75">
        <f t="shared" si="3"/>
        <v>-6.4888599772320726E-2</v>
      </c>
    </row>
    <row r="76" spans="19:26" ht="15" thickBot="1" x14ac:dyDescent="0.35">
      <c r="S76" s="30" t="s">
        <v>431</v>
      </c>
      <c r="T76" s="31">
        <v>119.49</v>
      </c>
      <c r="U76" s="31">
        <v>122.87</v>
      </c>
      <c r="V76" s="31">
        <v>117.81</v>
      </c>
      <c r="W76" s="31">
        <v>122.1</v>
      </c>
      <c r="X76" s="31">
        <v>122.1</v>
      </c>
      <c r="Y76" s="31" t="s">
        <v>432</v>
      </c>
      <c r="Z76">
        <f t="shared" si="3"/>
        <v>6.173913043478256E-2</v>
      </c>
    </row>
    <row r="77" spans="19:26" ht="15" thickBot="1" x14ac:dyDescent="0.35">
      <c r="S77" s="30" t="s">
        <v>433</v>
      </c>
      <c r="T77" s="31">
        <v>122.32</v>
      </c>
      <c r="U77" s="31">
        <v>125.69</v>
      </c>
      <c r="V77" s="31">
        <v>118.9</v>
      </c>
      <c r="W77" s="31">
        <v>120.25</v>
      </c>
      <c r="X77" s="31">
        <v>120.25</v>
      </c>
      <c r="Y77" s="31" t="s">
        <v>434</v>
      </c>
      <c r="Z77">
        <f t="shared" si="3"/>
        <v>-1.5151515151515105E-2</v>
      </c>
    </row>
    <row r="78" spans="19:26" ht="15" thickBot="1" x14ac:dyDescent="0.35">
      <c r="S78" s="30" t="s">
        <v>435</v>
      </c>
      <c r="T78" s="31">
        <v>122.63</v>
      </c>
      <c r="U78" s="31">
        <v>123.59</v>
      </c>
      <c r="V78" s="31">
        <v>117.77</v>
      </c>
      <c r="W78" s="31">
        <v>122.47</v>
      </c>
      <c r="X78" s="31">
        <v>122.47</v>
      </c>
      <c r="Y78" s="31" t="s">
        <v>436</v>
      </c>
      <c r="Z78">
        <f t="shared" si="3"/>
        <v>1.8461538461538453E-2</v>
      </c>
    </row>
    <row r="79" spans="19:26" ht="15" thickBot="1" x14ac:dyDescent="0.35">
      <c r="S79" s="30" t="s">
        <v>437</v>
      </c>
      <c r="T79" s="31">
        <v>120.93</v>
      </c>
      <c r="U79" s="31">
        <v>127.65</v>
      </c>
      <c r="V79" s="31">
        <v>120.3</v>
      </c>
      <c r="W79" s="31">
        <v>126.58</v>
      </c>
      <c r="X79" s="31">
        <v>126.58</v>
      </c>
      <c r="Y79" s="31" t="s">
        <v>438</v>
      </c>
      <c r="Z79">
        <f t="shared" si="3"/>
        <v>3.3559238997305459E-2</v>
      </c>
    </row>
    <row r="80" spans="19:26" ht="15" thickBot="1" x14ac:dyDescent="0.35">
      <c r="S80" s="30" t="s">
        <v>439</v>
      </c>
      <c r="T80" s="31">
        <v>123</v>
      </c>
      <c r="U80" s="31">
        <v>123.25</v>
      </c>
      <c r="V80" s="31">
        <v>119.75</v>
      </c>
      <c r="W80" s="31">
        <v>122.24</v>
      </c>
      <c r="X80" s="31">
        <v>122.24</v>
      </c>
      <c r="Y80" s="31" t="s">
        <v>440</v>
      </c>
      <c r="Z80">
        <f t="shared" si="3"/>
        <v>-3.4286617159108891E-2</v>
      </c>
    </row>
    <row r="81" spans="19:26" ht="15" thickBot="1" x14ac:dyDescent="0.35">
      <c r="S81" s="30" t="s">
        <v>441</v>
      </c>
      <c r="T81" s="31">
        <v>123.22</v>
      </c>
      <c r="U81" s="31">
        <v>125.21</v>
      </c>
      <c r="V81" s="31">
        <v>122.78</v>
      </c>
      <c r="W81" s="31">
        <v>125.06</v>
      </c>
      <c r="X81" s="31">
        <v>125.06</v>
      </c>
      <c r="Y81" s="31" t="s">
        <v>442</v>
      </c>
      <c r="Z81">
        <f t="shared" si="3"/>
        <v>2.3069371727748752E-2</v>
      </c>
    </row>
    <row r="82" spans="19:26" ht="15" thickBot="1" x14ac:dyDescent="0.35">
      <c r="S82" s="30" t="s">
        <v>443</v>
      </c>
      <c r="T82" s="31">
        <v>124.63</v>
      </c>
      <c r="U82" s="31">
        <v>127.76</v>
      </c>
      <c r="V82" s="31">
        <v>123.21</v>
      </c>
      <c r="W82" s="31">
        <v>123.91</v>
      </c>
      <c r="X82" s="31">
        <v>123.91</v>
      </c>
      <c r="Y82" s="31" t="s">
        <v>444</v>
      </c>
      <c r="Z82">
        <f t="shared" si="3"/>
        <v>-9.1955861186630867E-3</v>
      </c>
    </row>
    <row r="83" spans="19:26" ht="15" thickBot="1" x14ac:dyDescent="0.35">
      <c r="S83" s="30" t="s">
        <v>445</v>
      </c>
      <c r="T83" s="31">
        <v>123.21</v>
      </c>
      <c r="U83" s="31">
        <v>126.97</v>
      </c>
      <c r="V83" s="31">
        <v>121.32</v>
      </c>
      <c r="W83" s="31">
        <v>125.08</v>
      </c>
      <c r="X83" s="31">
        <v>125.08</v>
      </c>
      <c r="Y83" s="31" t="s">
        <v>446</v>
      </c>
      <c r="Z83">
        <f t="shared" si="3"/>
        <v>9.4423371802114572E-3</v>
      </c>
    </row>
    <row r="84" spans="19:26" ht="15" thickBot="1" x14ac:dyDescent="0.35">
      <c r="S84" s="30" t="s">
        <v>447</v>
      </c>
      <c r="T84" s="31">
        <v>129.30000000000001</v>
      </c>
      <c r="U84" s="31">
        <v>129.44999999999999</v>
      </c>
      <c r="V84" s="31">
        <v>123.46</v>
      </c>
      <c r="W84" s="31">
        <v>125.54</v>
      </c>
      <c r="X84" s="31">
        <v>125.54</v>
      </c>
      <c r="Y84" s="31" t="s">
        <v>448</v>
      </c>
      <c r="Z84">
        <f t="shared" si="3"/>
        <v>3.6776463063639907E-3</v>
      </c>
    </row>
    <row r="85" spans="19:26" ht="15" thickBot="1" x14ac:dyDescent="0.35">
      <c r="S85" s="30" t="s">
        <v>449</v>
      </c>
      <c r="T85" s="31">
        <v>113.64</v>
      </c>
      <c r="U85" s="31">
        <v>123.82</v>
      </c>
      <c r="V85" s="31">
        <v>113.43</v>
      </c>
      <c r="W85" s="31">
        <v>123.6</v>
      </c>
      <c r="X85" s="31">
        <v>123.6</v>
      </c>
      <c r="Y85" s="31" t="s">
        <v>450</v>
      </c>
      <c r="Z85">
        <f t="shared" si="3"/>
        <v>-1.5453241994583493E-2</v>
      </c>
    </row>
    <row r="86" spans="19:26" ht="15" thickBot="1" x14ac:dyDescent="0.35">
      <c r="S86" s="30" t="s">
        <v>451</v>
      </c>
      <c r="T86" s="31">
        <v>118</v>
      </c>
      <c r="U86" s="31">
        <v>118.19</v>
      </c>
      <c r="V86" s="31">
        <v>108.7</v>
      </c>
      <c r="W86" s="31">
        <v>111.96</v>
      </c>
      <c r="X86" s="31">
        <v>111.96</v>
      </c>
      <c r="Y86" s="31" t="s">
        <v>452</v>
      </c>
      <c r="Z86">
        <f t="shared" si="3"/>
        <v>-9.4174757281553403E-2</v>
      </c>
    </row>
    <row r="87" spans="19:26" ht="15" thickBot="1" x14ac:dyDescent="0.35">
      <c r="S87" s="30" t="s">
        <v>453</v>
      </c>
      <c r="T87" s="31">
        <v>123.02</v>
      </c>
      <c r="U87" s="31">
        <v>125</v>
      </c>
      <c r="V87" s="31">
        <v>119.34</v>
      </c>
      <c r="W87" s="31">
        <v>122</v>
      </c>
      <c r="X87" s="31">
        <v>122</v>
      </c>
      <c r="Y87" s="31" t="s">
        <v>454</v>
      </c>
      <c r="Z87">
        <f t="shared" si="3"/>
        <v>8.9674883887102597E-2</v>
      </c>
    </row>
    <row r="88" spans="19:26" ht="15" thickBot="1" x14ac:dyDescent="0.35">
      <c r="S88" s="30" t="s">
        <v>455</v>
      </c>
      <c r="T88" s="31">
        <v>128.37</v>
      </c>
      <c r="U88" s="31">
        <v>129.15</v>
      </c>
      <c r="V88" s="31">
        <v>121.9</v>
      </c>
      <c r="W88" s="31">
        <v>122.49</v>
      </c>
      <c r="X88" s="31">
        <v>122.49</v>
      </c>
      <c r="Y88" s="31" t="s">
        <v>456</v>
      </c>
      <c r="Z88">
        <f t="shared" si="3"/>
        <v>4.0163934426229089E-3</v>
      </c>
    </row>
    <row r="89" spans="19:26" ht="15" thickBot="1" x14ac:dyDescent="0.35">
      <c r="S89" s="30" t="s">
        <v>457</v>
      </c>
      <c r="T89" s="31">
        <v>129.9</v>
      </c>
      <c r="U89" s="31">
        <v>131.32</v>
      </c>
      <c r="V89" s="31">
        <v>126.13</v>
      </c>
      <c r="W89" s="31">
        <v>127.53</v>
      </c>
      <c r="X89" s="31">
        <v>127.53</v>
      </c>
      <c r="Y89" s="31" t="s">
        <v>458</v>
      </c>
      <c r="Z89">
        <f t="shared" si="3"/>
        <v>4.1146216017634143E-2</v>
      </c>
    </row>
    <row r="90" spans="19:26" ht="15" thickBot="1" x14ac:dyDescent="0.35">
      <c r="S90" s="30" t="s">
        <v>459</v>
      </c>
      <c r="T90" s="31">
        <v>134.25</v>
      </c>
      <c r="U90" s="31">
        <v>134.55000000000001</v>
      </c>
      <c r="V90" s="31">
        <v>130.55000000000001</v>
      </c>
      <c r="W90" s="31">
        <v>131.61000000000001</v>
      </c>
      <c r="X90" s="31">
        <v>131.61000000000001</v>
      </c>
      <c r="Y90" s="31" t="s">
        <v>460</v>
      </c>
      <c r="Z90">
        <f t="shared" si="3"/>
        <v>3.1992472359444933E-2</v>
      </c>
    </row>
    <row r="91" spans="19:26" ht="15" thickBot="1" x14ac:dyDescent="0.35">
      <c r="S91" s="30" t="s">
        <v>461</v>
      </c>
      <c r="T91" s="31">
        <v>132.93</v>
      </c>
      <c r="U91" s="31">
        <v>133.97999999999999</v>
      </c>
      <c r="V91" s="31">
        <v>131.22</v>
      </c>
      <c r="W91" s="31">
        <v>133.35</v>
      </c>
      <c r="X91" s="31">
        <v>133.35</v>
      </c>
      <c r="Y91" s="31" t="s">
        <v>462</v>
      </c>
      <c r="Z91">
        <f t="shared" si="3"/>
        <v>1.3220879872349977E-2</v>
      </c>
    </row>
    <row r="92" spans="19:26" ht="15" thickBot="1" x14ac:dyDescent="0.35">
      <c r="S92" s="30" t="s">
        <v>463</v>
      </c>
      <c r="T92" s="31">
        <v>133.1</v>
      </c>
      <c r="U92" s="31">
        <v>136.76</v>
      </c>
      <c r="V92" s="31">
        <v>131.22</v>
      </c>
      <c r="W92" s="31">
        <v>136.52000000000001</v>
      </c>
      <c r="X92" s="31">
        <v>136.52000000000001</v>
      </c>
      <c r="Y92" s="31" t="s">
        <v>464</v>
      </c>
      <c r="Z92">
        <f t="shared" si="3"/>
        <v>2.3772028496438065E-2</v>
      </c>
    </row>
    <row r="93" spans="19:26" ht="15" thickBot="1" x14ac:dyDescent="0.35">
      <c r="S93" s="30" t="s">
        <v>465</v>
      </c>
      <c r="T93" s="31">
        <v>136.03</v>
      </c>
      <c r="U93" s="31">
        <v>136.85</v>
      </c>
      <c r="V93" s="31">
        <v>133.31</v>
      </c>
      <c r="W93" s="31">
        <v>133.66</v>
      </c>
      <c r="X93" s="31">
        <v>133.66</v>
      </c>
      <c r="Y93" s="31" t="s">
        <v>466</v>
      </c>
      <c r="Z93">
        <f t="shared" si="3"/>
        <v>-2.0949311456196992E-2</v>
      </c>
    </row>
    <row r="94" spans="19:26" ht="15" thickBot="1" x14ac:dyDescent="0.35">
      <c r="S94" s="30" t="s">
        <v>467</v>
      </c>
      <c r="T94" s="31">
        <v>139.9</v>
      </c>
      <c r="U94" s="31">
        <v>140.69999999999999</v>
      </c>
      <c r="V94" s="31">
        <v>135.21</v>
      </c>
      <c r="W94" s="31">
        <v>136.62</v>
      </c>
      <c r="X94" s="31">
        <v>136.62</v>
      </c>
      <c r="Y94" s="31" t="s">
        <v>468</v>
      </c>
      <c r="Z94">
        <f t="shared" si="3"/>
        <v>2.2145742929821997E-2</v>
      </c>
    </row>
    <row r="95" spans="19:26" ht="15" thickBot="1" x14ac:dyDescent="0.35">
      <c r="S95" s="30" t="s">
        <v>469</v>
      </c>
      <c r="T95" s="31">
        <v>143.04</v>
      </c>
      <c r="U95" s="31">
        <v>145.06</v>
      </c>
      <c r="V95" s="31">
        <v>140</v>
      </c>
      <c r="W95" s="31">
        <v>140.34</v>
      </c>
      <c r="X95" s="31">
        <v>140.34</v>
      </c>
      <c r="Y95" s="31" t="s">
        <v>470</v>
      </c>
      <c r="Z95">
        <f t="shared" si="3"/>
        <v>2.7228809837505481E-2</v>
      </c>
    </row>
    <row r="96" spans="19:26" ht="15" thickBot="1" x14ac:dyDescent="0.35">
      <c r="S96" s="30" t="s">
        <v>471</v>
      </c>
      <c r="T96" s="31">
        <v>146.91</v>
      </c>
      <c r="U96" s="31">
        <v>148.5</v>
      </c>
      <c r="V96" s="31">
        <v>141.88999999999999</v>
      </c>
      <c r="W96" s="31">
        <v>143.6</v>
      </c>
      <c r="X96" s="31">
        <v>143.6</v>
      </c>
      <c r="Y96" s="31" t="s">
        <v>472</v>
      </c>
      <c r="Z96">
        <f t="shared" si="3"/>
        <v>2.3229300270770921E-2</v>
      </c>
    </row>
    <row r="97" spans="19:26" ht="15" thickBot="1" x14ac:dyDescent="0.35">
      <c r="S97" s="30" t="s">
        <v>473</v>
      </c>
      <c r="T97" s="31">
        <v>168.02</v>
      </c>
      <c r="U97" s="31">
        <v>168.3</v>
      </c>
      <c r="V97" s="31">
        <v>161.13</v>
      </c>
      <c r="W97" s="31">
        <v>161.58000000000001</v>
      </c>
      <c r="X97" s="31">
        <v>161.58000000000001</v>
      </c>
      <c r="Y97" s="31" t="s">
        <v>474</v>
      </c>
      <c r="Z97">
        <f t="shared" si="3"/>
        <v>0.1252089136490252</v>
      </c>
    </row>
    <row r="98" spans="19:26" ht="15" thickBot="1" x14ac:dyDescent="0.35">
      <c r="S98" s="30" t="s">
        <v>475</v>
      </c>
      <c r="T98" s="31">
        <v>168.6</v>
      </c>
      <c r="U98" s="31">
        <v>169.94</v>
      </c>
      <c r="V98" s="31">
        <v>166.67</v>
      </c>
      <c r="W98" s="31">
        <v>168.43</v>
      </c>
      <c r="X98" s="31">
        <v>168.43</v>
      </c>
      <c r="Y98" s="31" t="s">
        <v>476</v>
      </c>
      <c r="Z98">
        <f t="shared" si="3"/>
        <v>4.2393860626315102E-2</v>
      </c>
    </row>
    <row r="99" spans="19:26" ht="15" thickBot="1" x14ac:dyDescent="0.35">
      <c r="S99" s="30" t="s">
        <v>477</v>
      </c>
      <c r="T99" s="31">
        <v>167.22</v>
      </c>
      <c r="U99" s="31">
        <v>168.46</v>
      </c>
      <c r="V99" s="31">
        <v>165.67</v>
      </c>
      <c r="W99" s="31">
        <v>166.54</v>
      </c>
      <c r="X99" s="31">
        <v>166.54</v>
      </c>
      <c r="Y99" s="31" t="s">
        <v>478</v>
      </c>
      <c r="Z99">
        <f t="shared" si="3"/>
        <v>-1.1221278869560142E-2</v>
      </c>
    </row>
    <row r="100" spans="19:26" ht="15" thickBot="1" x14ac:dyDescent="0.35">
      <c r="S100" s="30" t="s">
        <v>479</v>
      </c>
      <c r="T100" s="31">
        <v>165.17</v>
      </c>
      <c r="U100" s="31">
        <v>167.8</v>
      </c>
      <c r="V100" s="31">
        <v>163.4</v>
      </c>
      <c r="W100" s="31">
        <v>166.81</v>
      </c>
      <c r="X100" s="31">
        <v>166.81</v>
      </c>
      <c r="Y100" s="31" t="s">
        <v>480</v>
      </c>
      <c r="Z100">
        <f t="shared" si="3"/>
        <v>1.6212321364237434E-3</v>
      </c>
    </row>
    <row r="101" spans="19:26" ht="15" thickBot="1" x14ac:dyDescent="0.35">
      <c r="S101" s="30" t="s">
        <v>481</v>
      </c>
      <c r="T101" s="31">
        <v>166.56</v>
      </c>
      <c r="U101" s="31">
        <v>169.63</v>
      </c>
      <c r="V101" s="31">
        <v>166.56</v>
      </c>
      <c r="W101" s="31">
        <v>167.85</v>
      </c>
      <c r="X101" s="31">
        <v>167.85</v>
      </c>
      <c r="Y101" s="31" t="s">
        <v>482</v>
      </c>
      <c r="Z101">
        <f t="shared" si="3"/>
        <v>6.2346382111383731E-3</v>
      </c>
    </row>
    <row r="102" spans="19:26" ht="15" thickBot="1" x14ac:dyDescent="0.35">
      <c r="S102" s="30" t="s">
        <v>483</v>
      </c>
      <c r="T102" s="31">
        <v>163.68</v>
      </c>
      <c r="U102" s="31">
        <v>166.48</v>
      </c>
      <c r="V102" s="31">
        <v>161.82</v>
      </c>
      <c r="W102" s="31">
        <v>163.97</v>
      </c>
      <c r="X102" s="31">
        <v>163.97</v>
      </c>
      <c r="Y102" s="31" t="s">
        <v>484</v>
      </c>
      <c r="Z102">
        <f t="shared" si="3"/>
        <v>-2.3115877271373222E-2</v>
      </c>
    </row>
    <row r="103" spans="19:26" ht="15" thickBot="1" x14ac:dyDescent="0.35">
      <c r="S103" s="30" t="s">
        <v>485</v>
      </c>
      <c r="T103" s="31">
        <v>162.16</v>
      </c>
      <c r="U103" s="31">
        <v>164.48</v>
      </c>
      <c r="V103" s="31">
        <v>159.54</v>
      </c>
      <c r="W103" s="31">
        <v>160.19</v>
      </c>
      <c r="X103" s="31">
        <v>160.19</v>
      </c>
      <c r="Y103" s="31" t="s">
        <v>486</v>
      </c>
      <c r="Z103">
        <f t="shared" si="3"/>
        <v>-2.3052997499542607E-2</v>
      </c>
    </row>
    <row r="104" spans="19:26" ht="15" thickBot="1" x14ac:dyDescent="0.35">
      <c r="S104" s="30" t="s">
        <v>487</v>
      </c>
      <c r="T104" s="31">
        <v>161.76</v>
      </c>
      <c r="U104" s="31">
        <v>162.16</v>
      </c>
      <c r="V104" s="31">
        <v>159.47999999999999</v>
      </c>
      <c r="W104" s="31">
        <v>162.16</v>
      </c>
      <c r="X104" s="31">
        <v>162.16</v>
      </c>
      <c r="Y104" s="31" t="s">
        <v>488</v>
      </c>
      <c r="Z104">
        <f t="shared" si="3"/>
        <v>1.2297896248205249E-2</v>
      </c>
    </row>
    <row r="105" spans="19:26" ht="15" thickBot="1" x14ac:dyDescent="0.35">
      <c r="S105" s="30" t="s">
        <v>489</v>
      </c>
      <c r="T105" s="31">
        <v>164.79</v>
      </c>
      <c r="U105" s="31">
        <v>164.79</v>
      </c>
      <c r="V105" s="31">
        <v>158.30000000000001</v>
      </c>
      <c r="W105" s="31">
        <v>158.72999999999999</v>
      </c>
      <c r="X105" s="31">
        <v>158.72999999999999</v>
      </c>
      <c r="Y105" s="31" t="s">
        <v>490</v>
      </c>
      <c r="Z105">
        <f t="shared" si="3"/>
        <v>-2.1151948692649278E-2</v>
      </c>
    </row>
    <row r="106" spans="19:26" ht="15" thickBot="1" x14ac:dyDescent="0.35">
      <c r="S106" s="30" t="s">
        <v>491</v>
      </c>
      <c r="T106" s="31">
        <v>169.28</v>
      </c>
      <c r="U106" s="31">
        <v>169.94</v>
      </c>
      <c r="V106" s="31">
        <v>164.5</v>
      </c>
      <c r="W106" s="31">
        <v>164.79</v>
      </c>
      <c r="X106" s="31">
        <v>164.79</v>
      </c>
      <c r="Y106" s="31" t="s">
        <v>492</v>
      </c>
      <c r="Z106">
        <f t="shared" si="3"/>
        <v>3.8178038178038193E-2</v>
      </c>
    </row>
    <row r="107" spans="19:26" ht="15" thickBot="1" x14ac:dyDescent="0.35">
      <c r="S107" s="30" t="s">
        <v>493</v>
      </c>
      <c r="T107" s="31">
        <v>165.36</v>
      </c>
      <c r="U107" s="31">
        <v>166.65</v>
      </c>
      <c r="V107" s="31">
        <v>163.11000000000001</v>
      </c>
      <c r="W107" s="31">
        <v>166.24</v>
      </c>
      <c r="X107" s="31">
        <v>166.24</v>
      </c>
      <c r="Y107" s="31" t="s">
        <v>494</v>
      </c>
      <c r="Z107">
        <f t="shared" si="3"/>
        <v>8.7990776139329884E-3</v>
      </c>
    </row>
    <row r="108" spans="19:26" ht="15" thickBot="1" x14ac:dyDescent="0.35">
      <c r="S108" s="30" t="s">
        <v>495</v>
      </c>
      <c r="T108" s="31">
        <v>167.1</v>
      </c>
      <c r="U108" s="31">
        <v>167.1</v>
      </c>
      <c r="V108" s="31">
        <v>162.76</v>
      </c>
      <c r="W108" s="31">
        <v>162.9</v>
      </c>
      <c r="X108" s="31">
        <v>162.9</v>
      </c>
      <c r="Y108" s="31" t="s">
        <v>496</v>
      </c>
      <c r="Z108">
        <f t="shared" si="3"/>
        <v>-2.0091434071222349E-2</v>
      </c>
    </row>
    <row r="109" spans="19:26" ht="15" thickBot="1" x14ac:dyDescent="0.35">
      <c r="S109" s="30" t="s">
        <v>497</v>
      </c>
      <c r="T109" s="31">
        <v>165.84</v>
      </c>
      <c r="U109" s="31">
        <v>171.9</v>
      </c>
      <c r="V109" s="31">
        <v>165.8</v>
      </c>
      <c r="W109" s="31">
        <v>170.17</v>
      </c>
      <c r="X109" s="31">
        <v>170.17</v>
      </c>
      <c r="Y109" s="31" t="s">
        <v>498</v>
      </c>
      <c r="Z109">
        <f t="shared" si="3"/>
        <v>4.462860650705943E-2</v>
      </c>
    </row>
    <row r="110" spans="19:26" ht="15" thickBot="1" x14ac:dyDescent="0.35">
      <c r="S110" s="30" t="s">
        <v>499</v>
      </c>
      <c r="T110" s="31">
        <v>167.07</v>
      </c>
      <c r="U110" s="31">
        <v>168.56</v>
      </c>
      <c r="V110" s="31">
        <v>162.72</v>
      </c>
      <c r="W110" s="31">
        <v>164.94</v>
      </c>
      <c r="X110" s="31">
        <v>164.94</v>
      </c>
      <c r="Y110" s="31" t="s">
        <v>500</v>
      </c>
      <c r="Z110">
        <f t="shared" si="3"/>
        <v>-3.0733971910442442E-2</v>
      </c>
    </row>
    <row r="111" spans="19:26" ht="15" thickBot="1" x14ac:dyDescent="0.35">
      <c r="S111" s="30" t="s">
        <v>501</v>
      </c>
      <c r="T111" s="31">
        <v>168.49</v>
      </c>
      <c r="U111" s="31">
        <v>170.35</v>
      </c>
      <c r="V111" s="31">
        <v>166.77</v>
      </c>
      <c r="W111" s="31">
        <v>169.79</v>
      </c>
      <c r="X111" s="31">
        <v>169.79</v>
      </c>
      <c r="Y111" s="31" t="s">
        <v>502</v>
      </c>
      <c r="Z111">
        <f t="shared" si="3"/>
        <v>2.940463198738932E-2</v>
      </c>
    </row>
    <row r="112" spans="19:26" ht="15" thickBot="1" x14ac:dyDescent="0.35">
      <c r="S112" s="30" t="s">
        <v>503</v>
      </c>
      <c r="T112" s="31">
        <v>167.53</v>
      </c>
      <c r="U112" s="31">
        <v>172.45</v>
      </c>
      <c r="V112" s="31">
        <v>167.34</v>
      </c>
      <c r="W112" s="31">
        <v>169.23</v>
      </c>
      <c r="X112" s="31">
        <v>169.23</v>
      </c>
      <c r="Y112" s="31" t="s">
        <v>504</v>
      </c>
      <c r="Z112">
        <f t="shared" si="3"/>
        <v>-3.2981918840921274E-3</v>
      </c>
    </row>
    <row r="113" spans="19:26" ht="15" thickBot="1" x14ac:dyDescent="0.35">
      <c r="S113" s="30" t="s">
        <v>505</v>
      </c>
      <c r="T113" s="31">
        <v>174.48</v>
      </c>
      <c r="U113" s="31">
        <v>174.9</v>
      </c>
      <c r="V113" s="31">
        <v>167.48</v>
      </c>
      <c r="W113" s="31">
        <v>169.99</v>
      </c>
      <c r="X113" s="31">
        <v>169.99</v>
      </c>
      <c r="Y113" s="31" t="s">
        <v>506</v>
      </c>
      <c r="Z113">
        <f t="shared" si="3"/>
        <v>4.4909295042251333E-3</v>
      </c>
    </row>
    <row r="114" spans="19:26" ht="15" thickBot="1" x14ac:dyDescent="0.35">
      <c r="S114" s="30" t="s">
        <v>507</v>
      </c>
      <c r="T114" s="31">
        <v>177.86</v>
      </c>
      <c r="U114" s="31">
        <v>178.28</v>
      </c>
      <c r="V114" s="31">
        <v>173.83</v>
      </c>
      <c r="W114" s="31">
        <v>176.17</v>
      </c>
      <c r="X114" s="31">
        <v>176.17</v>
      </c>
      <c r="Y114" s="31" t="s">
        <v>508</v>
      </c>
      <c r="Z114">
        <f t="shared" si="3"/>
        <v>3.635507971057108E-2</v>
      </c>
    </row>
    <row r="115" spans="19:26" ht="15" thickBot="1" x14ac:dyDescent="0.35">
      <c r="S115" s="30" t="s">
        <v>509</v>
      </c>
      <c r="T115" s="31">
        <v>179.08</v>
      </c>
      <c r="U115" s="31">
        <v>182.09</v>
      </c>
      <c r="V115" s="31">
        <v>175.81</v>
      </c>
      <c r="W115" s="31">
        <v>177.7</v>
      </c>
      <c r="X115" s="31">
        <v>177.7</v>
      </c>
      <c r="Y115" s="31" t="s">
        <v>510</v>
      </c>
      <c r="Z115">
        <f t="shared" si="3"/>
        <v>8.6847930975762124E-3</v>
      </c>
    </row>
    <row r="116" spans="19:26" ht="15" thickBot="1" x14ac:dyDescent="0.35">
      <c r="S116" s="30" t="s">
        <v>511</v>
      </c>
      <c r="T116" s="31">
        <v>177</v>
      </c>
      <c r="U116" s="31">
        <v>179.78</v>
      </c>
      <c r="V116" s="31">
        <v>176.71</v>
      </c>
      <c r="W116" s="31">
        <v>177.42</v>
      </c>
      <c r="X116" s="31">
        <v>177.42</v>
      </c>
      <c r="Y116" s="31" t="s">
        <v>512</v>
      </c>
      <c r="Z116">
        <f t="shared" si="3"/>
        <v>-1.5756893640967988E-3</v>
      </c>
    </row>
    <row r="117" spans="19:26" ht="15" thickBot="1" x14ac:dyDescent="0.35">
      <c r="S117" s="30" t="s">
        <v>513</v>
      </c>
      <c r="T117" s="31">
        <v>180.95</v>
      </c>
      <c r="U117" s="31">
        <v>182.09</v>
      </c>
      <c r="V117" s="31">
        <v>176.13</v>
      </c>
      <c r="W117" s="31">
        <v>177.18</v>
      </c>
      <c r="X117" s="31">
        <v>177.18</v>
      </c>
      <c r="Y117" s="31" t="s">
        <v>514</v>
      </c>
      <c r="Z117">
        <f t="shared" si="3"/>
        <v>-1.3527223537367866E-3</v>
      </c>
    </row>
    <row r="118" spans="19:26" ht="15" thickBot="1" x14ac:dyDescent="0.35">
      <c r="S118" s="30" t="s">
        <v>515</v>
      </c>
      <c r="T118" s="31">
        <v>170.6</v>
      </c>
      <c r="U118" s="31">
        <v>177.44</v>
      </c>
      <c r="V118" s="31">
        <v>170.45</v>
      </c>
      <c r="W118" s="31">
        <v>177</v>
      </c>
      <c r="X118" s="31">
        <v>177</v>
      </c>
      <c r="Y118" s="31" t="s">
        <v>516</v>
      </c>
      <c r="Z118">
        <f t="shared" si="3"/>
        <v>-1.0159160176092495E-3</v>
      </c>
    </row>
    <row r="119" spans="19:26" ht="15" thickBot="1" x14ac:dyDescent="0.35">
      <c r="S119" s="30" t="s">
        <v>517</v>
      </c>
      <c r="T119" s="31">
        <v>166.58</v>
      </c>
      <c r="U119" s="31">
        <v>169.25</v>
      </c>
      <c r="V119" s="31">
        <v>166.58</v>
      </c>
      <c r="W119" s="31">
        <v>166.82</v>
      </c>
      <c r="X119" s="31">
        <v>166.82</v>
      </c>
      <c r="Y119" s="31" t="s">
        <v>518</v>
      </c>
      <c r="Z119">
        <f t="shared" si="3"/>
        <v>-5.751412429378535E-2</v>
      </c>
    </row>
    <row r="120" spans="19:26" ht="15" thickBot="1" x14ac:dyDescent="0.35">
      <c r="S120" s="30" t="s">
        <v>519</v>
      </c>
      <c r="T120" s="31">
        <v>166.99</v>
      </c>
      <c r="U120" s="31">
        <v>169.8</v>
      </c>
      <c r="V120" s="31">
        <v>165.43</v>
      </c>
      <c r="W120" s="31">
        <v>168</v>
      </c>
      <c r="X120" s="31">
        <v>168</v>
      </c>
      <c r="Y120" s="31" t="s">
        <v>520</v>
      </c>
      <c r="Z120">
        <f t="shared" si="3"/>
        <v>7.0734923870039972E-3</v>
      </c>
    </row>
    <row r="121" spans="19:26" ht="15" thickBot="1" x14ac:dyDescent="0.35">
      <c r="S121" s="30" t="s">
        <v>521</v>
      </c>
      <c r="T121" s="31">
        <v>168.26</v>
      </c>
      <c r="U121" s="31">
        <v>168.99</v>
      </c>
      <c r="V121" s="31">
        <v>164.46</v>
      </c>
      <c r="W121" s="31">
        <v>166.78</v>
      </c>
      <c r="X121" s="31">
        <v>166.78</v>
      </c>
      <c r="Y121" s="31" t="s">
        <v>522</v>
      </c>
      <c r="Z121">
        <f t="shared" si="3"/>
        <v>-7.261904761904755E-3</v>
      </c>
    </row>
    <row r="122" spans="19:26" ht="15" thickBot="1" x14ac:dyDescent="0.35">
      <c r="S122" s="30" t="s">
        <v>523</v>
      </c>
      <c r="T122" s="31">
        <v>164.38</v>
      </c>
      <c r="U122" s="31">
        <v>168.26</v>
      </c>
      <c r="V122" s="31">
        <v>163.6</v>
      </c>
      <c r="W122" s="31">
        <v>167.4</v>
      </c>
      <c r="X122" s="31">
        <v>167.4</v>
      </c>
      <c r="Y122" s="31" t="s">
        <v>524</v>
      </c>
      <c r="Z122">
        <f t="shared" si="3"/>
        <v>3.717472118959135E-3</v>
      </c>
    </row>
    <row r="123" spans="19:26" ht="15" thickBot="1" x14ac:dyDescent="0.35">
      <c r="S123" s="30" t="s">
        <v>525</v>
      </c>
      <c r="T123" s="31">
        <v>163.82</v>
      </c>
      <c r="U123" s="31">
        <v>165.73</v>
      </c>
      <c r="V123" s="31">
        <v>162.24</v>
      </c>
      <c r="W123" s="31">
        <v>163</v>
      </c>
      <c r="X123" s="31">
        <v>163</v>
      </c>
      <c r="Y123" s="31" t="s">
        <v>526</v>
      </c>
      <c r="Z123">
        <f t="shared" si="3"/>
        <v>-2.6284348864994058E-2</v>
      </c>
    </row>
    <row r="124" spans="19:26" ht="15" thickBot="1" x14ac:dyDescent="0.35">
      <c r="S124" s="30" t="s">
        <v>527</v>
      </c>
      <c r="T124" s="31">
        <v>169.61</v>
      </c>
      <c r="U124" s="31">
        <v>169.8</v>
      </c>
      <c r="V124" s="31">
        <v>163.95</v>
      </c>
      <c r="W124" s="31">
        <v>163.95</v>
      </c>
      <c r="X124" s="31">
        <v>163.95</v>
      </c>
      <c r="Y124" s="31" t="s">
        <v>528</v>
      </c>
      <c r="Z124">
        <f t="shared" si="3"/>
        <v>5.8282208588956354E-3</v>
      </c>
    </row>
    <row r="125" spans="19:26" ht="15" thickBot="1" x14ac:dyDescent="0.35">
      <c r="S125" s="30" t="s">
        <v>529</v>
      </c>
      <c r="T125" s="31">
        <v>159.86000000000001</v>
      </c>
      <c r="U125" s="31">
        <v>162.78</v>
      </c>
      <c r="V125" s="31">
        <v>157.91</v>
      </c>
      <c r="W125" s="31">
        <v>161.52000000000001</v>
      </c>
      <c r="X125" s="31">
        <v>161.52000000000001</v>
      </c>
      <c r="Y125" s="31" t="s">
        <v>530</v>
      </c>
      <c r="Z125">
        <f t="shared" si="3"/>
        <v>-1.4821591948764737E-2</v>
      </c>
    </row>
    <row r="126" spans="19:26" ht="15" thickBot="1" x14ac:dyDescent="0.35">
      <c r="S126" s="30" t="s">
        <v>531</v>
      </c>
      <c r="T126" s="31">
        <v>151.05000000000001</v>
      </c>
      <c r="U126" s="31">
        <v>158.29</v>
      </c>
      <c r="V126" s="31">
        <v>150.75</v>
      </c>
      <c r="W126" s="31">
        <v>156</v>
      </c>
      <c r="X126" s="31">
        <v>156</v>
      </c>
      <c r="Y126" s="31" t="s">
        <v>532</v>
      </c>
      <c r="Z126">
        <f t="shared" si="3"/>
        <v>-3.4175334323922793E-2</v>
      </c>
    </row>
    <row r="127" spans="19:26" ht="15" thickBot="1" x14ac:dyDescent="0.35">
      <c r="S127" s="30" t="s">
        <v>533</v>
      </c>
      <c r="T127" s="31">
        <v>140.56</v>
      </c>
      <c r="U127" s="31">
        <v>144.88999999999999</v>
      </c>
      <c r="V127" s="31">
        <v>139.96</v>
      </c>
      <c r="W127" s="31">
        <v>144.1</v>
      </c>
      <c r="X127" s="31">
        <v>144.1</v>
      </c>
      <c r="Y127" s="31" t="s">
        <v>534</v>
      </c>
      <c r="Z127">
        <f t="shared" si="3"/>
        <v>-7.6282051282051316E-2</v>
      </c>
    </row>
    <row r="128" spans="19:26" ht="15" thickBot="1" x14ac:dyDescent="0.35">
      <c r="S128" s="30" t="s">
        <v>610</v>
      </c>
      <c r="T128" s="31">
        <v>139.38</v>
      </c>
      <c r="U128" s="31">
        <v>143.83000000000001</v>
      </c>
      <c r="V128" s="31">
        <v>139.19</v>
      </c>
      <c r="W128" s="31">
        <v>143.13999999999999</v>
      </c>
      <c r="X128" s="31">
        <v>143.13999999999999</v>
      </c>
      <c r="Y128" s="31" t="s">
        <v>611</v>
      </c>
      <c r="Z128">
        <f t="shared" si="3"/>
        <v>-6.662040249826565E-3</v>
      </c>
    </row>
    <row r="129" spans="19:26" ht="15" thickBot="1" x14ac:dyDescent="0.35">
      <c r="S129" s="30" t="s">
        <v>612</v>
      </c>
      <c r="T129" s="31">
        <v>141.69999999999999</v>
      </c>
      <c r="U129" s="31">
        <v>141.9</v>
      </c>
      <c r="V129" s="31">
        <v>138.43</v>
      </c>
      <c r="W129" s="31">
        <v>139.63</v>
      </c>
      <c r="X129" s="31">
        <v>139.63</v>
      </c>
      <c r="Y129" s="31" t="s">
        <v>613</v>
      </c>
      <c r="Z129">
        <f t="shared" si="3"/>
        <v>-2.4521447533882849E-2</v>
      </c>
    </row>
    <row r="130" spans="19:26" ht="15" thickBot="1" x14ac:dyDescent="0.35">
      <c r="S130" s="30" t="s">
        <v>614</v>
      </c>
      <c r="T130" s="31">
        <v>147.09</v>
      </c>
      <c r="U130" s="31">
        <v>148.44999999999999</v>
      </c>
      <c r="V130" s="31">
        <v>143.34</v>
      </c>
      <c r="W130" s="31">
        <v>144.19999999999999</v>
      </c>
      <c r="X130" s="31">
        <v>144.19999999999999</v>
      </c>
      <c r="Y130" s="31" t="s">
        <v>615</v>
      </c>
      <c r="Z130">
        <f t="shared" si="3"/>
        <v>3.2729356155553918E-2</v>
      </c>
    </row>
    <row r="131" spans="19:26" ht="15" thickBot="1" x14ac:dyDescent="0.35">
      <c r="S131" s="30" t="s">
        <v>616</v>
      </c>
      <c r="T131" s="31">
        <v>147.03</v>
      </c>
      <c r="U131" s="31">
        <v>149.58000000000001</v>
      </c>
      <c r="V131" s="31">
        <v>146.86000000000001</v>
      </c>
      <c r="W131" s="31">
        <v>148.05000000000001</v>
      </c>
      <c r="X131" s="31">
        <v>148.05000000000001</v>
      </c>
      <c r="Y131" s="31" t="s">
        <v>617</v>
      </c>
      <c r="Z131">
        <f t="shared" si="3"/>
        <v>2.669902912621375E-2</v>
      </c>
    </row>
    <row r="132" spans="19:26" ht="15" thickBot="1" x14ac:dyDescent="0.35">
      <c r="S132" s="30" t="s">
        <v>618</v>
      </c>
      <c r="T132" s="31">
        <v>150.46</v>
      </c>
      <c r="U132" s="31">
        <v>152.1</v>
      </c>
      <c r="V132" s="31">
        <v>147.47999999999999</v>
      </c>
      <c r="W132" s="31">
        <v>147.58000000000001</v>
      </c>
      <c r="X132" s="31">
        <v>147.58000000000001</v>
      </c>
      <c r="Y132" s="31" t="s">
        <v>619</v>
      </c>
      <c r="Z132">
        <f t="shared" ref="Z132:Z195" si="4">(X132-X131)/X131</f>
        <v>-3.1746031746031668E-3</v>
      </c>
    </row>
    <row r="133" spans="19:26" ht="15" thickBot="1" x14ac:dyDescent="0.35">
      <c r="S133" s="30" t="s">
        <v>620</v>
      </c>
      <c r="T133" s="31">
        <v>152.16</v>
      </c>
      <c r="U133" s="31">
        <v>153.72999999999999</v>
      </c>
      <c r="V133" s="31">
        <v>148.86000000000001</v>
      </c>
      <c r="W133" s="31">
        <v>152.38999999999999</v>
      </c>
      <c r="X133" s="31">
        <v>152.38999999999999</v>
      </c>
      <c r="Y133" s="31" t="s">
        <v>621</v>
      </c>
      <c r="Z133">
        <f t="shared" si="4"/>
        <v>3.2592492207616029E-2</v>
      </c>
    </row>
    <row r="134" spans="19:26" ht="15" thickBot="1" x14ac:dyDescent="0.35">
      <c r="S134" s="30" t="s">
        <v>622</v>
      </c>
      <c r="T134" s="31">
        <v>144.91999999999999</v>
      </c>
      <c r="U134" s="31">
        <v>150.99</v>
      </c>
      <c r="V134" s="31">
        <v>144.44</v>
      </c>
      <c r="W134" s="31">
        <v>150.18</v>
      </c>
      <c r="X134" s="31">
        <v>150.18</v>
      </c>
      <c r="Y134" s="31" t="s">
        <v>623</v>
      </c>
      <c r="Z134">
        <f t="shared" si="4"/>
        <v>-1.4502263928079137E-2</v>
      </c>
    </row>
    <row r="135" spans="19:26" ht="15" thickBot="1" x14ac:dyDescent="0.35">
      <c r="S135" s="30" t="s">
        <v>624</v>
      </c>
      <c r="T135" s="31">
        <v>147.71</v>
      </c>
      <c r="U135" s="31">
        <v>148</v>
      </c>
      <c r="V135" s="31">
        <v>144.57</v>
      </c>
      <c r="W135" s="31">
        <v>145.08000000000001</v>
      </c>
      <c r="X135" s="31">
        <v>145.08000000000001</v>
      </c>
      <c r="Y135" s="31" t="s">
        <v>625</v>
      </c>
      <c r="Z135">
        <f t="shared" si="4"/>
        <v>-3.3959248901318378E-2</v>
      </c>
    </row>
    <row r="136" spans="19:26" ht="15" thickBot="1" x14ac:dyDescent="0.35">
      <c r="S136" s="30" t="s">
        <v>626</v>
      </c>
      <c r="T136" s="31">
        <v>152.58000000000001</v>
      </c>
      <c r="U136" s="31">
        <v>152.68</v>
      </c>
      <c r="V136" s="31">
        <v>149.61000000000001</v>
      </c>
      <c r="W136" s="31">
        <v>151.19</v>
      </c>
      <c r="X136" s="31">
        <v>151.19</v>
      </c>
      <c r="Y136" s="31" t="s">
        <v>627</v>
      </c>
      <c r="Z136">
        <f t="shared" si="4"/>
        <v>4.211469534050169E-2</v>
      </c>
    </row>
    <row r="137" spans="19:26" ht="15" thickBot="1" x14ac:dyDescent="0.35">
      <c r="S137" s="30" t="s">
        <v>628</v>
      </c>
      <c r="T137" s="31">
        <v>151.47</v>
      </c>
      <c r="U137" s="31">
        <v>154</v>
      </c>
      <c r="V137" s="31">
        <v>151.02000000000001</v>
      </c>
      <c r="W137" s="31">
        <v>151.88999999999999</v>
      </c>
      <c r="X137" s="31">
        <v>151.88999999999999</v>
      </c>
      <c r="Y137" s="31" t="s">
        <v>629</v>
      </c>
      <c r="Z137">
        <f t="shared" si="4"/>
        <v>4.6299358423175386E-3</v>
      </c>
    </row>
    <row r="138" spans="19:26" ht="15" thickBot="1" x14ac:dyDescent="0.35">
      <c r="S138" s="30" t="s">
        <v>630</v>
      </c>
      <c r="T138" s="31">
        <v>151.58000000000001</v>
      </c>
      <c r="U138" s="31">
        <v>152.58000000000001</v>
      </c>
      <c r="V138" s="31">
        <v>149.57</v>
      </c>
      <c r="W138" s="31">
        <v>150.18</v>
      </c>
      <c r="X138" s="31">
        <v>150.18</v>
      </c>
      <c r="Y138" s="31" t="s">
        <v>631</v>
      </c>
      <c r="Z138">
        <f t="shared" si="4"/>
        <v>-1.1258147343472117E-2</v>
      </c>
    </row>
    <row r="139" spans="19:26" ht="15" thickBot="1" x14ac:dyDescent="0.35">
      <c r="S139" s="30" t="s">
        <v>632</v>
      </c>
      <c r="T139" s="31">
        <v>154.4</v>
      </c>
      <c r="U139" s="31">
        <v>155.13999999999999</v>
      </c>
      <c r="V139" s="31">
        <v>149.09</v>
      </c>
      <c r="W139" s="31">
        <v>151.49</v>
      </c>
      <c r="X139" s="31">
        <v>151.49</v>
      </c>
      <c r="Y139" s="31" t="s">
        <v>633</v>
      </c>
      <c r="Z139">
        <f t="shared" si="4"/>
        <v>8.7228658942602351E-3</v>
      </c>
    </row>
    <row r="140" spans="19:26" ht="15" thickBot="1" x14ac:dyDescent="0.35">
      <c r="S140" s="30" t="s">
        <v>634</v>
      </c>
      <c r="T140" s="31">
        <v>158.47999999999999</v>
      </c>
      <c r="U140" s="31">
        <v>160.38</v>
      </c>
      <c r="V140" s="31">
        <v>158.09</v>
      </c>
      <c r="W140" s="31">
        <v>160.05000000000001</v>
      </c>
      <c r="X140" s="31">
        <v>160.05000000000001</v>
      </c>
      <c r="Y140" s="31" t="s">
        <v>635</v>
      </c>
      <c r="Z140">
        <f t="shared" si="4"/>
        <v>5.6505379893062258E-2</v>
      </c>
    </row>
    <row r="141" spans="19:26" ht="15" thickBot="1" x14ac:dyDescent="0.35">
      <c r="S141" s="30" t="s">
        <v>636</v>
      </c>
      <c r="T141" s="31">
        <v>154.91999999999999</v>
      </c>
      <c r="U141" s="31">
        <v>157.63999999999999</v>
      </c>
      <c r="V141" s="31">
        <v>153.66999999999999</v>
      </c>
      <c r="W141" s="31">
        <v>156.26</v>
      </c>
      <c r="X141" s="31">
        <v>156.26</v>
      </c>
      <c r="Y141" s="31" t="s">
        <v>637</v>
      </c>
      <c r="Z141">
        <f t="shared" si="4"/>
        <v>-2.3680099968759888E-2</v>
      </c>
    </row>
    <row r="142" spans="19:26" ht="15" thickBot="1" x14ac:dyDescent="0.35">
      <c r="S142" s="30" t="s">
        <v>638</v>
      </c>
      <c r="T142" s="31">
        <v>157.94999999999999</v>
      </c>
      <c r="U142" s="31">
        <v>158.03</v>
      </c>
      <c r="V142" s="31">
        <v>153.91999999999999</v>
      </c>
      <c r="W142" s="31">
        <v>157.86000000000001</v>
      </c>
      <c r="X142" s="31">
        <v>157.86000000000001</v>
      </c>
      <c r="Y142" s="31" t="s">
        <v>639</v>
      </c>
      <c r="Z142">
        <f t="shared" si="4"/>
        <v>1.0239344681940502E-2</v>
      </c>
    </row>
    <row r="143" spans="19:26" ht="15" thickBot="1" x14ac:dyDescent="0.35">
      <c r="S143" s="30" t="s">
        <v>640</v>
      </c>
      <c r="T143" s="31">
        <v>162.86000000000001</v>
      </c>
      <c r="U143" s="31">
        <v>163.07</v>
      </c>
      <c r="V143" s="31">
        <v>159.47999999999999</v>
      </c>
      <c r="W143" s="31">
        <v>160.15</v>
      </c>
      <c r="X143" s="31">
        <v>160.15</v>
      </c>
      <c r="Y143" s="31" t="s">
        <v>641</v>
      </c>
      <c r="Z143">
        <f t="shared" si="4"/>
        <v>1.4506524768782414E-2</v>
      </c>
    </row>
    <row r="144" spans="19:26" ht="15" thickBot="1" x14ac:dyDescent="0.35">
      <c r="S144" s="30" t="s">
        <v>642</v>
      </c>
      <c r="T144" s="31">
        <v>164.49</v>
      </c>
      <c r="U144" s="31">
        <v>166.86</v>
      </c>
      <c r="V144" s="31">
        <v>163.02000000000001</v>
      </c>
      <c r="W144" s="31">
        <v>165.41</v>
      </c>
      <c r="X144" s="31">
        <v>165.41</v>
      </c>
      <c r="Y144" s="31" t="s">
        <v>643</v>
      </c>
      <c r="Z144">
        <f t="shared" si="4"/>
        <v>3.2844208554480114E-2</v>
      </c>
    </row>
    <row r="145" spans="19:26" ht="15" thickBot="1" x14ac:dyDescent="0.35">
      <c r="S145" s="30" t="s">
        <v>644</v>
      </c>
      <c r="T145" s="31">
        <v>171.2</v>
      </c>
      <c r="U145" s="31">
        <v>171.64</v>
      </c>
      <c r="V145" s="31">
        <v>167.61</v>
      </c>
      <c r="W145" s="31">
        <v>168.1</v>
      </c>
      <c r="X145" s="31">
        <v>168.1</v>
      </c>
      <c r="Y145" s="31" t="s">
        <v>645</v>
      </c>
      <c r="Z145">
        <f t="shared" si="4"/>
        <v>1.6262620155976047E-2</v>
      </c>
    </row>
    <row r="146" spans="19:26" ht="15" thickBot="1" x14ac:dyDescent="0.35">
      <c r="S146" s="30" t="s">
        <v>646</v>
      </c>
      <c r="T146" s="31">
        <v>167.3</v>
      </c>
      <c r="U146" s="31">
        <v>169.04</v>
      </c>
      <c r="V146" s="31">
        <v>165.58</v>
      </c>
      <c r="W146" s="31">
        <v>167.32</v>
      </c>
      <c r="X146" s="31">
        <v>167.32</v>
      </c>
      <c r="Y146" s="31" t="s">
        <v>647</v>
      </c>
      <c r="Z146">
        <f t="shared" si="4"/>
        <v>-4.6400951814396258E-3</v>
      </c>
    </row>
    <row r="147" spans="19:26" ht="15" thickBot="1" x14ac:dyDescent="0.35">
      <c r="S147" s="30" t="s">
        <v>648</v>
      </c>
      <c r="T147" s="31">
        <v>174.25</v>
      </c>
      <c r="U147" s="31">
        <v>174.37</v>
      </c>
      <c r="V147" s="31">
        <v>169.26</v>
      </c>
      <c r="W147" s="31">
        <v>170.71</v>
      </c>
      <c r="X147" s="31">
        <v>170.71</v>
      </c>
      <c r="Y147" s="31" t="s">
        <v>649</v>
      </c>
      <c r="Z147">
        <f t="shared" si="4"/>
        <v>2.0260578532154044E-2</v>
      </c>
    </row>
    <row r="148" spans="19:26" ht="15" thickBot="1" x14ac:dyDescent="0.35">
      <c r="S148" s="30" t="s">
        <v>650</v>
      </c>
      <c r="T148" s="31">
        <v>174.15</v>
      </c>
      <c r="U148" s="31">
        <v>176.84</v>
      </c>
      <c r="V148" s="31">
        <v>173.37</v>
      </c>
      <c r="W148" s="31">
        <v>175.16</v>
      </c>
      <c r="X148" s="31">
        <v>175.16</v>
      </c>
      <c r="Y148" s="31" t="s">
        <v>651</v>
      </c>
      <c r="Z148">
        <f t="shared" si="4"/>
        <v>2.6067600023431482E-2</v>
      </c>
    </row>
    <row r="149" spans="19:26" ht="15" thickBot="1" x14ac:dyDescent="0.35">
      <c r="S149" s="30" t="s">
        <v>652</v>
      </c>
      <c r="T149" s="31">
        <v>169.52</v>
      </c>
      <c r="U149" s="31">
        <v>172.06</v>
      </c>
      <c r="V149" s="31">
        <v>168.88</v>
      </c>
      <c r="W149" s="31">
        <v>170.3</v>
      </c>
      <c r="X149" s="31">
        <v>170.3</v>
      </c>
      <c r="Y149" s="31" t="s">
        <v>653</v>
      </c>
      <c r="Z149">
        <f t="shared" si="4"/>
        <v>-2.7746060744462123E-2</v>
      </c>
    </row>
    <row r="150" spans="19:26" ht="15" thickBot="1" x14ac:dyDescent="0.35">
      <c r="S150" s="30" t="s">
        <v>654</v>
      </c>
      <c r="T150" s="31">
        <v>178.01</v>
      </c>
      <c r="U150" s="31">
        <v>178.18</v>
      </c>
      <c r="V150" s="31">
        <v>171.67</v>
      </c>
      <c r="W150" s="31">
        <v>172</v>
      </c>
      <c r="X150" s="31">
        <v>172</v>
      </c>
      <c r="Y150" s="31" t="s">
        <v>655</v>
      </c>
      <c r="Z150">
        <f t="shared" si="4"/>
        <v>9.9823840281854873E-3</v>
      </c>
    </row>
    <row r="151" spans="19:26" ht="15" thickBot="1" x14ac:dyDescent="0.35">
      <c r="S151" s="30" t="s">
        <v>656</v>
      </c>
      <c r="T151" s="31">
        <v>169.56</v>
      </c>
      <c r="U151" s="31">
        <v>174.79</v>
      </c>
      <c r="V151" s="31">
        <v>169.33</v>
      </c>
      <c r="W151" s="31">
        <v>173.28</v>
      </c>
      <c r="X151" s="31">
        <v>173.28</v>
      </c>
      <c r="Y151" s="31" t="s">
        <v>657</v>
      </c>
      <c r="Z151">
        <f t="shared" si="4"/>
        <v>7.4418604651162856E-3</v>
      </c>
    </row>
    <row r="152" spans="19:26" ht="15" thickBot="1" x14ac:dyDescent="0.35">
      <c r="S152" s="30" t="s">
        <v>658</v>
      </c>
      <c r="T152" s="31">
        <v>167.7</v>
      </c>
      <c r="U152" s="31">
        <v>169</v>
      </c>
      <c r="V152" s="31">
        <v>166.14</v>
      </c>
      <c r="W152" s="31">
        <v>166.99</v>
      </c>
      <c r="X152" s="31">
        <v>166.99</v>
      </c>
      <c r="Y152" s="31" t="s">
        <v>659</v>
      </c>
      <c r="Z152">
        <f t="shared" si="4"/>
        <v>-3.6299630655586286E-2</v>
      </c>
    </row>
    <row r="153" spans="19:26" ht="15" thickBot="1" x14ac:dyDescent="0.35">
      <c r="S153" s="30" t="s">
        <v>660</v>
      </c>
      <c r="T153" s="31">
        <v>160.16999999999999</v>
      </c>
      <c r="U153" s="31">
        <v>163.29</v>
      </c>
      <c r="V153" s="31">
        <v>158.22999999999999</v>
      </c>
      <c r="W153" s="31">
        <v>162.29</v>
      </c>
      <c r="X153" s="31">
        <v>162.29</v>
      </c>
      <c r="Y153" s="31" t="s">
        <v>661</v>
      </c>
      <c r="Z153">
        <f t="shared" si="4"/>
        <v>-2.8145397928019743E-2</v>
      </c>
    </row>
    <row r="154" spans="19:26" ht="15" thickBot="1" x14ac:dyDescent="0.35">
      <c r="S154" s="30" t="s">
        <v>662</v>
      </c>
      <c r="T154" s="31">
        <v>159.99</v>
      </c>
      <c r="U154" s="31">
        <v>161.77000000000001</v>
      </c>
      <c r="V154" s="31">
        <v>158.55000000000001</v>
      </c>
      <c r="W154" s="31">
        <v>159.47</v>
      </c>
      <c r="X154" s="31">
        <v>159.47</v>
      </c>
      <c r="Y154" s="31" t="s">
        <v>663</v>
      </c>
      <c r="Z154">
        <f t="shared" si="4"/>
        <v>-1.7376301682173845E-2</v>
      </c>
    </row>
    <row r="155" spans="19:26" ht="15" thickBot="1" x14ac:dyDescent="0.35">
      <c r="S155" s="30" t="s">
        <v>664</v>
      </c>
      <c r="T155" s="31">
        <v>167.46</v>
      </c>
      <c r="U155" s="31">
        <v>168.45</v>
      </c>
      <c r="V155" s="31">
        <v>164.82</v>
      </c>
      <c r="W155" s="31">
        <v>165.24</v>
      </c>
      <c r="X155" s="31">
        <v>165.24</v>
      </c>
      <c r="Y155" s="31" t="s">
        <v>665</v>
      </c>
      <c r="Z155">
        <f t="shared" si="4"/>
        <v>3.6182354047783347E-2</v>
      </c>
    </row>
    <row r="156" spans="19:26" ht="15" thickBot="1" x14ac:dyDescent="0.35">
      <c r="S156" s="30" t="s">
        <v>666</v>
      </c>
      <c r="T156" s="31">
        <v>168.7</v>
      </c>
      <c r="U156" s="31">
        <v>169.61</v>
      </c>
      <c r="V156" s="31">
        <v>166.08</v>
      </c>
      <c r="W156" s="31">
        <v>169.1</v>
      </c>
      <c r="X156" s="31">
        <v>169.1</v>
      </c>
      <c r="Y156" s="31" t="s">
        <v>667</v>
      </c>
      <c r="Z156">
        <f t="shared" si="4"/>
        <v>2.3359961268457911E-2</v>
      </c>
    </row>
    <row r="157" spans="19:26" ht="15" thickBot="1" x14ac:dyDescent="0.35">
      <c r="S157" s="30" t="s">
        <v>668</v>
      </c>
      <c r="T157" s="31">
        <v>169.04</v>
      </c>
      <c r="U157" s="31">
        <v>174.15</v>
      </c>
      <c r="V157" s="31">
        <v>168.16</v>
      </c>
      <c r="W157" s="31">
        <v>171.7</v>
      </c>
      <c r="X157" s="31">
        <v>171.7</v>
      </c>
      <c r="Y157" s="31" t="s">
        <v>669</v>
      </c>
      <c r="Z157">
        <f t="shared" si="4"/>
        <v>1.5375517445298607E-2</v>
      </c>
    </row>
    <row r="158" spans="19:26" ht="15" thickBot="1" x14ac:dyDescent="0.35">
      <c r="S158" s="30" t="s">
        <v>670</v>
      </c>
      <c r="T158" s="31">
        <v>159.28</v>
      </c>
      <c r="U158" s="31">
        <v>161.47</v>
      </c>
      <c r="V158" s="31">
        <v>152.80000000000001</v>
      </c>
      <c r="W158" s="31">
        <v>161.06</v>
      </c>
      <c r="X158" s="31">
        <v>161.06</v>
      </c>
      <c r="Y158" s="31" t="s">
        <v>671</v>
      </c>
      <c r="Z158">
        <f t="shared" si="4"/>
        <v>-6.1968549796156014E-2</v>
      </c>
    </row>
    <row r="159" spans="19:26" ht="15" thickBot="1" x14ac:dyDescent="0.35">
      <c r="S159" s="30" t="s">
        <v>672</v>
      </c>
      <c r="T159" s="31">
        <v>164.12</v>
      </c>
      <c r="U159" s="31">
        <v>166.93</v>
      </c>
      <c r="V159" s="31">
        <v>155.5</v>
      </c>
      <c r="W159" s="31">
        <v>157.96</v>
      </c>
      <c r="X159" s="31">
        <v>157.96</v>
      </c>
      <c r="Y159" s="31" t="s">
        <v>673</v>
      </c>
      <c r="Z159">
        <f t="shared" si="4"/>
        <v>-1.9247485409164253E-2</v>
      </c>
    </row>
    <row r="160" spans="19:26" ht="15" thickBot="1" x14ac:dyDescent="0.35">
      <c r="S160" s="30" t="s">
        <v>674</v>
      </c>
      <c r="T160" s="31">
        <v>166.7</v>
      </c>
      <c r="U160" s="31">
        <v>167.26</v>
      </c>
      <c r="V160" s="31">
        <v>159.51</v>
      </c>
      <c r="W160" s="31">
        <v>160.55000000000001</v>
      </c>
      <c r="X160" s="31">
        <v>160.55000000000001</v>
      </c>
      <c r="Y160" s="31" t="s">
        <v>675</v>
      </c>
      <c r="Z160">
        <f t="shared" si="4"/>
        <v>1.6396556090149426E-2</v>
      </c>
    </row>
    <row r="161" spans="19:26" ht="15" thickBot="1" x14ac:dyDescent="0.35">
      <c r="S161" s="30" t="s">
        <v>676</v>
      </c>
      <c r="T161" s="31">
        <v>174.1</v>
      </c>
      <c r="U161" s="31">
        <v>175.36</v>
      </c>
      <c r="V161" s="31">
        <v>172.11</v>
      </c>
      <c r="W161" s="31">
        <v>172.35</v>
      </c>
      <c r="X161" s="31">
        <v>172.35</v>
      </c>
      <c r="Y161" s="31" t="s">
        <v>677</v>
      </c>
      <c r="Z161">
        <f t="shared" si="4"/>
        <v>7.3497352849579464E-2</v>
      </c>
    </row>
    <row r="162" spans="19:26" ht="15" thickBot="1" x14ac:dyDescent="0.35">
      <c r="S162" s="30" t="s">
        <v>678</v>
      </c>
      <c r="T162" s="31">
        <v>175.92</v>
      </c>
      <c r="U162" s="31">
        <v>177.89</v>
      </c>
      <c r="V162" s="31">
        <v>173.15</v>
      </c>
      <c r="W162" s="31">
        <v>173.73</v>
      </c>
      <c r="X162" s="31">
        <v>173.73</v>
      </c>
      <c r="Y162" s="31" t="s">
        <v>679</v>
      </c>
      <c r="Z162">
        <f t="shared" si="4"/>
        <v>8.0069625761531506E-3</v>
      </c>
    </row>
    <row r="163" spans="19:26" ht="15" thickBot="1" x14ac:dyDescent="0.35">
      <c r="S163" s="30" t="s">
        <v>680</v>
      </c>
      <c r="T163" s="31">
        <v>185</v>
      </c>
      <c r="U163" s="31">
        <v>186.26</v>
      </c>
      <c r="V163" s="31">
        <v>181.51</v>
      </c>
      <c r="W163" s="31">
        <v>182.71</v>
      </c>
      <c r="X163" s="31">
        <v>182.71</v>
      </c>
      <c r="Y163" s="31" t="s">
        <v>681</v>
      </c>
      <c r="Z163">
        <f t="shared" si="4"/>
        <v>5.1689403096759449E-2</v>
      </c>
    </row>
    <row r="164" spans="19:26" ht="15" thickBot="1" x14ac:dyDescent="0.35">
      <c r="S164" s="30" t="s">
        <v>682</v>
      </c>
      <c r="T164" s="31">
        <v>188.61</v>
      </c>
      <c r="U164" s="31">
        <v>189.26</v>
      </c>
      <c r="V164" s="31">
        <v>186.71</v>
      </c>
      <c r="W164" s="31">
        <v>188.62</v>
      </c>
      <c r="X164" s="31">
        <v>188.62</v>
      </c>
      <c r="Y164" s="31" t="s">
        <v>683</v>
      </c>
      <c r="Z164">
        <f t="shared" si="4"/>
        <v>3.2346341196431483E-2</v>
      </c>
    </row>
    <row r="165" spans="19:26" ht="15" thickBot="1" x14ac:dyDescent="0.35">
      <c r="S165" s="30" t="s">
        <v>684</v>
      </c>
      <c r="T165" s="31">
        <v>191.17</v>
      </c>
      <c r="U165" s="31">
        <v>192.98</v>
      </c>
      <c r="V165" s="31">
        <v>189.68</v>
      </c>
      <c r="W165" s="31">
        <v>191.66</v>
      </c>
      <c r="X165" s="31">
        <v>191.66</v>
      </c>
      <c r="Y165" s="31" t="s">
        <v>685</v>
      </c>
      <c r="Z165">
        <f t="shared" si="4"/>
        <v>1.6117060757077681E-2</v>
      </c>
    </row>
    <row r="166" spans="19:26" ht="15" thickBot="1" x14ac:dyDescent="0.35">
      <c r="S166" s="30" t="s">
        <v>686</v>
      </c>
      <c r="T166" s="31">
        <v>196.6</v>
      </c>
      <c r="U166" s="31">
        <v>196.92</v>
      </c>
      <c r="V166" s="31">
        <v>194.73</v>
      </c>
      <c r="W166" s="31">
        <v>194.86</v>
      </c>
      <c r="X166" s="31">
        <v>194.86</v>
      </c>
      <c r="Y166" s="31" t="s">
        <v>687</v>
      </c>
      <c r="Z166">
        <f t="shared" si="4"/>
        <v>1.6696232912449219E-2</v>
      </c>
    </row>
    <row r="167" spans="19:26" ht="15" thickBot="1" x14ac:dyDescent="0.35">
      <c r="S167" s="30" t="s">
        <v>688</v>
      </c>
      <c r="T167" s="31">
        <v>197.27</v>
      </c>
      <c r="U167" s="31">
        <v>198.45</v>
      </c>
      <c r="V167" s="31">
        <v>195.07</v>
      </c>
      <c r="W167" s="31">
        <v>195.73</v>
      </c>
      <c r="X167" s="31">
        <v>195.73</v>
      </c>
      <c r="Y167" s="31" t="s">
        <v>689</v>
      </c>
      <c r="Z167">
        <f t="shared" si="4"/>
        <v>4.4647439187107466E-3</v>
      </c>
    </row>
    <row r="168" spans="19:26" ht="15" thickBot="1" x14ac:dyDescent="0.35">
      <c r="S168" s="30" t="s">
        <v>690</v>
      </c>
      <c r="T168" s="31">
        <v>194.58</v>
      </c>
      <c r="U168" s="31">
        <v>195.5</v>
      </c>
      <c r="V168" s="31">
        <v>192.82</v>
      </c>
      <c r="W168" s="31">
        <v>195.25</v>
      </c>
      <c r="X168" s="31">
        <v>195.25</v>
      </c>
      <c r="Y168" s="31" t="s">
        <v>691</v>
      </c>
      <c r="Z168">
        <f t="shared" si="4"/>
        <v>-2.4523578398814171E-3</v>
      </c>
    </row>
    <row r="169" spans="19:26" ht="15" thickBot="1" x14ac:dyDescent="0.35">
      <c r="S169" s="30" t="s">
        <v>692</v>
      </c>
      <c r="T169" s="31">
        <v>199.25</v>
      </c>
      <c r="U169" s="31">
        <v>199.32</v>
      </c>
      <c r="V169" s="31">
        <v>195.68</v>
      </c>
      <c r="W169" s="31">
        <v>196.39</v>
      </c>
      <c r="X169" s="31">
        <v>196.39</v>
      </c>
      <c r="Y169" s="31" t="s">
        <v>693</v>
      </c>
      <c r="Z169">
        <f t="shared" si="4"/>
        <v>5.8386683738795714E-3</v>
      </c>
    </row>
    <row r="170" spans="19:26" ht="15" thickBot="1" x14ac:dyDescent="0.35">
      <c r="S170" s="30" t="s">
        <v>694</v>
      </c>
      <c r="T170" s="31">
        <v>199.27</v>
      </c>
      <c r="U170" s="31">
        <v>200.29</v>
      </c>
      <c r="V170" s="31">
        <v>197.64</v>
      </c>
      <c r="W170" s="31">
        <v>199.28</v>
      </c>
      <c r="X170" s="31">
        <v>199.28</v>
      </c>
      <c r="Y170" s="31" t="s">
        <v>695</v>
      </c>
      <c r="Z170">
        <f t="shared" si="4"/>
        <v>1.4715616884770176E-2</v>
      </c>
    </row>
    <row r="171" spans="19:26" ht="15" thickBot="1" x14ac:dyDescent="0.35">
      <c r="S171" s="30" t="s">
        <v>696</v>
      </c>
      <c r="T171" s="31">
        <v>197.49</v>
      </c>
      <c r="U171" s="31">
        <v>203.27</v>
      </c>
      <c r="V171" s="31">
        <v>196.91</v>
      </c>
      <c r="W171" s="31">
        <v>200.71</v>
      </c>
      <c r="X171" s="31">
        <v>200.71</v>
      </c>
      <c r="Y171" s="31" t="s">
        <v>697</v>
      </c>
      <c r="Z171">
        <f t="shared" si="4"/>
        <v>7.175832998795699E-3</v>
      </c>
    </row>
    <row r="172" spans="19:26" ht="15" thickBot="1" x14ac:dyDescent="0.35">
      <c r="S172" s="30" t="s">
        <v>698</v>
      </c>
      <c r="T172" s="31">
        <v>195.01</v>
      </c>
      <c r="U172" s="31">
        <v>197.44</v>
      </c>
      <c r="V172" s="31">
        <v>192</v>
      </c>
      <c r="W172" s="31">
        <v>197.38</v>
      </c>
      <c r="X172" s="31">
        <v>197.38</v>
      </c>
      <c r="Y172" s="31" t="s">
        <v>699</v>
      </c>
      <c r="Z172">
        <f t="shared" si="4"/>
        <v>-1.6591101589357841E-2</v>
      </c>
    </row>
    <row r="173" spans="19:26" ht="15" thickBot="1" x14ac:dyDescent="0.35">
      <c r="S173" s="30" t="s">
        <v>700</v>
      </c>
      <c r="T173" s="31">
        <v>196.27</v>
      </c>
      <c r="U173" s="31">
        <v>202.07</v>
      </c>
      <c r="V173" s="31">
        <v>196.25</v>
      </c>
      <c r="W173" s="31">
        <v>200.09</v>
      </c>
      <c r="X173" s="31">
        <v>200.09</v>
      </c>
      <c r="Y173" s="31" t="s">
        <v>701</v>
      </c>
      <c r="Z173">
        <f t="shared" si="4"/>
        <v>1.3729861181477393E-2</v>
      </c>
    </row>
    <row r="174" spans="19:26" ht="15" thickBot="1" x14ac:dyDescent="0.35">
      <c r="S174" s="30" t="s">
        <v>702</v>
      </c>
      <c r="T174" s="31">
        <v>190.58</v>
      </c>
      <c r="U174" s="31">
        <v>196.04</v>
      </c>
      <c r="V174" s="31">
        <v>190.49</v>
      </c>
      <c r="W174" s="31">
        <v>195.19</v>
      </c>
      <c r="X174" s="31">
        <v>195.19</v>
      </c>
      <c r="Y174" s="31" t="s">
        <v>703</v>
      </c>
      <c r="Z174">
        <f t="shared" si="4"/>
        <v>-2.448897995901847E-2</v>
      </c>
    </row>
    <row r="175" spans="19:26" ht="15" thickBot="1" x14ac:dyDescent="0.35">
      <c r="S175" s="30" t="s">
        <v>704</v>
      </c>
      <c r="T175" s="31">
        <v>201.04</v>
      </c>
      <c r="U175" s="31">
        <v>201.14</v>
      </c>
      <c r="V175" s="31">
        <v>194.91</v>
      </c>
      <c r="W175" s="31">
        <v>197.54</v>
      </c>
      <c r="X175" s="31">
        <v>197.54</v>
      </c>
      <c r="Y175" s="31" t="s">
        <v>705</v>
      </c>
      <c r="Z175">
        <f t="shared" si="4"/>
        <v>1.2039551206516699E-2</v>
      </c>
    </row>
    <row r="176" spans="19:26" ht="15" thickBot="1" x14ac:dyDescent="0.35">
      <c r="S176" s="30" t="s">
        <v>706</v>
      </c>
      <c r="T176" s="31">
        <v>190.23</v>
      </c>
      <c r="U176" s="31">
        <v>198</v>
      </c>
      <c r="V176" s="31">
        <v>189.76</v>
      </c>
      <c r="W176" s="31">
        <v>196.01</v>
      </c>
      <c r="X176" s="31">
        <v>196.01</v>
      </c>
      <c r="Y176" s="31" t="s">
        <v>707</v>
      </c>
      <c r="Z176">
        <f t="shared" si="4"/>
        <v>-7.745266781411366E-3</v>
      </c>
    </row>
    <row r="177" spans="19:26" ht="15" thickBot="1" x14ac:dyDescent="0.35">
      <c r="S177" s="30" t="s">
        <v>708</v>
      </c>
      <c r="T177" s="31">
        <v>183.59</v>
      </c>
      <c r="U177" s="31">
        <v>186.9</v>
      </c>
      <c r="V177" s="31">
        <v>179.67</v>
      </c>
      <c r="W177" s="31">
        <v>186.07</v>
      </c>
      <c r="X177" s="31">
        <v>186.07</v>
      </c>
      <c r="Y177" s="31" t="s">
        <v>709</v>
      </c>
      <c r="Z177">
        <f t="shared" si="4"/>
        <v>-5.0711698382735565E-2</v>
      </c>
    </row>
    <row r="178" spans="19:26" ht="15" thickBot="1" x14ac:dyDescent="0.35">
      <c r="S178" s="30" t="s">
        <v>710</v>
      </c>
      <c r="T178" s="31">
        <v>198.37</v>
      </c>
      <c r="U178" s="31">
        <v>198.57</v>
      </c>
      <c r="V178" s="31">
        <v>190.88</v>
      </c>
      <c r="W178" s="31">
        <v>191.76</v>
      </c>
      <c r="X178" s="31">
        <v>191.76</v>
      </c>
      <c r="Y178" s="31" t="s">
        <v>711</v>
      </c>
      <c r="Z178">
        <f t="shared" si="4"/>
        <v>3.0579889288977254E-2</v>
      </c>
    </row>
    <row r="179" spans="19:26" ht="15" thickBot="1" x14ac:dyDescent="0.35">
      <c r="S179" s="30" t="s">
        <v>712</v>
      </c>
      <c r="T179" s="31">
        <v>206.29</v>
      </c>
      <c r="U179" s="31">
        <v>206.89</v>
      </c>
      <c r="V179" s="31">
        <v>203.56</v>
      </c>
      <c r="W179" s="31">
        <v>206.53</v>
      </c>
      <c r="X179" s="31">
        <v>206.53</v>
      </c>
      <c r="Y179" s="31" t="s">
        <v>713</v>
      </c>
      <c r="Z179">
        <f t="shared" si="4"/>
        <v>7.702336253650402E-2</v>
      </c>
    </row>
    <row r="180" spans="19:26" ht="15" thickBot="1" x14ac:dyDescent="0.35">
      <c r="S180" s="30" t="s">
        <v>714</v>
      </c>
      <c r="T180" s="31">
        <v>212.64</v>
      </c>
      <c r="U180" s="31">
        <v>216.39</v>
      </c>
      <c r="V180" s="31">
        <v>212.6</v>
      </c>
      <c r="W180" s="31">
        <v>214.04</v>
      </c>
      <c r="X180" s="31">
        <v>214.04</v>
      </c>
      <c r="Y180" s="31" t="s">
        <v>715</v>
      </c>
      <c r="Z180">
        <f t="shared" si="4"/>
        <v>3.6362756016075103E-2</v>
      </c>
    </row>
    <row r="181" spans="19:26" ht="15" thickBot="1" x14ac:dyDescent="0.35">
      <c r="S181" s="30" t="s">
        <v>716</v>
      </c>
      <c r="T181" s="31">
        <v>209.15</v>
      </c>
      <c r="U181" s="31">
        <v>211.85</v>
      </c>
      <c r="V181" s="31">
        <v>208.42</v>
      </c>
      <c r="W181" s="31">
        <v>211.08</v>
      </c>
      <c r="X181" s="31">
        <v>211.08</v>
      </c>
      <c r="Y181" s="31" t="s">
        <v>717</v>
      </c>
      <c r="Z181">
        <f t="shared" si="4"/>
        <v>-1.382919080545683E-2</v>
      </c>
    </row>
    <row r="182" spans="19:26" ht="15" thickBot="1" x14ac:dyDescent="0.35">
      <c r="S182" s="30" t="s">
        <v>718</v>
      </c>
      <c r="T182" s="31">
        <v>209</v>
      </c>
      <c r="U182" s="31">
        <v>211.5</v>
      </c>
      <c r="V182" s="31">
        <v>207.47</v>
      </c>
      <c r="W182" s="31">
        <v>210.59</v>
      </c>
      <c r="X182" s="31">
        <v>210.59</v>
      </c>
      <c r="Y182" s="31" t="s">
        <v>719</v>
      </c>
      <c r="Z182">
        <f t="shared" si="4"/>
        <v>-2.3213947318552635E-3</v>
      </c>
    </row>
    <row r="183" spans="19:26" ht="15" thickBot="1" x14ac:dyDescent="0.35">
      <c r="S183" s="30" t="s">
        <v>720</v>
      </c>
      <c r="T183" s="31">
        <v>206.1</v>
      </c>
      <c r="U183" s="31">
        <v>209.08</v>
      </c>
      <c r="V183" s="31">
        <v>203.24</v>
      </c>
      <c r="W183" s="31">
        <v>208.91</v>
      </c>
      <c r="X183" s="31">
        <v>208.91</v>
      </c>
      <c r="Y183" s="31" t="s">
        <v>721</v>
      </c>
      <c r="Z183">
        <f t="shared" si="4"/>
        <v>-7.9775867799990827E-3</v>
      </c>
    </row>
    <row r="184" spans="19:26" ht="15" thickBot="1" x14ac:dyDescent="0.35">
      <c r="S184" s="30" t="s">
        <v>722</v>
      </c>
      <c r="T184" s="31">
        <v>214.85</v>
      </c>
      <c r="U184" s="31">
        <v>215.2</v>
      </c>
      <c r="V184" s="31">
        <v>211.46</v>
      </c>
      <c r="W184" s="31">
        <v>212.1</v>
      </c>
      <c r="X184" s="31">
        <v>212.1</v>
      </c>
      <c r="Y184" s="31" t="s">
        <v>723</v>
      </c>
      <c r="Z184">
        <f t="shared" si="4"/>
        <v>1.5269733378009659E-2</v>
      </c>
    </row>
    <row r="185" spans="19:26" ht="15" thickBot="1" x14ac:dyDescent="0.35">
      <c r="S185" s="30" t="s">
        <v>724</v>
      </c>
      <c r="T185" s="31">
        <v>215.11</v>
      </c>
      <c r="U185" s="31">
        <v>216.6</v>
      </c>
      <c r="V185" s="31">
        <v>213.16</v>
      </c>
      <c r="W185" s="31">
        <v>214.76</v>
      </c>
      <c r="X185" s="31">
        <v>214.76</v>
      </c>
      <c r="Y185" s="31" t="s">
        <v>725</v>
      </c>
      <c r="Z185">
        <f t="shared" si="4"/>
        <v>1.2541254125412526E-2</v>
      </c>
    </row>
    <row r="186" spans="19:26" ht="15" thickBot="1" x14ac:dyDescent="0.35">
      <c r="S186" s="30" t="s">
        <v>726</v>
      </c>
      <c r="T186" s="31">
        <v>215.5</v>
      </c>
      <c r="U186" s="31">
        <v>216.35</v>
      </c>
      <c r="V186" s="31">
        <v>211.03</v>
      </c>
      <c r="W186" s="31">
        <v>211.5</v>
      </c>
      <c r="X186" s="31">
        <v>211.5</v>
      </c>
      <c r="Y186" s="31" t="s">
        <v>727</v>
      </c>
      <c r="Z186">
        <f t="shared" si="4"/>
        <v>-1.5179735518718528E-2</v>
      </c>
    </row>
    <row r="187" spans="19:26" ht="15" thickBot="1" x14ac:dyDescent="0.35">
      <c r="S187" s="30" t="s">
        <v>728</v>
      </c>
      <c r="T187" s="31">
        <v>209.23</v>
      </c>
      <c r="U187" s="31">
        <v>212.81</v>
      </c>
      <c r="V187" s="31">
        <v>208.19</v>
      </c>
      <c r="W187" s="31">
        <v>209.51</v>
      </c>
      <c r="X187" s="31">
        <v>209.51</v>
      </c>
      <c r="Y187" s="31" t="s">
        <v>729</v>
      </c>
      <c r="Z187">
        <f t="shared" si="4"/>
        <v>-9.4089834515366857E-3</v>
      </c>
    </row>
    <row r="188" spans="19:26" ht="15" thickBot="1" x14ac:dyDescent="0.35">
      <c r="S188" s="30" t="s">
        <v>730</v>
      </c>
      <c r="T188" s="31">
        <v>203.9</v>
      </c>
      <c r="U188" s="31">
        <v>206.46</v>
      </c>
      <c r="V188" s="31">
        <v>203.02</v>
      </c>
      <c r="W188" s="31">
        <v>205.48</v>
      </c>
      <c r="X188" s="31">
        <v>205.48</v>
      </c>
      <c r="Y188" s="31" t="s">
        <v>731</v>
      </c>
      <c r="Z188">
        <f t="shared" si="4"/>
        <v>-1.9235358694095754E-2</v>
      </c>
    </row>
    <row r="189" spans="19:26" ht="15" thickBot="1" x14ac:dyDescent="0.35">
      <c r="S189" s="30" t="s">
        <v>732</v>
      </c>
      <c r="T189" s="31">
        <v>202.05</v>
      </c>
      <c r="U189" s="31">
        <v>207.27</v>
      </c>
      <c r="V189" s="31">
        <v>201.5</v>
      </c>
      <c r="W189" s="31">
        <v>205.94</v>
      </c>
      <c r="X189" s="31">
        <v>205.94</v>
      </c>
      <c r="Y189" s="31" t="s">
        <v>733</v>
      </c>
      <c r="Z189">
        <f t="shared" si="4"/>
        <v>2.2386606969048472E-3</v>
      </c>
    </row>
    <row r="190" spans="19:26" ht="15" thickBot="1" x14ac:dyDescent="0.35">
      <c r="S190" s="30" t="s">
        <v>734</v>
      </c>
      <c r="T190" s="31">
        <v>201.71</v>
      </c>
      <c r="U190" s="31">
        <v>202.28</v>
      </c>
      <c r="V190" s="31">
        <v>198.26</v>
      </c>
      <c r="W190" s="31">
        <v>199.85</v>
      </c>
      <c r="X190" s="31">
        <v>199.85</v>
      </c>
      <c r="Y190" s="31" t="s">
        <v>735</v>
      </c>
      <c r="Z190">
        <f t="shared" si="4"/>
        <v>-2.9571719918422858E-2</v>
      </c>
    </row>
    <row r="191" spans="19:26" ht="15" thickBot="1" x14ac:dyDescent="0.35">
      <c r="S191" s="30" t="s">
        <v>736</v>
      </c>
      <c r="T191" s="31">
        <v>211.61</v>
      </c>
      <c r="U191" s="31">
        <v>212.05</v>
      </c>
      <c r="V191" s="31">
        <v>207.82</v>
      </c>
      <c r="W191" s="31">
        <v>208</v>
      </c>
      <c r="X191" s="31">
        <v>208</v>
      </c>
      <c r="Y191" s="31" t="s">
        <v>737</v>
      </c>
      <c r="Z191">
        <f t="shared" si="4"/>
        <v>4.0780585439079337E-2</v>
      </c>
    </row>
    <row r="192" spans="19:26" ht="15" thickBot="1" x14ac:dyDescent="0.35">
      <c r="S192" s="30" t="s">
        <v>738</v>
      </c>
      <c r="T192" s="31">
        <v>215.32</v>
      </c>
      <c r="U192" s="31">
        <v>215.4</v>
      </c>
      <c r="V192" s="31">
        <v>209.37</v>
      </c>
      <c r="W192" s="31">
        <v>211.6</v>
      </c>
      <c r="X192" s="31">
        <v>211.6</v>
      </c>
      <c r="Y192" s="31" t="s">
        <v>739</v>
      </c>
      <c r="Z192">
        <f t="shared" si="4"/>
        <v>1.7307692307692281E-2</v>
      </c>
    </row>
    <row r="193" spans="19:26" ht="15" thickBot="1" x14ac:dyDescent="0.35">
      <c r="S193" s="30" t="s">
        <v>740</v>
      </c>
      <c r="T193" s="31">
        <v>219.16</v>
      </c>
      <c r="U193" s="31">
        <v>219.5</v>
      </c>
      <c r="V193" s="31">
        <v>216.46</v>
      </c>
      <c r="W193" s="31">
        <v>217.75</v>
      </c>
      <c r="X193" s="31">
        <v>217.75</v>
      </c>
      <c r="Y193" s="31" t="s">
        <v>741</v>
      </c>
      <c r="Z193">
        <f t="shared" si="4"/>
        <v>2.9064272211720255E-2</v>
      </c>
    </row>
    <row r="194" spans="19:26" ht="15" thickBot="1" x14ac:dyDescent="0.35">
      <c r="S194" s="30" t="s">
        <v>742</v>
      </c>
      <c r="T194" s="31">
        <v>228.07</v>
      </c>
      <c r="U194" s="31">
        <v>228.85</v>
      </c>
      <c r="V194" s="31">
        <v>221.55</v>
      </c>
      <c r="W194" s="31">
        <v>221.87</v>
      </c>
      <c r="X194" s="31">
        <v>221.87</v>
      </c>
      <c r="Y194" s="31" t="s">
        <v>743</v>
      </c>
      <c r="Z194">
        <f t="shared" si="4"/>
        <v>1.892078071182551E-2</v>
      </c>
    </row>
    <row r="195" spans="19:26" ht="15" thickBot="1" x14ac:dyDescent="0.35">
      <c r="S195" s="30" t="s">
        <v>744</v>
      </c>
      <c r="T195" s="31">
        <v>226.99</v>
      </c>
      <c r="U195" s="31">
        <v>227.98</v>
      </c>
      <c r="V195" s="31">
        <v>225.68</v>
      </c>
      <c r="W195" s="31">
        <v>226.78</v>
      </c>
      <c r="X195" s="31">
        <v>226.78</v>
      </c>
      <c r="Y195" s="31" t="s">
        <v>745</v>
      </c>
      <c r="Z195">
        <f t="shared" si="4"/>
        <v>2.2130076170730591E-2</v>
      </c>
    </row>
    <row r="196" spans="19:26" ht="15" thickBot="1" x14ac:dyDescent="0.35">
      <c r="S196" s="30" t="s">
        <v>746</v>
      </c>
      <c r="T196" s="31">
        <v>226.7</v>
      </c>
      <c r="U196" s="31">
        <v>229.64</v>
      </c>
      <c r="V196" s="31">
        <v>225.6</v>
      </c>
      <c r="W196" s="31">
        <v>229.44</v>
      </c>
      <c r="X196" s="31">
        <v>229.44</v>
      </c>
      <c r="Y196" s="31" t="s">
        <v>747</v>
      </c>
      <c r="Z196">
        <f t="shared" ref="Z196:Z255" si="5">(X196-X195)/X195</f>
        <v>1.1729429402945571E-2</v>
      </c>
    </row>
    <row r="197" spans="19:26" ht="15" thickBot="1" x14ac:dyDescent="0.35">
      <c r="S197" s="30" t="s">
        <v>748</v>
      </c>
      <c r="T197" s="31">
        <v>229.5</v>
      </c>
      <c r="U197" s="31">
        <v>230.89</v>
      </c>
      <c r="V197" s="31">
        <v>226.72</v>
      </c>
      <c r="W197" s="31">
        <v>228.59</v>
      </c>
      <c r="X197" s="31">
        <v>228.59</v>
      </c>
      <c r="Y197" s="31" t="s">
        <v>749</v>
      </c>
      <c r="Z197">
        <f t="shared" si="5"/>
        <v>-3.7046722454672E-3</v>
      </c>
    </row>
    <row r="198" spans="19:26" ht="15" thickBot="1" x14ac:dyDescent="0.35">
      <c r="S198" s="30" t="s">
        <v>750</v>
      </c>
      <c r="T198" s="31">
        <v>221.71</v>
      </c>
      <c r="U198" s="31">
        <v>230.25</v>
      </c>
      <c r="V198" s="31">
        <v>221.1</v>
      </c>
      <c r="W198" s="31">
        <v>228.5</v>
      </c>
      <c r="X198" s="31">
        <v>228.5</v>
      </c>
      <c r="Y198" s="31" t="s">
        <v>751</v>
      </c>
      <c r="Z198">
        <f t="shared" si="5"/>
        <v>-3.9371801041166896E-4</v>
      </c>
    </row>
    <row r="199" spans="19:26" ht="15" thickBot="1" x14ac:dyDescent="0.35">
      <c r="S199" s="30" t="s">
        <v>752</v>
      </c>
      <c r="T199" s="31">
        <v>216.99</v>
      </c>
      <c r="U199" s="31">
        <v>219.58</v>
      </c>
      <c r="V199" s="31">
        <v>215.56</v>
      </c>
      <c r="W199" s="31">
        <v>218.38</v>
      </c>
      <c r="X199" s="31">
        <v>218.38</v>
      </c>
      <c r="Y199" s="31" t="s">
        <v>753</v>
      </c>
      <c r="Z199">
        <f t="shared" si="5"/>
        <v>-4.4288840262582077E-2</v>
      </c>
    </row>
    <row r="200" spans="19:26" ht="15" thickBot="1" x14ac:dyDescent="0.35">
      <c r="S200" s="30" t="s">
        <v>754</v>
      </c>
      <c r="T200" s="31">
        <v>214.19</v>
      </c>
      <c r="U200" s="31">
        <v>216.33</v>
      </c>
      <c r="V200" s="31">
        <v>213.13</v>
      </c>
      <c r="W200" s="31">
        <v>214.86</v>
      </c>
      <c r="X200" s="31">
        <v>214.86</v>
      </c>
      <c r="Y200" s="31" t="s">
        <v>755</v>
      </c>
      <c r="Z200">
        <f t="shared" si="5"/>
        <v>-1.6118692187929214E-2</v>
      </c>
    </row>
    <row r="201" spans="19:26" ht="15" thickBot="1" x14ac:dyDescent="0.35">
      <c r="S201" s="30" t="s">
        <v>756</v>
      </c>
      <c r="T201" s="31">
        <v>210.42</v>
      </c>
      <c r="U201" s="31">
        <v>211.66</v>
      </c>
      <c r="V201" s="31">
        <v>209.86</v>
      </c>
      <c r="W201" s="31">
        <v>211.32</v>
      </c>
      <c r="X201" s="31">
        <v>211.32</v>
      </c>
      <c r="Y201" s="31" t="s">
        <v>757</v>
      </c>
      <c r="Z201">
        <f t="shared" si="5"/>
        <v>-1.6475844736107328E-2</v>
      </c>
    </row>
    <row r="202" spans="19:26" ht="15" thickBot="1" x14ac:dyDescent="0.35">
      <c r="S202" s="30" t="s">
        <v>758</v>
      </c>
      <c r="T202" s="31">
        <v>210.55</v>
      </c>
      <c r="U202" s="31">
        <v>211.78</v>
      </c>
      <c r="V202" s="31">
        <v>208.99</v>
      </c>
      <c r="W202" s="31">
        <v>211.06</v>
      </c>
      <c r="X202" s="31">
        <v>211.06</v>
      </c>
      <c r="Y202" s="31" t="s">
        <v>759</v>
      </c>
      <c r="Z202">
        <f t="shared" si="5"/>
        <v>-1.2303615370054463E-3</v>
      </c>
    </row>
    <row r="203" spans="19:26" ht="15" thickBot="1" x14ac:dyDescent="0.35">
      <c r="S203" s="30" t="s">
        <v>760</v>
      </c>
      <c r="T203" s="31">
        <v>212.01</v>
      </c>
      <c r="U203" s="31">
        <v>213.84</v>
      </c>
      <c r="V203" s="31">
        <v>210.59</v>
      </c>
      <c r="W203" s="31">
        <v>212.3</v>
      </c>
      <c r="X203" s="31">
        <v>212.3</v>
      </c>
      <c r="Y203" s="31" t="s">
        <v>761</v>
      </c>
      <c r="Z203">
        <f t="shared" si="5"/>
        <v>5.8751066047569838E-3</v>
      </c>
    </row>
    <row r="204" spans="19:26" ht="15" thickBot="1" x14ac:dyDescent="0.35">
      <c r="S204" s="30" t="s">
        <v>762</v>
      </c>
      <c r="T204" s="31">
        <v>209.9</v>
      </c>
      <c r="U204" s="31">
        <v>212.49</v>
      </c>
      <c r="V204" s="31">
        <v>209.77</v>
      </c>
      <c r="W204" s="31">
        <v>211.6</v>
      </c>
      <c r="X204" s="31">
        <v>211.6</v>
      </c>
      <c r="Y204" s="31" t="s">
        <v>763</v>
      </c>
      <c r="Z204">
        <f t="shared" si="5"/>
        <v>-3.297220913801305E-3</v>
      </c>
    </row>
    <row r="205" spans="19:26" ht="15" thickBot="1" x14ac:dyDescent="0.35">
      <c r="S205" s="30" t="s">
        <v>764</v>
      </c>
      <c r="T205" s="31">
        <v>209.75</v>
      </c>
      <c r="U205" s="31">
        <v>211.62</v>
      </c>
      <c r="V205" s="31">
        <v>208.23</v>
      </c>
      <c r="W205" s="31">
        <v>209.32</v>
      </c>
      <c r="X205" s="31">
        <v>209.32</v>
      </c>
      <c r="Y205" s="31" t="s">
        <v>765</v>
      </c>
      <c r="Z205">
        <f t="shared" si="5"/>
        <v>-1.0775047258979212E-2</v>
      </c>
    </row>
    <row r="206" spans="19:26" ht="15" thickBot="1" x14ac:dyDescent="0.35">
      <c r="S206" s="30" t="s">
        <v>766</v>
      </c>
      <c r="T206" s="31">
        <v>214.17</v>
      </c>
      <c r="U206" s="31">
        <v>214.49</v>
      </c>
      <c r="V206" s="31">
        <v>209.64</v>
      </c>
      <c r="W206" s="31">
        <v>210.06</v>
      </c>
      <c r="X206" s="31">
        <v>210.06</v>
      </c>
      <c r="Y206" s="31" t="s">
        <v>767</v>
      </c>
      <c r="Z206">
        <f t="shared" si="5"/>
        <v>3.5352570227403456E-3</v>
      </c>
    </row>
    <row r="207" spans="19:26" ht="15" thickBot="1" x14ac:dyDescent="0.35">
      <c r="S207" s="30" t="s">
        <v>768</v>
      </c>
      <c r="T207" s="31">
        <v>212.25</v>
      </c>
      <c r="U207" s="31">
        <v>215.16</v>
      </c>
      <c r="V207" s="31">
        <v>212.24</v>
      </c>
      <c r="W207" s="31">
        <v>213.94</v>
      </c>
      <c r="X207" s="31">
        <v>213.94</v>
      </c>
      <c r="Y207" s="31" t="s">
        <v>769</v>
      </c>
      <c r="Z207">
        <f t="shared" si="5"/>
        <v>1.8470913072455467E-2</v>
      </c>
    </row>
    <row r="208" spans="19:26" ht="15" thickBot="1" x14ac:dyDescent="0.35">
      <c r="S208" s="30" t="s">
        <v>770</v>
      </c>
      <c r="T208" s="31">
        <v>213.45</v>
      </c>
      <c r="U208" s="31">
        <v>213.46</v>
      </c>
      <c r="V208" s="31">
        <v>211</v>
      </c>
      <c r="W208" s="31">
        <v>211.64</v>
      </c>
      <c r="X208" s="31">
        <v>211.64</v>
      </c>
      <c r="Y208" s="31" t="s">
        <v>771</v>
      </c>
      <c r="Z208">
        <f t="shared" si="5"/>
        <v>-1.0750677760119712E-2</v>
      </c>
    </row>
    <row r="209" spans="19:26" ht="15" thickBot="1" x14ac:dyDescent="0.35">
      <c r="S209" s="30" t="s">
        <v>772</v>
      </c>
      <c r="T209" s="31">
        <v>213.5</v>
      </c>
      <c r="U209" s="31">
        <v>214.8</v>
      </c>
      <c r="V209" s="31">
        <v>212.21</v>
      </c>
      <c r="W209" s="31">
        <v>213.07</v>
      </c>
      <c r="X209" s="31">
        <v>213.07</v>
      </c>
      <c r="Y209" s="31" t="s">
        <v>773</v>
      </c>
      <c r="Z209">
        <f t="shared" si="5"/>
        <v>6.7567567567567892E-3</v>
      </c>
    </row>
    <row r="210" spans="19:26" ht="15" thickBot="1" x14ac:dyDescent="0.35">
      <c r="S210" s="30" t="s">
        <v>774</v>
      </c>
      <c r="T210" s="31">
        <v>215.21</v>
      </c>
      <c r="U210" s="31">
        <v>216.57</v>
      </c>
      <c r="V210" s="31">
        <v>213.31</v>
      </c>
      <c r="W210" s="31">
        <v>213.32</v>
      </c>
      <c r="X210" s="31">
        <v>213.32</v>
      </c>
      <c r="Y210" s="31" t="s">
        <v>775</v>
      </c>
      <c r="Z210">
        <f t="shared" si="5"/>
        <v>1.1733233209743276E-3</v>
      </c>
    </row>
    <row r="211" spans="19:26" ht="15" thickBot="1" x14ac:dyDescent="0.35">
      <c r="S211" s="30" t="s">
        <v>776</v>
      </c>
      <c r="T211" s="31">
        <v>217.29</v>
      </c>
      <c r="U211" s="31">
        <v>218.23</v>
      </c>
      <c r="V211" s="31">
        <v>214.74</v>
      </c>
      <c r="W211" s="31">
        <v>215.82</v>
      </c>
      <c r="X211" s="31">
        <v>215.82</v>
      </c>
      <c r="Y211" s="31" t="s">
        <v>777</v>
      </c>
      <c r="Z211">
        <f t="shared" si="5"/>
        <v>1.1719482467654229E-2</v>
      </c>
    </row>
    <row r="212" spans="19:26" ht="15" thickBot="1" x14ac:dyDescent="0.35">
      <c r="S212" s="30" t="s">
        <v>778</v>
      </c>
      <c r="T212" s="31">
        <v>218</v>
      </c>
      <c r="U212" s="31">
        <v>218.4</v>
      </c>
      <c r="V212" s="31">
        <v>215.69</v>
      </c>
      <c r="W212" s="31">
        <v>216.9</v>
      </c>
      <c r="X212" s="31">
        <v>216.9</v>
      </c>
      <c r="Y212" s="31" t="s">
        <v>779</v>
      </c>
      <c r="Z212">
        <f t="shared" si="5"/>
        <v>5.0041701417848786E-3</v>
      </c>
    </row>
    <row r="213" spans="19:26" ht="15" thickBot="1" x14ac:dyDescent="0.35">
      <c r="S213" s="30" t="s">
        <v>780</v>
      </c>
      <c r="T213" s="31">
        <v>218.28</v>
      </c>
      <c r="U213" s="31">
        <v>219.08</v>
      </c>
      <c r="V213" s="31">
        <v>217.14</v>
      </c>
      <c r="W213" s="31">
        <v>219.02</v>
      </c>
      <c r="X213" s="31">
        <v>219.02</v>
      </c>
      <c r="Y213" s="31" t="s">
        <v>781</v>
      </c>
      <c r="Z213">
        <f t="shared" si="5"/>
        <v>9.7740894421392555E-3</v>
      </c>
    </row>
    <row r="214" spans="19:26" ht="15" thickBot="1" x14ac:dyDescent="0.35">
      <c r="S214" s="30" t="s">
        <v>782</v>
      </c>
      <c r="T214" s="31">
        <v>218</v>
      </c>
      <c r="U214" s="31">
        <v>218.7</v>
      </c>
      <c r="V214" s="31">
        <v>216.3</v>
      </c>
      <c r="W214" s="31">
        <v>217.04</v>
      </c>
      <c r="X214" s="31">
        <v>217.04</v>
      </c>
      <c r="Y214" s="31" t="s">
        <v>783</v>
      </c>
      <c r="Z214">
        <f t="shared" si="5"/>
        <v>-9.0402702949503155E-3</v>
      </c>
    </row>
    <row r="215" spans="19:26" ht="15" thickBot="1" x14ac:dyDescent="0.35">
      <c r="S215" s="30" t="s">
        <v>784</v>
      </c>
      <c r="T215" s="31">
        <v>219.43</v>
      </c>
      <c r="U215" s="31">
        <v>219.94</v>
      </c>
      <c r="V215" s="31">
        <v>217.46</v>
      </c>
      <c r="W215" s="31">
        <v>219.59</v>
      </c>
      <c r="X215" s="31">
        <v>219.59</v>
      </c>
      <c r="Y215" s="31" t="s">
        <v>785</v>
      </c>
      <c r="Z215">
        <f t="shared" si="5"/>
        <v>1.1748986361960981E-2</v>
      </c>
    </row>
    <row r="216" spans="19:26" ht="15" thickBot="1" x14ac:dyDescent="0.35">
      <c r="S216" s="30" t="s">
        <v>786</v>
      </c>
      <c r="T216" s="31">
        <v>223.02</v>
      </c>
      <c r="U216" s="31">
        <v>223.13</v>
      </c>
      <c r="V216" s="31">
        <v>218.24</v>
      </c>
      <c r="W216" s="31">
        <v>219.48</v>
      </c>
      <c r="X216" s="31">
        <v>219.48</v>
      </c>
      <c r="Y216" s="31" t="s">
        <v>787</v>
      </c>
      <c r="Z216">
        <f t="shared" si="5"/>
        <v>-5.0093355799450635E-4</v>
      </c>
    </row>
    <row r="217" spans="19:26" ht="15" thickBot="1" x14ac:dyDescent="0.35">
      <c r="S217" s="30" t="s">
        <v>788</v>
      </c>
      <c r="T217" s="31">
        <v>212.76</v>
      </c>
      <c r="U217" s="31">
        <v>214.53</v>
      </c>
      <c r="V217" s="31">
        <v>212.06</v>
      </c>
      <c r="W217" s="31">
        <v>213.96</v>
      </c>
      <c r="X217" s="31">
        <v>213.96</v>
      </c>
      <c r="Y217" s="31" t="s">
        <v>789</v>
      </c>
      <c r="Z217">
        <f t="shared" si="5"/>
        <v>-2.5150355385456451E-2</v>
      </c>
    </row>
    <row r="218" spans="19:26" ht="15" thickBot="1" x14ac:dyDescent="0.35">
      <c r="S218" s="30" t="s">
        <v>790</v>
      </c>
      <c r="T218" s="31">
        <v>214.17</v>
      </c>
      <c r="U218" s="31">
        <v>215.46</v>
      </c>
      <c r="V218" s="31">
        <v>212.53</v>
      </c>
      <c r="W218" s="31">
        <v>212.74</v>
      </c>
      <c r="X218" s="31">
        <v>212.74</v>
      </c>
      <c r="Y218" s="31" t="s">
        <v>791</v>
      </c>
      <c r="Z218">
        <f t="shared" si="5"/>
        <v>-5.7020003739016584E-3</v>
      </c>
    </row>
    <row r="219" spans="19:26" ht="15" thickBot="1" x14ac:dyDescent="0.35">
      <c r="S219" s="30" t="s">
        <v>792</v>
      </c>
      <c r="T219" s="31">
        <v>212.3</v>
      </c>
      <c r="U219" s="31">
        <v>213.75</v>
      </c>
      <c r="V219" s="31">
        <v>211.54</v>
      </c>
      <c r="W219" s="31">
        <v>211.78</v>
      </c>
      <c r="X219" s="31">
        <v>211.78</v>
      </c>
      <c r="Y219" s="31" t="s">
        <v>793</v>
      </c>
      <c r="Z219">
        <f t="shared" si="5"/>
        <v>-4.5125505311648393E-3</v>
      </c>
    </row>
    <row r="220" spans="19:26" ht="15" thickBot="1" x14ac:dyDescent="0.35">
      <c r="S220" s="30" t="s">
        <v>794</v>
      </c>
      <c r="T220" s="31">
        <v>212.83</v>
      </c>
      <c r="U220" s="31">
        <v>214.05</v>
      </c>
      <c r="V220" s="31">
        <v>211.01</v>
      </c>
      <c r="W220" s="31">
        <v>211.13</v>
      </c>
      <c r="X220" s="31">
        <v>211.13</v>
      </c>
      <c r="Y220" s="31" t="s">
        <v>795</v>
      </c>
      <c r="Z220">
        <f t="shared" si="5"/>
        <v>-3.0692227783549234E-3</v>
      </c>
    </row>
    <row r="221" spans="19:26" ht="15" thickBot="1" x14ac:dyDescent="0.35">
      <c r="S221" s="30" t="s">
        <v>796</v>
      </c>
      <c r="T221" s="31">
        <v>210.03</v>
      </c>
      <c r="U221" s="31">
        <v>212.01</v>
      </c>
      <c r="V221" s="31">
        <v>208.7</v>
      </c>
      <c r="W221" s="31">
        <v>210.44</v>
      </c>
      <c r="X221" s="31">
        <v>210.44</v>
      </c>
      <c r="Y221" s="31" t="s">
        <v>797</v>
      </c>
      <c r="Z221">
        <f t="shared" si="5"/>
        <v>-3.2681286411215733E-3</v>
      </c>
    </row>
    <row r="222" spans="19:26" ht="15" thickBot="1" x14ac:dyDescent="0.35">
      <c r="S222" s="30" t="s">
        <v>798</v>
      </c>
      <c r="T222" s="31">
        <v>215.23</v>
      </c>
      <c r="U222" s="31">
        <v>215.89</v>
      </c>
      <c r="V222" s="31">
        <v>209.87</v>
      </c>
      <c r="W222" s="31">
        <v>211.06</v>
      </c>
      <c r="X222" s="31">
        <v>211.06</v>
      </c>
      <c r="Y222" s="31" t="s">
        <v>799</v>
      </c>
      <c r="Z222">
        <f t="shared" si="5"/>
        <v>2.9462079452575772E-3</v>
      </c>
    </row>
    <row r="223" spans="19:26" ht="15" thickBot="1" x14ac:dyDescent="0.35">
      <c r="S223" s="30" t="s">
        <v>800</v>
      </c>
      <c r="T223" s="31">
        <v>212.99</v>
      </c>
      <c r="U223" s="31">
        <v>217.63</v>
      </c>
      <c r="V223" s="31">
        <v>212.63</v>
      </c>
      <c r="W223" s="31">
        <v>216.99</v>
      </c>
      <c r="X223" s="31">
        <v>216.99</v>
      </c>
      <c r="Y223" s="31" t="s">
        <v>801</v>
      </c>
      <c r="Z223">
        <f t="shared" si="5"/>
        <v>2.8096275940490887E-2</v>
      </c>
    </row>
    <row r="224" spans="19:26" ht="15" thickBot="1" x14ac:dyDescent="0.35">
      <c r="S224" s="30" t="s">
        <v>802</v>
      </c>
      <c r="T224" s="31">
        <v>211.1</v>
      </c>
      <c r="U224" s="31">
        <v>212.91</v>
      </c>
      <c r="V224" s="31">
        <v>210.12</v>
      </c>
      <c r="W224" s="31">
        <v>212.54</v>
      </c>
      <c r="X224" s="31">
        <v>212.54</v>
      </c>
      <c r="Y224" s="31" t="s">
        <v>803</v>
      </c>
      <c r="Z224">
        <f t="shared" si="5"/>
        <v>-2.0507857504954222E-2</v>
      </c>
    </row>
    <row r="225" spans="19:26" ht="15" thickBot="1" x14ac:dyDescent="0.35">
      <c r="S225" s="30" t="s">
        <v>804</v>
      </c>
      <c r="T225" s="31">
        <v>212.5</v>
      </c>
      <c r="U225" s="31">
        <v>215.17</v>
      </c>
      <c r="V225" s="31">
        <v>211.42</v>
      </c>
      <c r="W225" s="31">
        <v>213.72</v>
      </c>
      <c r="X225" s="31">
        <v>213.72</v>
      </c>
      <c r="Y225" s="31" t="s">
        <v>805</v>
      </c>
      <c r="Z225">
        <f t="shared" si="5"/>
        <v>5.5518961136727524E-3</v>
      </c>
    </row>
    <row r="226" spans="19:26" ht="15" thickBot="1" x14ac:dyDescent="0.35">
      <c r="S226" s="30" t="s">
        <v>806</v>
      </c>
      <c r="T226" s="31">
        <v>210.62</v>
      </c>
      <c r="U226" s="31">
        <v>213.15</v>
      </c>
      <c r="V226" s="31">
        <v>209.44</v>
      </c>
      <c r="W226" s="31">
        <v>211.05</v>
      </c>
      <c r="X226" s="31">
        <v>211.05</v>
      </c>
      <c r="Y226" s="31" t="s">
        <v>807</v>
      </c>
      <c r="Z226">
        <f t="shared" si="5"/>
        <v>-1.2492981471083603E-2</v>
      </c>
    </row>
    <row r="227" spans="19:26" ht="15" thickBot="1" x14ac:dyDescent="0.35">
      <c r="S227" s="30" t="s">
        <v>808</v>
      </c>
      <c r="T227" s="31">
        <v>209.92</v>
      </c>
      <c r="U227" s="31">
        <v>210.94</v>
      </c>
      <c r="V227" s="31">
        <v>206.02</v>
      </c>
      <c r="W227" s="31">
        <v>209.51</v>
      </c>
      <c r="X227" s="31">
        <v>209.51</v>
      </c>
      <c r="Y227" s="31" t="s">
        <v>809</v>
      </c>
      <c r="Z227">
        <f t="shared" si="5"/>
        <v>-7.2968490878939606E-3</v>
      </c>
    </row>
    <row r="228" spans="19:26" ht="15" thickBot="1" x14ac:dyDescent="0.35">
      <c r="S228" s="30" t="s">
        <v>810</v>
      </c>
      <c r="T228" s="31">
        <v>213.15</v>
      </c>
      <c r="U228" s="31">
        <v>215.5</v>
      </c>
      <c r="V228" s="31">
        <v>204.39</v>
      </c>
      <c r="W228" s="31">
        <v>206.08</v>
      </c>
      <c r="X228" s="31">
        <v>206.08</v>
      </c>
      <c r="Y228" s="31" t="s">
        <v>811</v>
      </c>
      <c r="Z228">
        <f t="shared" si="5"/>
        <v>-1.6371533578349379E-2</v>
      </c>
    </row>
    <row r="229" spans="19:26" ht="15" thickBot="1" x14ac:dyDescent="0.35">
      <c r="S229" s="30" t="s">
        <v>812</v>
      </c>
      <c r="T229" s="31">
        <v>224.74</v>
      </c>
      <c r="U229" s="31">
        <v>225.29</v>
      </c>
      <c r="V229" s="31">
        <v>219</v>
      </c>
      <c r="W229" s="31">
        <v>219.9</v>
      </c>
      <c r="X229" s="31">
        <v>219.9</v>
      </c>
      <c r="Y229" s="31" t="s">
        <v>813</v>
      </c>
      <c r="Z229">
        <f t="shared" si="5"/>
        <v>6.7061335403726677E-2</v>
      </c>
    </row>
    <row r="230" spans="19:26" ht="15" thickBot="1" x14ac:dyDescent="0.35">
      <c r="S230" s="30" t="s">
        <v>814</v>
      </c>
      <c r="T230" s="31">
        <v>213.71</v>
      </c>
      <c r="U230" s="31">
        <v>221.39</v>
      </c>
      <c r="V230" s="31">
        <v>213</v>
      </c>
      <c r="W230" s="31">
        <v>221.38</v>
      </c>
      <c r="X230" s="31">
        <v>221.38</v>
      </c>
      <c r="Y230" s="31" t="s">
        <v>815</v>
      </c>
      <c r="Z230">
        <f t="shared" si="5"/>
        <v>6.7303319690768066E-3</v>
      </c>
    </row>
    <row r="231" spans="19:26" ht="15" thickBot="1" x14ac:dyDescent="0.35">
      <c r="S231" s="30" t="s">
        <v>816</v>
      </c>
      <c r="T231" s="31">
        <v>222.87</v>
      </c>
      <c r="U231" s="31">
        <v>222.87</v>
      </c>
      <c r="V231" s="31">
        <v>218.56</v>
      </c>
      <c r="W231" s="31">
        <v>219.53</v>
      </c>
      <c r="X231" s="31">
        <v>219.53</v>
      </c>
      <c r="Y231" s="31" t="s">
        <v>817</v>
      </c>
      <c r="Z231">
        <f t="shared" si="5"/>
        <v>-8.3566717860691763E-3</v>
      </c>
    </row>
    <row r="232" spans="19:26" ht="15" thickBot="1" x14ac:dyDescent="0.35">
      <c r="S232" s="30" t="s">
        <v>818</v>
      </c>
      <c r="T232" s="31">
        <v>227.9</v>
      </c>
      <c r="U232" s="31">
        <v>228.79</v>
      </c>
      <c r="V232" s="31">
        <v>225.05</v>
      </c>
      <c r="W232" s="31">
        <v>225.31</v>
      </c>
      <c r="X232" s="31">
        <v>225.31</v>
      </c>
      <c r="Y232" s="31" t="s">
        <v>819</v>
      </c>
      <c r="Z232">
        <f t="shared" si="5"/>
        <v>2.632897553865076E-2</v>
      </c>
    </row>
    <row r="233" spans="19:26" ht="15" thickBot="1" x14ac:dyDescent="0.35">
      <c r="S233" s="30" t="s">
        <v>820</v>
      </c>
      <c r="T233" s="31">
        <v>227.11</v>
      </c>
      <c r="U233" s="31">
        <v>228.44</v>
      </c>
      <c r="V233" s="31">
        <v>222.88</v>
      </c>
      <c r="W233" s="31">
        <v>226.42</v>
      </c>
      <c r="X233" s="31">
        <v>226.42</v>
      </c>
      <c r="Y233" s="31" t="s">
        <v>821</v>
      </c>
      <c r="Z233">
        <f t="shared" si="5"/>
        <v>4.9265456482179455E-3</v>
      </c>
    </row>
    <row r="234" spans="19:26" ht="15" thickBot="1" x14ac:dyDescent="0.35">
      <c r="S234" s="30" t="s">
        <v>822</v>
      </c>
      <c r="T234" s="31">
        <v>228</v>
      </c>
      <c r="U234" s="31">
        <v>229.3</v>
      </c>
      <c r="V234" s="31">
        <v>226.73</v>
      </c>
      <c r="W234" s="31">
        <v>226.78</v>
      </c>
      <c r="X234" s="31">
        <v>226.78</v>
      </c>
      <c r="Y234" s="31" t="s">
        <v>823</v>
      </c>
      <c r="Z234">
        <f t="shared" si="5"/>
        <v>1.5899655507464608E-3</v>
      </c>
    </row>
    <row r="235" spans="19:26" ht="15" thickBot="1" x14ac:dyDescent="0.35">
      <c r="S235" s="30" t="s">
        <v>824</v>
      </c>
      <c r="T235" s="31">
        <v>230.25</v>
      </c>
      <c r="U235" s="31">
        <v>231.48</v>
      </c>
      <c r="V235" s="31">
        <v>225.45</v>
      </c>
      <c r="W235" s="31">
        <v>227.9</v>
      </c>
      <c r="X235" s="31">
        <v>227.9</v>
      </c>
      <c r="Y235" s="31" t="s">
        <v>825</v>
      </c>
      <c r="Z235">
        <f t="shared" si="5"/>
        <v>4.9387071170297406E-3</v>
      </c>
    </row>
    <row r="236" spans="19:26" ht="15" thickBot="1" x14ac:dyDescent="0.35">
      <c r="S236" s="30" t="s">
        <v>826</v>
      </c>
      <c r="T236" s="31">
        <v>231.27</v>
      </c>
      <c r="U236" s="31">
        <v>236.17</v>
      </c>
      <c r="V236" s="31">
        <v>230.4</v>
      </c>
      <c r="W236" s="31">
        <v>230.71</v>
      </c>
      <c r="X236" s="31">
        <v>230.71</v>
      </c>
      <c r="Y236" s="31" t="s">
        <v>827</v>
      </c>
      <c r="Z236">
        <f t="shared" si="5"/>
        <v>1.2329969284774034E-2</v>
      </c>
    </row>
    <row r="237" spans="19:26" ht="15" thickBot="1" x14ac:dyDescent="0.35">
      <c r="S237" s="30" t="s">
        <v>828</v>
      </c>
      <c r="T237" s="31">
        <v>231.77</v>
      </c>
      <c r="U237" s="31">
        <v>233.85</v>
      </c>
      <c r="V237" s="31">
        <v>230.51</v>
      </c>
      <c r="W237" s="31">
        <v>230.95</v>
      </c>
      <c r="X237" s="31">
        <v>230.95</v>
      </c>
      <c r="Y237" s="31" t="s">
        <v>829</v>
      </c>
      <c r="Z237">
        <f t="shared" si="5"/>
        <v>1.0402670018637278E-3</v>
      </c>
    </row>
    <row r="238" spans="19:26" ht="15" thickBot="1" x14ac:dyDescent="0.35">
      <c r="S238" s="30" t="s">
        <v>830</v>
      </c>
      <c r="T238" s="31">
        <v>237.79</v>
      </c>
      <c r="U238" s="31">
        <v>238.05</v>
      </c>
      <c r="V238" s="31">
        <v>232.6</v>
      </c>
      <c r="W238" s="31">
        <v>234.18</v>
      </c>
      <c r="X238" s="31">
        <v>234.18</v>
      </c>
      <c r="Y238" s="31" t="s">
        <v>831</v>
      </c>
      <c r="Z238">
        <f t="shared" si="5"/>
        <v>1.3985711192898976E-2</v>
      </c>
    </row>
    <row r="239" spans="19:26" ht="15" thickBot="1" x14ac:dyDescent="0.35">
      <c r="S239" s="30" t="s">
        <v>832</v>
      </c>
      <c r="T239" s="31">
        <v>237.57</v>
      </c>
      <c r="U239" s="31">
        <v>239.22</v>
      </c>
      <c r="V239" s="31">
        <v>236.33</v>
      </c>
      <c r="W239" s="31">
        <v>236.72</v>
      </c>
      <c r="X239" s="31">
        <v>236.72</v>
      </c>
      <c r="Y239" s="31" t="s">
        <v>833</v>
      </c>
      <c r="Z239">
        <f t="shared" si="5"/>
        <v>1.0846357502775609E-2</v>
      </c>
    </row>
    <row r="240" spans="19:26" ht="15" thickBot="1" x14ac:dyDescent="0.35">
      <c r="S240" s="30" t="s">
        <v>834</v>
      </c>
      <c r="T240" s="31">
        <v>233.44</v>
      </c>
      <c r="U240" s="31">
        <v>236.93</v>
      </c>
      <c r="V240" s="31">
        <v>232.08</v>
      </c>
      <c r="W240" s="31">
        <v>235.92</v>
      </c>
      <c r="X240" s="31">
        <v>235.92</v>
      </c>
      <c r="Y240" s="31" t="s">
        <v>835</v>
      </c>
      <c r="Z240">
        <f t="shared" si="5"/>
        <v>-3.3795201081446916E-3</v>
      </c>
    </row>
    <row r="241" spans="19:26" ht="15" thickBot="1" x14ac:dyDescent="0.35">
      <c r="S241" s="30" t="s">
        <v>836</v>
      </c>
      <c r="T241" s="31">
        <v>231.5</v>
      </c>
      <c r="U241" s="31">
        <v>233.49</v>
      </c>
      <c r="V241" s="31">
        <v>230.82</v>
      </c>
      <c r="W241" s="31">
        <v>232.7</v>
      </c>
      <c r="X241" s="31">
        <v>232.7</v>
      </c>
      <c r="Y241" s="31" t="s">
        <v>837</v>
      </c>
      <c r="Z241">
        <f t="shared" si="5"/>
        <v>-1.3648694472702607E-2</v>
      </c>
    </row>
    <row r="242" spans="19:26" ht="15" thickBot="1" x14ac:dyDescent="0.35">
      <c r="S242" s="30" t="s">
        <v>838</v>
      </c>
      <c r="T242" s="31">
        <v>230.65</v>
      </c>
      <c r="U242" s="31">
        <v>233</v>
      </c>
      <c r="V242" s="31">
        <v>230.51</v>
      </c>
      <c r="W242" s="31">
        <v>232.08</v>
      </c>
      <c r="X242" s="31">
        <v>232.08</v>
      </c>
      <c r="Y242" s="31" t="s">
        <v>839</v>
      </c>
      <c r="Z242">
        <f t="shared" si="5"/>
        <v>-2.6643747314137353E-3</v>
      </c>
    </row>
    <row r="243" spans="19:26" ht="15" thickBot="1" x14ac:dyDescent="0.35">
      <c r="S243" s="30" t="s">
        <v>840</v>
      </c>
      <c r="T243" s="31">
        <v>228.76</v>
      </c>
      <c r="U243" s="31">
        <v>234</v>
      </c>
      <c r="V243" s="31">
        <v>227.82</v>
      </c>
      <c r="W243" s="31">
        <v>229.35</v>
      </c>
      <c r="X243" s="31">
        <v>229.35</v>
      </c>
      <c r="Y243" s="31" t="s">
        <v>841</v>
      </c>
      <c r="Z243">
        <f t="shared" si="5"/>
        <v>-1.1763185108583325E-2</v>
      </c>
    </row>
    <row r="244" spans="19:26" ht="15" thickBot="1" x14ac:dyDescent="0.35">
      <c r="S244" s="30" t="s">
        <v>842</v>
      </c>
      <c r="T244" s="31">
        <v>229.33</v>
      </c>
      <c r="U244" s="31">
        <v>229.49</v>
      </c>
      <c r="V244" s="31">
        <v>226.07</v>
      </c>
      <c r="W244" s="31">
        <v>229.44</v>
      </c>
      <c r="X244" s="31">
        <v>229.44</v>
      </c>
      <c r="Y244" s="31" t="s">
        <v>843</v>
      </c>
      <c r="Z244">
        <f t="shared" si="5"/>
        <v>3.9241334205364473E-4</v>
      </c>
    </row>
    <row r="245" spans="19:26" ht="15" thickBot="1" x14ac:dyDescent="0.35">
      <c r="S245" s="30" t="s">
        <v>844</v>
      </c>
      <c r="T245" s="31">
        <v>232.87</v>
      </c>
      <c r="U245" s="31">
        <v>234.63</v>
      </c>
      <c r="V245" s="31">
        <v>228.43</v>
      </c>
      <c r="W245" s="31">
        <v>229.88</v>
      </c>
      <c r="X245" s="31">
        <v>229.88</v>
      </c>
      <c r="Y245" s="31" t="s">
        <v>845</v>
      </c>
      <c r="Z245">
        <f t="shared" si="5"/>
        <v>1.9177126917712592E-3</v>
      </c>
    </row>
    <row r="246" spans="19:26" ht="15" thickBot="1" x14ac:dyDescent="0.35">
      <c r="S246" s="30" t="s">
        <v>846</v>
      </c>
      <c r="T246" s="31">
        <v>237.44</v>
      </c>
      <c r="U246" s="31">
        <v>238.42</v>
      </c>
      <c r="V246" s="31">
        <v>232.81</v>
      </c>
      <c r="W246" s="31">
        <v>234.78</v>
      </c>
      <c r="X246" s="31">
        <v>234.78</v>
      </c>
      <c r="Y246" s="31" t="s">
        <v>847</v>
      </c>
      <c r="Z246">
        <f t="shared" si="5"/>
        <v>2.1315468940316711E-2</v>
      </c>
    </row>
    <row r="247" spans="19:26" ht="15" thickBot="1" x14ac:dyDescent="0.35">
      <c r="S247" s="30" t="s">
        <v>848</v>
      </c>
      <c r="T247" s="31">
        <v>241.89</v>
      </c>
      <c r="U247" s="31">
        <v>241.89</v>
      </c>
      <c r="V247" s="31">
        <v>237.82</v>
      </c>
      <c r="W247" s="31">
        <v>238.69</v>
      </c>
      <c r="X247" s="31">
        <v>238.69</v>
      </c>
      <c r="Y247" s="31" t="s">
        <v>849</v>
      </c>
      <c r="Z247">
        <f t="shared" si="5"/>
        <v>1.6653888746911989E-2</v>
      </c>
    </row>
    <row r="248" spans="19:26" ht="15" thickBot="1" x14ac:dyDescent="0.35">
      <c r="S248" s="30" t="s">
        <v>850</v>
      </c>
      <c r="T248" s="31">
        <v>240</v>
      </c>
      <c r="U248" s="31">
        <v>240.95</v>
      </c>
      <c r="V248" s="31">
        <v>238.13</v>
      </c>
      <c r="W248" s="31">
        <v>239.09</v>
      </c>
      <c r="X248" s="31">
        <v>239.09</v>
      </c>
      <c r="Y248" s="31" t="s">
        <v>851</v>
      </c>
      <c r="Z248">
        <f t="shared" si="5"/>
        <v>1.6758138170849457E-3</v>
      </c>
    </row>
    <row r="249" spans="19:26" ht="15" thickBot="1" x14ac:dyDescent="0.35">
      <c r="S249" s="30" t="s">
        <v>852</v>
      </c>
      <c r="T249" s="31">
        <v>244.37</v>
      </c>
      <c r="U249" s="31">
        <v>245.09</v>
      </c>
      <c r="V249" s="31">
        <v>238.65</v>
      </c>
      <c r="W249" s="31">
        <v>239.23</v>
      </c>
      <c r="X249" s="31">
        <v>239.23</v>
      </c>
      <c r="Y249" s="31" t="s">
        <v>853</v>
      </c>
      <c r="Z249">
        <f t="shared" si="5"/>
        <v>5.8555355723780315E-4</v>
      </c>
    </row>
    <row r="250" spans="19:26" ht="15" thickBot="1" x14ac:dyDescent="0.35">
      <c r="S250" s="30" t="s">
        <v>854</v>
      </c>
      <c r="T250" s="31">
        <v>243.66</v>
      </c>
      <c r="U250" s="31">
        <v>245.69</v>
      </c>
      <c r="V250" s="31">
        <v>239.69</v>
      </c>
      <c r="W250" s="31">
        <v>241.89</v>
      </c>
      <c r="X250" s="31">
        <v>241.89</v>
      </c>
      <c r="Y250" s="31" t="s">
        <v>855</v>
      </c>
      <c r="Z250">
        <f t="shared" si="5"/>
        <v>1.1119006813526717E-2</v>
      </c>
    </row>
    <row r="251" spans="19:26" ht="15" thickBot="1" x14ac:dyDescent="0.35">
      <c r="S251" s="30" t="s">
        <v>856</v>
      </c>
      <c r="T251" s="31">
        <v>237.89</v>
      </c>
      <c r="U251" s="31">
        <v>244.91</v>
      </c>
      <c r="V251" s="31">
        <v>236.65</v>
      </c>
      <c r="W251" s="31">
        <v>244.01</v>
      </c>
      <c r="X251" s="31">
        <v>244.01</v>
      </c>
      <c r="Y251" s="31" t="s">
        <v>857</v>
      </c>
      <c r="Z251">
        <f t="shared" si="5"/>
        <v>8.7643143577659458E-3</v>
      </c>
    </row>
    <row r="252" spans="19:26" ht="15" thickBot="1" x14ac:dyDescent="0.35">
      <c r="S252" s="30" t="s">
        <v>858</v>
      </c>
      <c r="T252" s="31">
        <v>224.85</v>
      </c>
      <c r="U252" s="31">
        <v>225.07</v>
      </c>
      <c r="V252" s="31">
        <v>221.32</v>
      </c>
      <c r="W252" s="31">
        <v>223.31</v>
      </c>
      <c r="X252" s="31">
        <v>223.31</v>
      </c>
      <c r="Y252" s="31" t="s">
        <v>859</v>
      </c>
      <c r="Z252">
        <f t="shared" si="5"/>
        <v>-8.4832588828326658E-2</v>
      </c>
    </row>
    <row r="253" spans="19:26" ht="15" thickBot="1" x14ac:dyDescent="0.35">
      <c r="S253" s="30" t="s">
        <v>860</v>
      </c>
      <c r="T253" s="31">
        <v>228.5</v>
      </c>
      <c r="U253" s="31">
        <v>229.42</v>
      </c>
      <c r="V253" s="31">
        <v>226.62</v>
      </c>
      <c r="W253" s="31">
        <v>228.24</v>
      </c>
      <c r="X253" s="31">
        <v>228.24</v>
      </c>
      <c r="Y253" s="31" t="s">
        <v>861</v>
      </c>
      <c r="Z253">
        <f t="shared" si="5"/>
        <v>2.2076933410953414E-2</v>
      </c>
    </row>
    <row r="254" spans="19:26" ht="15" thickBot="1" x14ac:dyDescent="0.35">
      <c r="S254" s="30" t="s">
        <v>862</v>
      </c>
      <c r="T254" s="31">
        <v>226.11</v>
      </c>
      <c r="U254" s="31">
        <v>228.19</v>
      </c>
      <c r="V254" s="31">
        <v>224.8</v>
      </c>
      <c r="W254" s="31">
        <v>225.42</v>
      </c>
      <c r="X254" s="31">
        <v>225.42</v>
      </c>
      <c r="Y254" s="31" t="s">
        <v>863</v>
      </c>
      <c r="Z254">
        <f t="shared" si="5"/>
        <v>-1.2355415352260873E-2</v>
      </c>
    </row>
    <row r="255" spans="19:26" x14ac:dyDescent="0.3">
      <c r="S255" s="30" t="s">
        <v>864</v>
      </c>
      <c r="T255" s="31">
        <v>226.03</v>
      </c>
      <c r="U255" s="31">
        <v>232</v>
      </c>
      <c r="V255" s="31">
        <v>225.74</v>
      </c>
      <c r="W255" s="31">
        <v>230.57</v>
      </c>
      <c r="X255" s="31">
        <v>230.57</v>
      </c>
      <c r="Y255" s="31" t="s">
        <v>865</v>
      </c>
      <c r="Z255">
        <f t="shared" si="5"/>
        <v>2.2846242569425988E-2</v>
      </c>
    </row>
  </sheetData>
  <mergeCells count="1">
    <mergeCell ref="AG3:AG4"/>
  </mergeCells>
  <hyperlinks>
    <hyperlink ref="A2" r:id="rId1" display="https://finance.yahoo.com/quote/BABA230317C00040000?p=BABA230317C00040000" xr:uid="{99D36D24-0BA8-4B72-BE22-084B2120D403}"/>
    <hyperlink ref="C2" r:id="rId2" display="https://finance.yahoo.com/quote/BABA/options?strike=40&amp;straddle=false" xr:uid="{7813CD01-E883-42FC-A11A-57E32111B51B}"/>
    <hyperlink ref="A3" r:id="rId3" display="https://finance.yahoo.com/quote/BABA230317C00050000?p=BABA230317C00050000" xr:uid="{12871AA9-E766-4BA0-A523-CF5F1DCA0914}"/>
    <hyperlink ref="C3" r:id="rId4" display="https://finance.yahoo.com/quote/BABA/options?strike=50&amp;straddle=false" xr:uid="{3368CA27-814D-48E6-8080-FAF736F04FC0}"/>
    <hyperlink ref="A4" r:id="rId5" display="https://finance.yahoo.com/quote/BABA230317C00055000?p=BABA230317C00055000" xr:uid="{C39481D1-B6BC-4DF7-8F0D-D8A47BE18878}"/>
    <hyperlink ref="C4" r:id="rId6" display="https://finance.yahoo.com/quote/BABA/options?strike=55&amp;straddle=false" xr:uid="{D2A5ECAB-68B8-4FAD-AAB0-55BAE60A70E3}"/>
    <hyperlink ref="A5" r:id="rId7" display="https://finance.yahoo.com/quote/BABA230317C00060000?p=BABA230317C00060000" xr:uid="{8B8198B3-081E-4D28-A857-7D8C919427E8}"/>
    <hyperlink ref="C5" r:id="rId8" display="https://finance.yahoo.com/quote/BABA/options?strike=60&amp;straddle=false" xr:uid="{2D533159-6ABE-4A47-AD3F-DF18B056B312}"/>
    <hyperlink ref="A6" r:id="rId9" display="https://finance.yahoo.com/quote/BABA230317C00065000?p=BABA230317C00065000" xr:uid="{B9DC9450-E9E2-4A4B-9210-9A3B55083048}"/>
    <hyperlink ref="C6" r:id="rId10" display="https://finance.yahoo.com/quote/BABA/options?strike=65&amp;straddle=false" xr:uid="{4300D1DA-FD7F-4D7E-B0E0-9EF5C9FC3416}"/>
    <hyperlink ref="A7" r:id="rId11" display="https://finance.yahoo.com/quote/BABA230317C00070000?p=BABA230317C00070000" xr:uid="{77320730-F856-46D0-BC59-6DC7385C8ACE}"/>
    <hyperlink ref="C7" r:id="rId12" display="https://finance.yahoo.com/quote/BABA/options?strike=70&amp;straddle=false" xr:uid="{2C9A2414-EED2-4A3B-8F01-01BC59F21AE2}"/>
    <hyperlink ref="A8" r:id="rId13" display="https://finance.yahoo.com/quote/BABA230317C00075000?p=BABA230317C00075000" xr:uid="{A931C5AB-8D81-4EFD-8E23-AA2E48D381FC}"/>
    <hyperlink ref="C8" r:id="rId14" display="https://finance.yahoo.com/quote/BABA/options?strike=75&amp;straddle=false" xr:uid="{7C059A03-5F54-4108-B336-0EC963D6816C}"/>
    <hyperlink ref="A9" r:id="rId15" display="https://finance.yahoo.com/quote/BABA230317C00080000?p=BABA230317C00080000" xr:uid="{BD17F745-8C03-4D5E-A591-B4F523FD50EE}"/>
    <hyperlink ref="C9" r:id="rId16" display="https://finance.yahoo.com/quote/BABA/options?strike=80&amp;straddle=false" xr:uid="{88B2B934-DD49-4429-9127-D2C53C11CB5D}"/>
    <hyperlink ref="A10" r:id="rId17" display="https://finance.yahoo.com/quote/BABA230317C00085000?p=BABA230317C00085000" xr:uid="{497B811B-9EB8-47D6-9236-E4CDA025C629}"/>
    <hyperlink ref="C10" r:id="rId18" display="https://finance.yahoo.com/quote/BABA/options?strike=85&amp;straddle=false" xr:uid="{7A16A65E-2C9B-41EE-B5F1-E52A2AEA015C}"/>
    <hyperlink ref="A11" r:id="rId19" display="https://finance.yahoo.com/quote/BABA230317C00090000?p=BABA230317C00090000" xr:uid="{ACF5FECA-3BCF-4132-93DA-C0728EE5EB08}"/>
    <hyperlink ref="C11" r:id="rId20" display="https://finance.yahoo.com/quote/BABA/options?strike=90&amp;straddle=false" xr:uid="{0F3BDB7C-624C-40C0-8DB2-D0F476442B7A}"/>
    <hyperlink ref="A12" r:id="rId21" display="https://finance.yahoo.com/quote/BABA230317C00095000?p=BABA230317C00095000" xr:uid="{0C70A727-1651-4A61-BFE6-C8E5BB291E9D}"/>
    <hyperlink ref="C12" r:id="rId22" display="https://finance.yahoo.com/quote/BABA/options?strike=95&amp;straddle=false" xr:uid="{092BB46D-0639-41A0-9384-BBCA730C8BA5}"/>
    <hyperlink ref="A13" r:id="rId23" display="https://finance.yahoo.com/quote/BABA230317C00100000?p=BABA230317C00100000" xr:uid="{6A8033D6-E453-40C0-A105-C71CE829AA90}"/>
    <hyperlink ref="C13" r:id="rId24" display="https://finance.yahoo.com/quote/BABA/options?strike=100&amp;straddle=false" xr:uid="{0F0D2237-EF53-4D60-A3E2-41B12E247224}"/>
    <hyperlink ref="A14" r:id="rId25" display="https://finance.yahoo.com/quote/BABA230317C00105000?p=BABA230317C00105000" xr:uid="{50592B85-EB12-4EDB-95BA-2DA940B813E7}"/>
    <hyperlink ref="C14" r:id="rId26" display="https://finance.yahoo.com/quote/BABA/options?strike=105&amp;straddle=false" xr:uid="{C1FDD240-ADB1-41AF-807B-B8F2D780063E}"/>
    <hyperlink ref="A15" r:id="rId27" display="https://finance.yahoo.com/quote/BABA230317C00110000?p=BABA230317C00110000" xr:uid="{28040B97-FF39-437C-974C-C06F1F48AFBB}"/>
    <hyperlink ref="C15" r:id="rId28" display="https://finance.yahoo.com/quote/BABA/options?strike=110&amp;straddle=false" xr:uid="{97508DE9-43D4-46B5-A912-08E9577812CA}"/>
    <hyperlink ref="A16" r:id="rId29" display="https://finance.yahoo.com/quote/BABA230317C00115000?p=BABA230317C00115000" xr:uid="{50C5093F-86CE-4499-820B-C4FE6611C935}"/>
    <hyperlink ref="C16" r:id="rId30" display="https://finance.yahoo.com/quote/BABA/options?strike=115&amp;straddle=false" xr:uid="{BB8B4348-A15D-4E84-998A-96886C0A6B3D}"/>
    <hyperlink ref="A17" r:id="rId31" display="https://finance.yahoo.com/quote/BABA230317C00120000?p=BABA230317C00120000" xr:uid="{F764E727-DB45-4574-8554-7AC769D7FE28}"/>
    <hyperlink ref="C17" r:id="rId32" display="https://finance.yahoo.com/quote/BABA/options?strike=120&amp;straddle=false" xr:uid="{082F3792-1767-41B4-89E4-1EA18C08FF1E}"/>
    <hyperlink ref="A18" r:id="rId33" display="https://finance.yahoo.com/quote/BABA230317C00125000?p=BABA230317C00125000" xr:uid="{A0EE8F00-F2AD-4899-BA6D-0C7B43DC894E}"/>
    <hyperlink ref="C18" r:id="rId34" display="https://finance.yahoo.com/quote/BABA/options?strike=125&amp;straddle=false" xr:uid="{85662E1F-472F-4655-BCF6-766B821B4E7C}"/>
    <hyperlink ref="A19" r:id="rId35" display="https://finance.yahoo.com/quote/BABA230317C00130000?p=BABA230317C00130000" xr:uid="{CC60EB27-1B91-40EB-AC89-A407D4E84614}"/>
    <hyperlink ref="C19" r:id="rId36" display="https://finance.yahoo.com/quote/BABA/options?strike=130&amp;straddle=false" xr:uid="{CD431755-C4B8-406F-8C71-8E2BED3F4819}"/>
    <hyperlink ref="A20" r:id="rId37" display="https://finance.yahoo.com/quote/BABA230317C00135000?p=BABA230317C00135000" xr:uid="{CE8EBFBE-F0DD-4A39-AB31-A445EE020EEB}"/>
    <hyperlink ref="C20" r:id="rId38" display="https://finance.yahoo.com/quote/BABA/options?strike=135&amp;straddle=false" xr:uid="{8AD82844-D97A-4401-957B-0D93C60FD882}"/>
    <hyperlink ref="A21" r:id="rId39" display="https://finance.yahoo.com/quote/BABA230317C00140000?p=BABA230317C00140000" xr:uid="{CAD6D313-1840-49B1-A20F-D3835193E08D}"/>
    <hyperlink ref="C21" r:id="rId40" display="https://finance.yahoo.com/quote/BABA/options?strike=140&amp;straddle=false" xr:uid="{043FD95D-D76C-406C-81E3-4D3DED164A8C}"/>
    <hyperlink ref="A22" r:id="rId41" display="https://finance.yahoo.com/quote/BABA230317C00145000?p=BABA230317C00145000" xr:uid="{0E2C527F-D641-45F5-895D-252AE32D2D66}"/>
    <hyperlink ref="C22" r:id="rId42" display="https://finance.yahoo.com/quote/BABA/options?strike=145&amp;straddle=false" xr:uid="{18EA66BC-5142-4808-AD05-AE91E7B0C184}"/>
    <hyperlink ref="A23" r:id="rId43" display="https://finance.yahoo.com/quote/BABA230317C00150000?p=BABA230317C00150000" xr:uid="{2A8AAC9B-CFAA-4CE6-AB24-EC49F3B13F64}"/>
    <hyperlink ref="C23" r:id="rId44" display="https://finance.yahoo.com/quote/BABA/options?strike=150&amp;straddle=false" xr:uid="{74882A07-7534-497E-B63F-6366B4B41CA0}"/>
    <hyperlink ref="A24" r:id="rId45" display="https://finance.yahoo.com/quote/BABA230317C00155000?p=BABA230317C00155000" xr:uid="{F8DD1C5A-D3B8-4165-9BC6-93611E19168C}"/>
    <hyperlink ref="C24" r:id="rId46" display="https://finance.yahoo.com/quote/BABA/options?strike=155&amp;straddle=false" xr:uid="{B3D04DFC-92E9-49A3-BB33-A4AC44175A59}"/>
    <hyperlink ref="A25" r:id="rId47" display="https://finance.yahoo.com/quote/BABA230317C00160000?p=BABA230317C00160000" xr:uid="{44FAEF68-2DCD-41DD-B250-5F46F3E14534}"/>
    <hyperlink ref="C25" r:id="rId48" display="https://finance.yahoo.com/quote/BABA/options?strike=160&amp;straddle=false" xr:uid="{8768695A-8BEA-43AB-9864-121A94C767CC}"/>
    <hyperlink ref="A26" r:id="rId49" display="https://finance.yahoo.com/quote/BABA230317C00165000?p=BABA230317C00165000" xr:uid="{44609B5A-3E4A-47C9-A719-CA361DE00530}"/>
    <hyperlink ref="C26" r:id="rId50" display="https://finance.yahoo.com/quote/BABA/options?strike=165&amp;straddle=false" xr:uid="{042DFDB9-A5F3-4033-9761-103BA85E8D37}"/>
    <hyperlink ref="A27" r:id="rId51" display="https://finance.yahoo.com/quote/BABA230317C00170000?p=BABA230317C00170000" xr:uid="{FDB5291B-398A-4D1F-B4C9-ED9EDF906CF0}"/>
    <hyperlink ref="C27" r:id="rId52" display="https://finance.yahoo.com/quote/BABA/options?strike=170&amp;straddle=false" xr:uid="{AE0409E1-AC87-42D9-8E7A-80ED5E526C4C}"/>
    <hyperlink ref="A28" r:id="rId53" display="https://finance.yahoo.com/quote/BABA230317C00175000?p=BABA230317C00175000" xr:uid="{6E5CD284-9CD9-41DA-BF4A-5A4952F56490}"/>
    <hyperlink ref="C28" r:id="rId54" display="https://finance.yahoo.com/quote/BABA/options?strike=175&amp;straddle=false" xr:uid="{8A1CE550-FE56-4FA2-8096-1AD4CFAFA786}"/>
    <hyperlink ref="A29" r:id="rId55" display="https://finance.yahoo.com/quote/BABA230317C00180000?p=BABA230317C00180000" xr:uid="{F7A568EF-FEAB-40A0-8B7B-11FDEAB99EBC}"/>
    <hyperlink ref="C29" r:id="rId56" display="https://finance.yahoo.com/quote/BABA/options?strike=180&amp;straddle=false" xr:uid="{DEE5EAB9-781C-40B1-BBD9-BE3DECA4CB95}"/>
    <hyperlink ref="A30" r:id="rId57" display="https://finance.yahoo.com/quote/BABA230317C00185000?p=BABA230317C00185000" xr:uid="{77937060-633B-47C5-B3FE-570138024825}"/>
    <hyperlink ref="C30" r:id="rId58" display="https://finance.yahoo.com/quote/BABA/options?strike=185&amp;straddle=false" xr:uid="{A226BF47-0479-46F8-992B-F27C127B2E2C}"/>
    <hyperlink ref="A31" r:id="rId59" display="https://finance.yahoo.com/quote/BABA230317C00190000?p=BABA230317C00190000" xr:uid="{36E615AD-7BF5-452B-9D60-B227471B4CBE}"/>
    <hyperlink ref="C31" r:id="rId60" display="https://finance.yahoo.com/quote/BABA/options?strike=190&amp;straddle=false" xr:uid="{A3C502B2-BE50-48AD-BA87-65800EFAC837}"/>
    <hyperlink ref="A32" r:id="rId61" display="https://finance.yahoo.com/quote/BABA230317C00195000?p=BABA230317C00195000" xr:uid="{1A66CC68-C1A1-43EC-9D8E-AFDC6622CA76}"/>
    <hyperlink ref="C32" r:id="rId62" display="https://finance.yahoo.com/quote/BABA/options?strike=195&amp;straddle=false" xr:uid="{087E26D1-DFF6-4FB9-958A-483F3CE7BE78}"/>
    <hyperlink ref="A33" r:id="rId63" display="https://finance.yahoo.com/quote/BABA230317C00200000?p=BABA230317C00200000" xr:uid="{9E6ED824-41A1-49E3-A625-F785EF3F9F03}"/>
    <hyperlink ref="C33" r:id="rId64" display="https://finance.yahoo.com/quote/BABA/options?strike=200&amp;straddle=false" xr:uid="{08D7F813-5A04-4FAD-8443-3FAA82951C83}"/>
    <hyperlink ref="A34" r:id="rId65" display="https://finance.yahoo.com/quote/BABA230317C00205000?p=BABA230317C00205000" xr:uid="{9EDB6D03-E7E8-4FAC-AC7C-38C0EE1630F8}"/>
    <hyperlink ref="C34" r:id="rId66" display="https://finance.yahoo.com/quote/BABA/options?strike=205&amp;straddle=false" xr:uid="{F27668B7-0B2D-42E1-8407-5735FE4DCFBE}"/>
    <hyperlink ref="A35" r:id="rId67" display="https://finance.yahoo.com/quote/BABA230317C00210000?p=BABA230317C00210000" xr:uid="{3805F13C-3212-4B79-9BDD-C71D9F5C77E5}"/>
    <hyperlink ref="C35" r:id="rId68" display="https://finance.yahoo.com/quote/BABA/options?strike=210&amp;straddle=false" xr:uid="{2F574805-D806-46C7-8181-607CBB0DDFEA}"/>
    <hyperlink ref="A36" r:id="rId69" display="https://finance.yahoo.com/quote/BABA230317C00215000?p=BABA230317C00215000" xr:uid="{C526CCDA-6BBC-4B88-8EA4-7A0E2F4B2A92}"/>
    <hyperlink ref="C36" r:id="rId70" display="https://finance.yahoo.com/quote/BABA/options?strike=215&amp;straddle=false" xr:uid="{37B575C0-8CB2-44BD-B3A3-162C8D72754D}"/>
    <hyperlink ref="A37" r:id="rId71" display="https://finance.yahoo.com/quote/BABA230317C00220000?p=BABA230317C00220000" xr:uid="{70226CA4-F32A-4BBF-82F0-3CF22700367F}"/>
    <hyperlink ref="C37" r:id="rId72" display="https://finance.yahoo.com/quote/BABA/options?strike=220&amp;straddle=false" xr:uid="{D9F9C609-00D2-4598-869B-71756B458EEA}"/>
    <hyperlink ref="A38" r:id="rId73" display="https://finance.yahoo.com/quote/BABA230317C00225000?p=BABA230317C00225000" xr:uid="{BF5CF56D-8F59-4DD7-B934-18F1AEE224F0}"/>
    <hyperlink ref="C38" r:id="rId74" display="https://finance.yahoo.com/quote/BABA/options?strike=225&amp;straddle=false" xr:uid="{B9CD6440-FA34-4705-AFC4-2D37D832D127}"/>
    <hyperlink ref="A39" r:id="rId75" display="https://finance.yahoo.com/quote/BABA230317C00230000?p=BABA230317C00230000" xr:uid="{A79133B0-60B5-420B-B7B2-CAEC37CD92AB}"/>
    <hyperlink ref="C39" r:id="rId76" display="https://finance.yahoo.com/quote/BABA/options?strike=230&amp;straddle=false" xr:uid="{3A000B24-C9C9-46A5-9A61-29D3FF6CCE3B}"/>
    <hyperlink ref="A40" r:id="rId77" display="https://finance.yahoo.com/quote/BABA230317C00240000?p=BABA230317C00240000" xr:uid="{9B833FCE-400F-4D73-974F-C4102D4E3572}"/>
    <hyperlink ref="C40" r:id="rId78" display="https://finance.yahoo.com/quote/BABA/options?strike=240&amp;straddle=false" xr:uid="{ED3A657A-150D-4304-886D-59E50AA1FD96}"/>
    <hyperlink ref="A41" r:id="rId79" display="https://finance.yahoo.com/quote/BABA230317C00250000?p=BABA230317C00250000" xr:uid="{9F33F190-E921-4E3D-91F7-87E0D547133B}"/>
    <hyperlink ref="C41" r:id="rId80" display="https://finance.yahoo.com/quote/BABA/options?strike=250&amp;straddle=false" xr:uid="{0D34B039-5D71-4200-8167-54870458C29E}"/>
    <hyperlink ref="A42" r:id="rId81" display="https://finance.yahoo.com/quote/BABA230317C00260000?p=BABA230317C00260000" xr:uid="{AE23F099-7908-4E33-88D8-D78F9E08E8AF}"/>
    <hyperlink ref="C42" r:id="rId82" display="https://finance.yahoo.com/quote/BABA/options?strike=260&amp;straddle=false" xr:uid="{FFED8C43-9EB0-42A0-8FA7-A6EC9A3DB2FA}"/>
  </hyperlinks>
  <pageMargins left="0.7" right="0.7" top="0.75" bottom="0.75" header="0.3" footer="0.3"/>
  <drawing r:id="rId8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2C5EE-5CD7-40C3-8480-FBD1C54F1D64}">
  <sheetPr codeName="Foglio7"/>
  <dimension ref="A1:AG506"/>
  <sheetViews>
    <sheetView workbookViewId="0">
      <selection activeCell="P5" sqref="P5"/>
    </sheetView>
  </sheetViews>
  <sheetFormatPr defaultRowHeight="14.4" x14ac:dyDescent="0.3"/>
  <cols>
    <col min="13" max="13" width="10.5546875" bestFit="1" customWidth="1"/>
    <col min="18" max="18" width="9.77734375" customWidth="1"/>
    <col min="31" max="31" width="9.21875" bestFit="1" customWidth="1"/>
  </cols>
  <sheetData>
    <row r="1" spans="1:33" ht="43.8" thickBot="1" x14ac:dyDescent="0.35">
      <c r="A1" s="21" t="s">
        <v>11</v>
      </c>
      <c r="B1" s="22" t="s">
        <v>12</v>
      </c>
      <c r="C1" s="23" t="s">
        <v>13</v>
      </c>
      <c r="D1" s="22" t="s">
        <v>14</v>
      </c>
      <c r="E1" s="22" t="s">
        <v>15</v>
      </c>
      <c r="F1" s="22" t="s">
        <v>16</v>
      </c>
      <c r="G1" s="22" t="s">
        <v>17</v>
      </c>
      <c r="H1" s="22" t="s">
        <v>18</v>
      </c>
      <c r="I1" s="22" t="s">
        <v>19</v>
      </c>
      <c r="J1" s="22" t="s">
        <v>20</v>
      </c>
      <c r="K1" s="22" t="s">
        <v>21</v>
      </c>
      <c r="L1" s="22" t="s">
        <v>116</v>
      </c>
      <c r="M1" s="22" t="s">
        <v>1078</v>
      </c>
      <c r="O1" s="22" t="s">
        <v>1582</v>
      </c>
      <c r="P1" s="22" t="s">
        <v>1581</v>
      </c>
      <c r="Q1" t="s">
        <v>337</v>
      </c>
      <c r="R1" t="s">
        <v>338</v>
      </c>
      <c r="S1" s="27" t="s">
        <v>119</v>
      </c>
      <c r="T1" s="28" t="s">
        <v>120</v>
      </c>
      <c r="U1" s="28" t="s">
        <v>121</v>
      </c>
      <c r="V1" s="28" t="s">
        <v>122</v>
      </c>
      <c r="W1" s="28" t="s">
        <v>123</v>
      </c>
      <c r="X1" s="29" t="s">
        <v>124</v>
      </c>
      <c r="Y1" s="28" t="s">
        <v>19</v>
      </c>
      <c r="Z1" s="28" t="s">
        <v>336</v>
      </c>
    </row>
    <row r="2" spans="1:33" ht="58.2" thickBot="1" x14ac:dyDescent="0.35">
      <c r="A2" s="17" t="s">
        <v>992</v>
      </c>
      <c r="B2" s="24" t="s">
        <v>917</v>
      </c>
      <c r="C2" s="18">
        <v>40</v>
      </c>
      <c r="D2" s="24">
        <v>71.849999999999994</v>
      </c>
      <c r="E2" s="24">
        <v>70.3</v>
      </c>
      <c r="F2" s="24">
        <v>73.849999999999994</v>
      </c>
      <c r="G2" s="24">
        <v>-3.15</v>
      </c>
      <c r="H2" s="25">
        <v>-4.2000000000000003E-2</v>
      </c>
      <c r="I2" s="24">
        <v>2</v>
      </c>
      <c r="J2" s="24">
        <v>1.6140000000000001</v>
      </c>
      <c r="K2" s="26">
        <v>0.74099999999999999</v>
      </c>
      <c r="L2">
        <f>AVERAGE(E2,F2)</f>
        <v>72.074999999999989</v>
      </c>
      <c r="M2">
        <f>24/12</f>
        <v>2</v>
      </c>
      <c r="O2">
        <v>2.6533500000000001</v>
      </c>
      <c r="P2">
        <v>0.54342999999999997</v>
      </c>
      <c r="Q2">
        <f>_xlfn.STDEV.S(Z3:Z506)</f>
        <v>3.1623514170739254E-2</v>
      </c>
      <c r="R2">
        <f>Q2*SQRT(252)</f>
        <v>0.50200772446621822</v>
      </c>
      <c r="S2" s="30" t="s">
        <v>254</v>
      </c>
      <c r="T2" s="31">
        <v>115</v>
      </c>
      <c r="U2" s="31">
        <v>115</v>
      </c>
      <c r="V2" s="31">
        <v>110.23</v>
      </c>
      <c r="W2" s="31">
        <v>111</v>
      </c>
      <c r="X2" s="31">
        <v>111</v>
      </c>
      <c r="Y2" s="31" t="s">
        <v>255</v>
      </c>
      <c r="AD2" s="46"/>
      <c r="AE2" s="46" t="s">
        <v>1583</v>
      </c>
      <c r="AF2" s="46" t="s">
        <v>1584</v>
      </c>
      <c r="AG2" s="46" t="s">
        <v>116</v>
      </c>
    </row>
    <row r="3" spans="1:33" ht="58.2" thickBot="1" x14ac:dyDescent="0.35">
      <c r="A3" s="17" t="s">
        <v>993</v>
      </c>
      <c r="B3" s="24" t="s">
        <v>536</v>
      </c>
      <c r="C3" s="18">
        <v>45</v>
      </c>
      <c r="D3" s="24">
        <v>76.95</v>
      </c>
      <c r="E3" s="24">
        <v>66.75</v>
      </c>
      <c r="F3" s="24">
        <v>68.95</v>
      </c>
      <c r="G3" s="24">
        <v>0</v>
      </c>
      <c r="H3" s="24" t="s">
        <v>22</v>
      </c>
      <c r="I3" s="24">
        <v>2</v>
      </c>
      <c r="J3" s="24">
        <v>117</v>
      </c>
      <c r="K3" s="26">
        <v>0.70089999999999997</v>
      </c>
      <c r="L3">
        <f t="shared" ref="L3:L53" si="0">AVERAGE(E3,F3)</f>
        <v>67.849999999999994</v>
      </c>
      <c r="M3" s="20">
        <v>45310</v>
      </c>
      <c r="R3">
        <f>R2</f>
        <v>0.50200772446621822</v>
      </c>
      <c r="S3" s="30" t="s">
        <v>125</v>
      </c>
      <c r="T3" s="31">
        <v>115.7</v>
      </c>
      <c r="U3" s="31">
        <v>118.22</v>
      </c>
      <c r="V3" s="31">
        <v>113.38</v>
      </c>
      <c r="W3" s="31">
        <v>117.5</v>
      </c>
      <c r="X3" s="31">
        <v>117.5</v>
      </c>
      <c r="Y3" s="31" t="s">
        <v>126</v>
      </c>
      <c r="Z3">
        <f>(X3-X2)/X2</f>
        <v>5.8558558558558557E-2</v>
      </c>
      <c r="AD3" s="46" t="s">
        <v>1585</v>
      </c>
      <c r="AE3" s="46" cm="1">
        <f t="array" ref="AE3">BSCall('T=1m'!$N$2,$C$16,O2,$R$2,$M$2)</f>
        <v>110.35459117843108</v>
      </c>
      <c r="AF3" s="46" cm="1">
        <f t="array" ref="AF3">BSCall('T=1m'!$N$2,$C$16,P2,$R$2,$M$2)</f>
        <v>74.95640820655882</v>
      </c>
      <c r="AG3" s="59">
        <f>L16</f>
        <v>29.725000000000001</v>
      </c>
    </row>
    <row r="4" spans="1:33" ht="58.2" thickBot="1" x14ac:dyDescent="0.35">
      <c r="A4" s="17" t="s">
        <v>994</v>
      </c>
      <c r="B4" s="24" t="s">
        <v>995</v>
      </c>
      <c r="C4" s="18">
        <v>50</v>
      </c>
      <c r="D4" s="24">
        <v>64.05</v>
      </c>
      <c r="E4" s="24">
        <v>63.1</v>
      </c>
      <c r="F4" s="24">
        <v>65.900000000000006</v>
      </c>
      <c r="G4" s="24">
        <v>-9.5500000000000007</v>
      </c>
      <c r="H4" s="25">
        <v>-0.1298</v>
      </c>
      <c r="I4" s="24">
        <v>3</v>
      </c>
      <c r="J4" s="24">
        <v>6.5330000000000004</v>
      </c>
      <c r="K4" s="26">
        <v>0.69769999999999999</v>
      </c>
      <c r="L4">
        <f t="shared" si="0"/>
        <v>64.5</v>
      </c>
      <c r="R4">
        <f t="shared" ref="R4:R53" si="1">R3</f>
        <v>0.50200772446621822</v>
      </c>
      <c r="S4" s="30" t="s">
        <v>127</v>
      </c>
      <c r="T4" s="31">
        <v>117.62</v>
      </c>
      <c r="U4" s="31">
        <v>118.95</v>
      </c>
      <c r="V4" s="31">
        <v>109.75</v>
      </c>
      <c r="W4" s="31">
        <v>110.2</v>
      </c>
      <c r="X4" s="31">
        <v>110.2</v>
      </c>
      <c r="Y4" s="31" t="s">
        <v>128</v>
      </c>
      <c r="Z4">
        <f t="shared" ref="Z4:Z67" si="2">(X4-X3)/X3</f>
        <v>-6.2127659574468058E-2</v>
      </c>
      <c r="AD4" s="46" t="s">
        <v>1586</v>
      </c>
      <c r="AE4" s="46" cm="1">
        <f t="array" ref="AE4">BSCall('T=1m'!$N$2,$C$16,O2,$K$16,$M$2)</f>
        <v>110.35459117843457</v>
      </c>
      <c r="AF4" s="46" cm="1">
        <f t="array" ref="AF4">BSCall('T=1m'!$N$2,$C$16,P2,$K$16,$M$2)</f>
        <v>75.514419144421041</v>
      </c>
      <c r="AG4" s="59"/>
    </row>
    <row r="5" spans="1:33" ht="58.2" thickBot="1" x14ac:dyDescent="0.35">
      <c r="A5" s="17" t="s">
        <v>996</v>
      </c>
      <c r="B5" s="24" t="s">
        <v>997</v>
      </c>
      <c r="C5" s="18">
        <v>55</v>
      </c>
      <c r="D5" s="24">
        <v>71</v>
      </c>
      <c r="E5" s="24">
        <v>59.6</v>
      </c>
      <c r="F5" s="24">
        <v>61.45</v>
      </c>
      <c r="G5" s="24">
        <v>0</v>
      </c>
      <c r="H5" s="24" t="s">
        <v>22</v>
      </c>
      <c r="I5" s="24">
        <v>2</v>
      </c>
      <c r="J5" s="24">
        <v>106</v>
      </c>
      <c r="K5" s="26">
        <v>0.66610000000000003</v>
      </c>
      <c r="L5">
        <f t="shared" si="0"/>
        <v>60.525000000000006</v>
      </c>
      <c r="R5">
        <f t="shared" si="1"/>
        <v>0.50200772446621822</v>
      </c>
      <c r="S5" s="30" t="s">
        <v>129</v>
      </c>
      <c r="T5" s="31">
        <v>115.03</v>
      </c>
      <c r="U5" s="31">
        <v>115.09</v>
      </c>
      <c r="V5" s="31">
        <v>108.71</v>
      </c>
      <c r="W5" s="31">
        <v>108.8</v>
      </c>
      <c r="X5" s="31">
        <v>108.8</v>
      </c>
      <c r="Y5" s="31" t="s">
        <v>130</v>
      </c>
      <c r="Z5">
        <f t="shared" si="2"/>
        <v>-1.2704174228675187E-2</v>
      </c>
    </row>
    <row r="6" spans="1:33" ht="58.2" thickBot="1" x14ac:dyDescent="0.35">
      <c r="A6" s="17" t="s">
        <v>998</v>
      </c>
      <c r="B6" s="24" t="s">
        <v>999</v>
      </c>
      <c r="C6" s="18">
        <v>60</v>
      </c>
      <c r="D6" s="24">
        <v>61.71</v>
      </c>
      <c r="E6" s="24">
        <v>56.15</v>
      </c>
      <c r="F6" s="24">
        <v>58.1</v>
      </c>
      <c r="G6" s="24">
        <v>0</v>
      </c>
      <c r="H6" s="24" t="s">
        <v>22</v>
      </c>
      <c r="I6" s="24">
        <v>3</v>
      </c>
      <c r="J6" s="24">
        <v>329</v>
      </c>
      <c r="K6" s="26">
        <v>0.6532</v>
      </c>
      <c r="L6">
        <f t="shared" si="0"/>
        <v>57.125</v>
      </c>
      <c r="R6">
        <f t="shared" si="1"/>
        <v>0.50200772446621822</v>
      </c>
      <c r="S6" s="30" t="s">
        <v>131</v>
      </c>
      <c r="T6" s="31">
        <v>115.54</v>
      </c>
      <c r="U6" s="31">
        <v>120.1</v>
      </c>
      <c r="V6" s="31">
        <v>115.54</v>
      </c>
      <c r="W6" s="31">
        <v>116.58</v>
      </c>
      <c r="X6" s="31">
        <v>116.58</v>
      </c>
      <c r="Y6" s="31" t="s">
        <v>132</v>
      </c>
      <c r="Z6">
        <f t="shared" si="2"/>
        <v>7.150735294117648E-2</v>
      </c>
    </row>
    <row r="7" spans="1:33" ht="58.2" thickBot="1" x14ac:dyDescent="0.35">
      <c r="A7" s="17" t="s">
        <v>1000</v>
      </c>
      <c r="B7" s="24" t="s">
        <v>1001</v>
      </c>
      <c r="C7" s="18">
        <v>65</v>
      </c>
      <c r="D7" s="24">
        <v>53.5</v>
      </c>
      <c r="E7" s="24">
        <v>52.5</v>
      </c>
      <c r="F7" s="24">
        <v>54.5</v>
      </c>
      <c r="G7" s="24">
        <v>-2.5</v>
      </c>
      <c r="H7" s="25">
        <v>-4.4600000000000001E-2</v>
      </c>
      <c r="I7" s="24">
        <v>1</v>
      </c>
      <c r="J7" s="24">
        <v>189</v>
      </c>
      <c r="K7" s="26">
        <v>0.63070000000000004</v>
      </c>
      <c r="L7">
        <f t="shared" si="0"/>
        <v>53.5</v>
      </c>
      <c r="R7">
        <f t="shared" si="1"/>
        <v>0.50200772446621822</v>
      </c>
      <c r="S7" s="30" t="s">
        <v>133</v>
      </c>
      <c r="T7" s="31">
        <v>118.36</v>
      </c>
      <c r="U7" s="31">
        <v>119.6</v>
      </c>
      <c r="V7" s="31">
        <v>115.74</v>
      </c>
      <c r="W7" s="31">
        <v>116.71</v>
      </c>
      <c r="X7" s="31">
        <v>116.71</v>
      </c>
      <c r="Y7" s="31" t="s">
        <v>134</v>
      </c>
      <c r="Z7">
        <f t="shared" si="2"/>
        <v>1.1151140847486315E-3</v>
      </c>
    </row>
    <row r="8" spans="1:33" ht="58.2" thickBot="1" x14ac:dyDescent="0.35">
      <c r="A8" s="17" t="s">
        <v>1002</v>
      </c>
      <c r="B8" s="24" t="s">
        <v>906</v>
      </c>
      <c r="C8" s="18">
        <v>70</v>
      </c>
      <c r="D8" s="24">
        <v>49.52</v>
      </c>
      <c r="E8" s="24">
        <v>49.65</v>
      </c>
      <c r="F8" s="24">
        <v>51</v>
      </c>
      <c r="G8" s="24">
        <v>-5.35</v>
      </c>
      <c r="H8" s="25">
        <v>-9.7500000000000003E-2</v>
      </c>
      <c r="I8" s="24">
        <v>2</v>
      </c>
      <c r="J8" s="24">
        <v>850</v>
      </c>
      <c r="K8" s="26">
        <v>0.61909999999999998</v>
      </c>
      <c r="L8">
        <f t="shared" si="0"/>
        <v>50.325000000000003</v>
      </c>
      <c r="R8">
        <f t="shared" si="1"/>
        <v>0.50200772446621822</v>
      </c>
      <c r="S8" s="30" t="s">
        <v>135</v>
      </c>
      <c r="T8" s="31">
        <v>113.86</v>
      </c>
      <c r="U8" s="31">
        <v>116.23</v>
      </c>
      <c r="V8" s="31">
        <v>111.92</v>
      </c>
      <c r="W8" s="31">
        <v>115.09</v>
      </c>
      <c r="X8" s="31">
        <v>115.09</v>
      </c>
      <c r="Y8" s="31" t="s">
        <v>136</v>
      </c>
      <c r="Z8">
        <f t="shared" si="2"/>
        <v>-1.3880558649644336E-2</v>
      </c>
    </row>
    <row r="9" spans="1:33" ht="58.2" thickBot="1" x14ac:dyDescent="0.35">
      <c r="A9" s="17" t="s">
        <v>1003</v>
      </c>
      <c r="B9" s="24" t="s">
        <v>1004</v>
      </c>
      <c r="C9" s="18">
        <v>75</v>
      </c>
      <c r="D9" s="24">
        <v>45.93</v>
      </c>
      <c r="E9" s="24">
        <v>46.5</v>
      </c>
      <c r="F9" s="24">
        <v>47.9</v>
      </c>
      <c r="G9" s="24">
        <v>-4.21</v>
      </c>
      <c r="H9" s="25">
        <v>-8.4000000000000005E-2</v>
      </c>
      <c r="I9" s="24">
        <v>401</v>
      </c>
      <c r="J9" s="24">
        <v>885</v>
      </c>
      <c r="K9" s="26">
        <v>0.60629999999999995</v>
      </c>
      <c r="L9">
        <f t="shared" si="0"/>
        <v>47.2</v>
      </c>
      <c r="R9">
        <f t="shared" si="1"/>
        <v>0.50200772446621822</v>
      </c>
      <c r="S9" s="30" t="s">
        <v>137</v>
      </c>
      <c r="T9" s="31">
        <v>110.53</v>
      </c>
      <c r="U9" s="31">
        <v>113.86</v>
      </c>
      <c r="V9" s="31">
        <v>109.4</v>
      </c>
      <c r="W9" s="31">
        <v>112.99</v>
      </c>
      <c r="X9" s="31">
        <v>112.99</v>
      </c>
      <c r="Y9" s="31" t="s">
        <v>138</v>
      </c>
      <c r="Z9">
        <f t="shared" si="2"/>
        <v>-1.8246589625510543E-2</v>
      </c>
    </row>
    <row r="10" spans="1:33" ht="58.2" thickBot="1" x14ac:dyDescent="0.35">
      <c r="A10" s="17" t="s">
        <v>1005</v>
      </c>
      <c r="B10" s="24" t="s">
        <v>1006</v>
      </c>
      <c r="C10" s="18">
        <v>80</v>
      </c>
      <c r="D10" s="24">
        <v>43.9</v>
      </c>
      <c r="E10" s="24">
        <v>43.55</v>
      </c>
      <c r="F10" s="24">
        <v>45.05</v>
      </c>
      <c r="G10" s="24">
        <v>-3.7</v>
      </c>
      <c r="H10" s="25">
        <v>-7.7700000000000005E-2</v>
      </c>
      <c r="I10" s="24">
        <v>18</v>
      </c>
      <c r="J10" s="24">
        <v>798</v>
      </c>
      <c r="K10" s="26">
        <v>0.59650000000000003</v>
      </c>
      <c r="L10">
        <f t="shared" si="0"/>
        <v>44.3</v>
      </c>
      <c r="R10">
        <f t="shared" si="1"/>
        <v>0.50200772446621822</v>
      </c>
      <c r="S10" s="30" t="s">
        <v>139</v>
      </c>
      <c r="T10" s="31">
        <v>112.86</v>
      </c>
      <c r="U10" s="31">
        <v>116.5</v>
      </c>
      <c r="V10" s="31">
        <v>110.82</v>
      </c>
      <c r="W10" s="31">
        <v>115.15</v>
      </c>
      <c r="X10" s="31">
        <v>115.15</v>
      </c>
      <c r="Y10" s="31" t="s">
        <v>140</v>
      </c>
      <c r="Z10">
        <f t="shared" si="2"/>
        <v>1.9116735994335877E-2</v>
      </c>
    </row>
    <row r="11" spans="1:33" ht="58.2" thickBot="1" x14ac:dyDescent="0.35">
      <c r="A11" s="17" t="s">
        <v>1007</v>
      </c>
      <c r="B11" s="24" t="s">
        <v>381</v>
      </c>
      <c r="C11" s="18">
        <v>85</v>
      </c>
      <c r="D11" s="24">
        <v>44.57</v>
      </c>
      <c r="E11" s="24">
        <v>40.35</v>
      </c>
      <c r="F11" s="24">
        <v>42.1</v>
      </c>
      <c r="G11" s="24">
        <v>0</v>
      </c>
      <c r="H11" s="24" t="s">
        <v>22</v>
      </c>
      <c r="I11" s="24">
        <v>1</v>
      </c>
      <c r="J11" s="24">
        <v>596</v>
      </c>
      <c r="K11" s="26">
        <v>0.5806</v>
      </c>
      <c r="L11">
        <f t="shared" si="0"/>
        <v>41.225000000000001</v>
      </c>
      <c r="R11">
        <f t="shared" si="1"/>
        <v>0.50200772446621822</v>
      </c>
      <c r="S11" s="30" t="s">
        <v>141</v>
      </c>
      <c r="T11" s="31">
        <v>115.7</v>
      </c>
      <c r="U11" s="31">
        <v>124.11</v>
      </c>
      <c r="V11" s="31">
        <v>112.68</v>
      </c>
      <c r="W11" s="31">
        <v>117.24</v>
      </c>
      <c r="X11" s="31">
        <v>117.24</v>
      </c>
      <c r="Y11" s="31" t="s">
        <v>142</v>
      </c>
      <c r="Z11">
        <f t="shared" si="2"/>
        <v>1.8150238818931734E-2</v>
      </c>
    </row>
    <row r="12" spans="1:33" ht="58.2" thickBot="1" x14ac:dyDescent="0.35">
      <c r="A12" s="17" t="s">
        <v>1008</v>
      </c>
      <c r="B12" s="24" t="s">
        <v>1009</v>
      </c>
      <c r="C12" s="18">
        <v>90</v>
      </c>
      <c r="D12" s="24">
        <v>39.31</v>
      </c>
      <c r="E12" s="24">
        <v>37.799999999999997</v>
      </c>
      <c r="F12" s="24">
        <v>39.4</v>
      </c>
      <c r="G12" s="24">
        <v>-2.29</v>
      </c>
      <c r="H12" s="25">
        <v>-5.5E-2</v>
      </c>
      <c r="I12" s="24">
        <v>29</v>
      </c>
      <c r="J12" s="24">
        <v>916</v>
      </c>
      <c r="K12" s="26">
        <v>0.57250000000000001</v>
      </c>
      <c r="L12">
        <f t="shared" si="0"/>
        <v>38.599999999999994</v>
      </c>
      <c r="R12">
        <f t="shared" si="1"/>
        <v>0.50200772446621822</v>
      </c>
      <c r="S12" s="30" t="s">
        <v>143</v>
      </c>
      <c r="T12" s="31">
        <v>114.01</v>
      </c>
      <c r="U12" s="31">
        <v>118.24</v>
      </c>
      <c r="V12" s="31">
        <v>112.37</v>
      </c>
      <c r="W12" s="31">
        <v>114.99</v>
      </c>
      <c r="X12" s="31">
        <v>114.99</v>
      </c>
      <c r="Y12" s="31" t="s">
        <v>144</v>
      </c>
      <c r="Z12">
        <f t="shared" si="2"/>
        <v>-1.9191402251791199E-2</v>
      </c>
    </row>
    <row r="13" spans="1:33" ht="58.2" thickBot="1" x14ac:dyDescent="0.35">
      <c r="A13" s="17" t="s">
        <v>1010</v>
      </c>
      <c r="B13" s="24" t="s">
        <v>1011</v>
      </c>
      <c r="C13" s="18">
        <v>95</v>
      </c>
      <c r="D13" s="24">
        <v>36.5</v>
      </c>
      <c r="E13" s="24">
        <v>36.1</v>
      </c>
      <c r="F13" s="24">
        <v>37.200000000000003</v>
      </c>
      <c r="G13" s="24">
        <v>-6.75</v>
      </c>
      <c r="H13" s="25">
        <v>-0.15609999999999999</v>
      </c>
      <c r="I13" s="24">
        <v>44</v>
      </c>
      <c r="J13" s="24">
        <v>333</v>
      </c>
      <c r="K13" s="26">
        <v>0.57589999999999997</v>
      </c>
      <c r="L13">
        <f t="shared" si="0"/>
        <v>36.650000000000006</v>
      </c>
      <c r="R13">
        <f t="shared" si="1"/>
        <v>0.50200772446621822</v>
      </c>
      <c r="S13" s="30" t="s">
        <v>145</v>
      </c>
      <c r="T13" s="31">
        <v>102.81</v>
      </c>
      <c r="U13" s="31">
        <v>105.68</v>
      </c>
      <c r="V13" s="31">
        <v>98.7</v>
      </c>
      <c r="W13" s="31">
        <v>103.59</v>
      </c>
      <c r="X13" s="31">
        <v>103.59</v>
      </c>
      <c r="Y13" s="31" t="s">
        <v>146</v>
      </c>
      <c r="Z13">
        <f t="shared" si="2"/>
        <v>-9.9139055570049497E-2</v>
      </c>
    </row>
    <row r="14" spans="1:33" ht="58.2" thickBot="1" x14ac:dyDescent="0.35">
      <c r="A14" s="17" t="s">
        <v>1012</v>
      </c>
      <c r="B14" s="24" t="s">
        <v>1013</v>
      </c>
      <c r="C14" s="18">
        <v>100</v>
      </c>
      <c r="D14" s="24">
        <v>33.85</v>
      </c>
      <c r="E14" s="24">
        <v>33.15</v>
      </c>
      <c r="F14" s="24">
        <v>34.6</v>
      </c>
      <c r="G14" s="24">
        <v>-2.62</v>
      </c>
      <c r="H14" s="25">
        <v>-7.1800000000000003E-2</v>
      </c>
      <c r="I14" s="24">
        <v>23</v>
      </c>
      <c r="J14" s="24">
        <v>5.0789999999999997</v>
      </c>
      <c r="K14" s="26">
        <v>0.56030000000000002</v>
      </c>
      <c r="L14">
        <f t="shared" si="0"/>
        <v>33.875</v>
      </c>
      <c r="R14">
        <f t="shared" si="1"/>
        <v>0.50200772446621822</v>
      </c>
      <c r="S14" s="30" t="s">
        <v>147</v>
      </c>
      <c r="T14" s="31">
        <v>100.5</v>
      </c>
      <c r="U14" s="31">
        <v>111.74</v>
      </c>
      <c r="V14" s="31">
        <v>99.6</v>
      </c>
      <c r="W14" s="31">
        <v>108.3</v>
      </c>
      <c r="X14" s="31">
        <v>108.3</v>
      </c>
      <c r="Y14" s="31" t="s">
        <v>148</v>
      </c>
      <c r="Z14">
        <f t="shared" si="2"/>
        <v>4.5467709238343409E-2</v>
      </c>
    </row>
    <row r="15" spans="1:33" ht="58.2" thickBot="1" x14ac:dyDescent="0.35">
      <c r="A15" s="17" t="s">
        <v>1014</v>
      </c>
      <c r="B15" s="24" t="s">
        <v>1015</v>
      </c>
      <c r="C15" s="18">
        <v>105</v>
      </c>
      <c r="D15" s="24">
        <v>31.6</v>
      </c>
      <c r="E15" s="24">
        <v>31.3</v>
      </c>
      <c r="F15" s="24">
        <v>32.299999999999997</v>
      </c>
      <c r="G15" s="24">
        <v>-2.36</v>
      </c>
      <c r="H15" s="25">
        <v>-6.9500000000000006E-2</v>
      </c>
      <c r="I15" s="24">
        <v>2</v>
      </c>
      <c r="J15" s="24">
        <v>1.554</v>
      </c>
      <c r="K15" s="26">
        <v>0.55659999999999998</v>
      </c>
      <c r="L15">
        <f t="shared" si="0"/>
        <v>31.799999999999997</v>
      </c>
      <c r="R15">
        <f t="shared" si="1"/>
        <v>0.50200772446621822</v>
      </c>
      <c r="S15" s="30" t="s">
        <v>149</v>
      </c>
      <c r="T15" s="31">
        <v>99.14</v>
      </c>
      <c r="U15" s="31">
        <v>101.89</v>
      </c>
      <c r="V15" s="31">
        <v>95.77</v>
      </c>
      <c r="W15" s="31">
        <v>100.37</v>
      </c>
      <c r="X15" s="31">
        <v>100.37</v>
      </c>
      <c r="Y15" s="31" t="s">
        <v>150</v>
      </c>
      <c r="Z15">
        <f t="shared" si="2"/>
        <v>-7.3222530009233538E-2</v>
      </c>
    </row>
    <row r="16" spans="1:33" ht="58.2" thickBot="1" x14ac:dyDescent="0.35">
      <c r="A16" s="40" t="s">
        <v>1016</v>
      </c>
      <c r="B16" s="41" t="s">
        <v>1017</v>
      </c>
      <c r="C16" s="42">
        <v>110</v>
      </c>
      <c r="D16" s="41">
        <v>28.7</v>
      </c>
      <c r="E16" s="41">
        <v>29.25</v>
      </c>
      <c r="F16" s="41">
        <v>30.2</v>
      </c>
      <c r="G16" s="41">
        <v>-3.3</v>
      </c>
      <c r="H16" s="43">
        <v>-0.1031</v>
      </c>
      <c r="I16" s="41">
        <v>14</v>
      </c>
      <c r="J16" s="41">
        <v>1.657</v>
      </c>
      <c r="K16" s="47">
        <v>0.55079999999999996</v>
      </c>
      <c r="L16" s="48">
        <f t="shared" si="0"/>
        <v>29.725000000000001</v>
      </c>
      <c r="M16" s="39"/>
      <c r="R16">
        <f t="shared" si="1"/>
        <v>0.50200772446621822</v>
      </c>
      <c r="S16" s="30" t="s">
        <v>151</v>
      </c>
      <c r="T16" s="31">
        <v>92</v>
      </c>
      <c r="U16" s="31">
        <v>105.74</v>
      </c>
      <c r="V16" s="31">
        <v>87.12</v>
      </c>
      <c r="W16" s="31">
        <v>104.98</v>
      </c>
      <c r="X16" s="31">
        <v>104.98</v>
      </c>
      <c r="Y16" s="31" t="s">
        <v>152</v>
      </c>
      <c r="Z16">
        <f t="shared" si="2"/>
        <v>4.5930058782504724E-2</v>
      </c>
    </row>
    <row r="17" spans="1:26" ht="58.2" thickBot="1" x14ac:dyDescent="0.35">
      <c r="A17" s="17" t="s">
        <v>1018</v>
      </c>
      <c r="B17" s="24" t="s">
        <v>1019</v>
      </c>
      <c r="C17" s="18">
        <v>115</v>
      </c>
      <c r="D17" s="24">
        <v>27.85</v>
      </c>
      <c r="E17" s="24">
        <v>26.95</v>
      </c>
      <c r="F17" s="24">
        <v>28.15</v>
      </c>
      <c r="G17" s="24">
        <v>-1.91</v>
      </c>
      <c r="H17" s="25">
        <v>-6.4199999999999993E-2</v>
      </c>
      <c r="I17" s="24">
        <v>94</v>
      </c>
      <c r="J17" s="24">
        <v>1.649</v>
      </c>
      <c r="K17" s="26">
        <v>0.54139999999999999</v>
      </c>
      <c r="L17">
        <f t="shared" si="0"/>
        <v>27.549999999999997</v>
      </c>
      <c r="R17">
        <f t="shared" si="1"/>
        <v>0.50200772446621822</v>
      </c>
      <c r="S17" s="30" t="s">
        <v>153</v>
      </c>
      <c r="T17" s="31">
        <v>75.099999999999994</v>
      </c>
      <c r="U17" s="31">
        <v>80.14</v>
      </c>
      <c r="V17" s="31">
        <v>73.28</v>
      </c>
      <c r="W17" s="31">
        <v>76.760000000000005</v>
      </c>
      <c r="X17" s="31">
        <v>76.760000000000005</v>
      </c>
      <c r="Y17" s="31" t="s">
        <v>154</v>
      </c>
      <c r="Z17">
        <f t="shared" si="2"/>
        <v>-0.26881310725852542</v>
      </c>
    </row>
    <row r="18" spans="1:26" ht="58.2" thickBot="1" x14ac:dyDescent="0.35">
      <c r="A18" s="17" t="s">
        <v>1020</v>
      </c>
      <c r="B18" s="24" t="s">
        <v>925</v>
      </c>
      <c r="C18" s="18">
        <v>120</v>
      </c>
      <c r="D18" s="24">
        <v>25.58</v>
      </c>
      <c r="E18" s="24">
        <v>25.4</v>
      </c>
      <c r="F18" s="24">
        <v>26.5</v>
      </c>
      <c r="G18" s="24">
        <v>-2.25</v>
      </c>
      <c r="H18" s="25">
        <v>-8.0799999999999997E-2</v>
      </c>
      <c r="I18" s="24">
        <v>92</v>
      </c>
      <c r="J18" s="24">
        <v>4.0069999999999997</v>
      </c>
      <c r="K18" s="26">
        <v>0.54059999999999997</v>
      </c>
      <c r="L18">
        <f t="shared" si="0"/>
        <v>25.95</v>
      </c>
      <c r="R18">
        <f t="shared" si="1"/>
        <v>0.50200772446621822</v>
      </c>
      <c r="S18" s="30" t="s">
        <v>155</v>
      </c>
      <c r="T18" s="31">
        <v>80.7</v>
      </c>
      <c r="U18" s="31">
        <v>82.45</v>
      </c>
      <c r="V18" s="31">
        <v>77.08</v>
      </c>
      <c r="W18" s="31">
        <v>77.760000000000005</v>
      </c>
      <c r="X18" s="31">
        <v>77.760000000000005</v>
      </c>
      <c r="Y18" s="31" t="s">
        <v>156</v>
      </c>
      <c r="Z18">
        <f t="shared" si="2"/>
        <v>1.3027618551328815E-2</v>
      </c>
    </row>
    <row r="19" spans="1:26" ht="58.2" thickBot="1" x14ac:dyDescent="0.35">
      <c r="A19" s="17" t="s">
        <v>1021</v>
      </c>
      <c r="B19" s="24" t="s">
        <v>1013</v>
      </c>
      <c r="C19" s="18">
        <v>125</v>
      </c>
      <c r="D19" s="24">
        <v>23.9</v>
      </c>
      <c r="E19" s="24">
        <v>23.35</v>
      </c>
      <c r="F19" s="24">
        <v>24.7</v>
      </c>
      <c r="G19" s="24">
        <v>-2.2999999999999998</v>
      </c>
      <c r="H19" s="25">
        <v>-8.7800000000000003E-2</v>
      </c>
      <c r="I19" s="24">
        <v>7</v>
      </c>
      <c r="J19" s="24">
        <v>1.5189999999999999</v>
      </c>
      <c r="K19" s="26">
        <v>0.53239999999999998</v>
      </c>
      <c r="L19">
        <f t="shared" si="0"/>
        <v>24.024999999999999</v>
      </c>
      <c r="R19">
        <f t="shared" si="1"/>
        <v>0.50200772446621822</v>
      </c>
      <c r="S19" s="30" t="s">
        <v>157</v>
      </c>
      <c r="T19" s="31">
        <v>93.26</v>
      </c>
      <c r="U19" s="31">
        <v>93.95</v>
      </c>
      <c r="V19" s="31">
        <v>86.68</v>
      </c>
      <c r="W19" s="31">
        <v>86.71</v>
      </c>
      <c r="X19" s="31">
        <v>86.71</v>
      </c>
      <c r="Y19" s="31" t="s">
        <v>158</v>
      </c>
      <c r="Z19">
        <f t="shared" si="2"/>
        <v>0.11509773662551424</v>
      </c>
    </row>
    <row r="20" spans="1:26" ht="58.2" thickBot="1" x14ac:dyDescent="0.35">
      <c r="A20" s="17" t="s">
        <v>1022</v>
      </c>
      <c r="B20" s="24" t="s">
        <v>1015</v>
      </c>
      <c r="C20" s="18">
        <v>130</v>
      </c>
      <c r="D20" s="24">
        <v>22.52</v>
      </c>
      <c r="E20" s="24">
        <v>22.25</v>
      </c>
      <c r="F20" s="24">
        <v>23.1</v>
      </c>
      <c r="G20" s="24">
        <v>-2.56</v>
      </c>
      <c r="H20" s="25">
        <v>-0.1021</v>
      </c>
      <c r="I20" s="24">
        <v>14</v>
      </c>
      <c r="J20" s="24">
        <v>1.927</v>
      </c>
      <c r="K20" s="26">
        <v>0.53269999999999995</v>
      </c>
      <c r="L20">
        <f t="shared" si="0"/>
        <v>22.675000000000001</v>
      </c>
      <c r="R20">
        <f t="shared" si="1"/>
        <v>0.50200772446621822</v>
      </c>
      <c r="S20" s="30" t="s">
        <v>159</v>
      </c>
      <c r="T20" s="31">
        <v>95.19</v>
      </c>
      <c r="U20" s="31">
        <v>95.7</v>
      </c>
      <c r="V20" s="31">
        <v>90.82</v>
      </c>
      <c r="W20" s="31">
        <v>92.92</v>
      </c>
      <c r="X20" s="31">
        <v>92.92</v>
      </c>
      <c r="Y20" s="31" t="s">
        <v>160</v>
      </c>
      <c r="Z20">
        <f t="shared" si="2"/>
        <v>7.1618037135278617E-2</v>
      </c>
    </row>
    <row r="21" spans="1:26" ht="58.2" thickBot="1" x14ac:dyDescent="0.35">
      <c r="A21" s="17" t="s">
        <v>1023</v>
      </c>
      <c r="B21" s="24" t="s">
        <v>1024</v>
      </c>
      <c r="C21" s="18">
        <v>135</v>
      </c>
      <c r="D21" s="24">
        <v>21</v>
      </c>
      <c r="E21" s="24">
        <v>20.65</v>
      </c>
      <c r="F21" s="24">
        <v>21.6</v>
      </c>
      <c r="G21" s="24">
        <v>-2.0099999999999998</v>
      </c>
      <c r="H21" s="25">
        <v>-8.7400000000000005E-2</v>
      </c>
      <c r="I21" s="24">
        <v>10</v>
      </c>
      <c r="J21" s="24">
        <v>1.798</v>
      </c>
      <c r="K21" s="26">
        <v>0.52790000000000004</v>
      </c>
      <c r="L21">
        <f t="shared" si="0"/>
        <v>21.125</v>
      </c>
      <c r="R21">
        <f t="shared" si="1"/>
        <v>0.50200772446621822</v>
      </c>
      <c r="S21" s="30" t="s">
        <v>161</v>
      </c>
      <c r="T21" s="31">
        <v>100.26</v>
      </c>
      <c r="U21" s="31">
        <v>100.97</v>
      </c>
      <c r="V21" s="31">
        <v>98.32</v>
      </c>
      <c r="W21" s="31">
        <v>100.93</v>
      </c>
      <c r="X21" s="31">
        <v>100.93</v>
      </c>
      <c r="Y21" s="31" t="s">
        <v>162</v>
      </c>
      <c r="Z21">
        <f t="shared" si="2"/>
        <v>8.6203185535944957E-2</v>
      </c>
    </row>
    <row r="22" spans="1:26" ht="58.2" thickBot="1" x14ac:dyDescent="0.35">
      <c r="A22" s="17" t="s">
        <v>1025</v>
      </c>
      <c r="B22" s="24" t="s">
        <v>1024</v>
      </c>
      <c r="C22" s="18">
        <v>140</v>
      </c>
      <c r="D22" s="24">
        <v>19.75</v>
      </c>
      <c r="E22" s="24">
        <v>19.100000000000001</v>
      </c>
      <c r="F22" s="24">
        <v>20.3</v>
      </c>
      <c r="G22" s="24">
        <v>-1.82</v>
      </c>
      <c r="H22" s="25">
        <v>-8.4400000000000003E-2</v>
      </c>
      <c r="I22" s="24">
        <v>7</v>
      </c>
      <c r="J22" s="24">
        <v>1.1859999999999999</v>
      </c>
      <c r="K22" s="26">
        <v>0.52390000000000003</v>
      </c>
      <c r="L22">
        <f t="shared" si="0"/>
        <v>19.700000000000003</v>
      </c>
      <c r="R22">
        <f t="shared" si="1"/>
        <v>0.50200772446621822</v>
      </c>
      <c r="S22" s="30" t="s">
        <v>163</v>
      </c>
      <c r="T22" s="31">
        <v>99.32</v>
      </c>
      <c r="U22" s="31">
        <v>100.91</v>
      </c>
      <c r="V22" s="31">
        <v>95.57</v>
      </c>
      <c r="W22" s="31">
        <v>97.5</v>
      </c>
      <c r="X22" s="31">
        <v>97.5</v>
      </c>
      <c r="Y22" s="31" t="s">
        <v>164</v>
      </c>
      <c r="Z22">
        <f t="shared" si="2"/>
        <v>-3.3983949271772583E-2</v>
      </c>
    </row>
    <row r="23" spans="1:26" ht="58.2" thickBot="1" x14ac:dyDescent="0.35">
      <c r="A23" s="17" t="s">
        <v>1026</v>
      </c>
      <c r="B23" s="24" t="s">
        <v>889</v>
      </c>
      <c r="C23" s="18">
        <v>145</v>
      </c>
      <c r="D23" s="24">
        <v>18.55</v>
      </c>
      <c r="E23" s="24">
        <v>17.8</v>
      </c>
      <c r="F23" s="24">
        <v>19</v>
      </c>
      <c r="G23" s="24">
        <v>-1.35</v>
      </c>
      <c r="H23" s="25">
        <v>-6.7799999999999999E-2</v>
      </c>
      <c r="I23" s="24">
        <v>3</v>
      </c>
      <c r="J23" s="24">
        <v>686</v>
      </c>
      <c r="K23" s="26">
        <v>0.52080000000000004</v>
      </c>
      <c r="L23">
        <f t="shared" si="0"/>
        <v>18.399999999999999</v>
      </c>
      <c r="R23">
        <f t="shared" si="1"/>
        <v>0.50200772446621822</v>
      </c>
      <c r="S23" s="30" t="s">
        <v>165</v>
      </c>
      <c r="T23" s="31">
        <v>99.56</v>
      </c>
      <c r="U23" s="31">
        <v>103.36</v>
      </c>
      <c r="V23" s="31">
        <v>98.6</v>
      </c>
      <c r="W23" s="31">
        <v>98.66</v>
      </c>
      <c r="X23" s="31">
        <v>98.66</v>
      </c>
      <c r="Y23" s="31" t="s">
        <v>166</v>
      </c>
      <c r="Z23">
        <f t="shared" si="2"/>
        <v>1.1897435897435863E-2</v>
      </c>
    </row>
    <row r="24" spans="1:26" ht="58.2" thickBot="1" x14ac:dyDescent="0.35">
      <c r="A24" s="17" t="s">
        <v>1027</v>
      </c>
      <c r="B24" s="24" t="s">
        <v>895</v>
      </c>
      <c r="C24" s="18">
        <v>150</v>
      </c>
      <c r="D24" s="24">
        <v>17.2</v>
      </c>
      <c r="E24" s="24">
        <v>17</v>
      </c>
      <c r="F24" s="24">
        <v>17.600000000000001</v>
      </c>
      <c r="G24" s="24">
        <v>-1.3</v>
      </c>
      <c r="H24" s="25">
        <v>-7.0300000000000001E-2</v>
      </c>
      <c r="I24" s="24">
        <v>17</v>
      </c>
      <c r="J24" s="24">
        <v>4.5570000000000004</v>
      </c>
      <c r="K24" s="26">
        <v>0.51980000000000004</v>
      </c>
      <c r="L24">
        <f t="shared" si="0"/>
        <v>17.3</v>
      </c>
      <c r="R24">
        <f t="shared" si="1"/>
        <v>0.50200772446621822</v>
      </c>
      <c r="S24" s="30" t="s">
        <v>256</v>
      </c>
      <c r="T24" s="31">
        <v>100.29</v>
      </c>
      <c r="U24" s="31">
        <v>104.39</v>
      </c>
      <c r="V24" s="31">
        <v>99.33</v>
      </c>
      <c r="W24" s="31">
        <v>100.6</v>
      </c>
      <c r="X24" s="31">
        <v>100.6</v>
      </c>
      <c r="Y24" s="31" t="s">
        <v>257</v>
      </c>
      <c r="Z24">
        <f t="shared" si="2"/>
        <v>1.9663490776403787E-2</v>
      </c>
    </row>
    <row r="25" spans="1:26" ht="58.2" thickBot="1" x14ac:dyDescent="0.35">
      <c r="A25" s="17" t="s">
        <v>1028</v>
      </c>
      <c r="B25" s="24" t="s">
        <v>1029</v>
      </c>
      <c r="C25" s="18">
        <v>155</v>
      </c>
      <c r="D25" s="24">
        <v>16.36</v>
      </c>
      <c r="E25" s="24">
        <v>15.25</v>
      </c>
      <c r="F25" s="24">
        <v>16.399999999999999</v>
      </c>
      <c r="G25" s="24">
        <v>-1.1399999999999999</v>
      </c>
      <c r="H25" s="25">
        <v>-6.5100000000000005E-2</v>
      </c>
      <c r="I25" s="24">
        <v>2</v>
      </c>
      <c r="J25" s="24">
        <v>640</v>
      </c>
      <c r="K25" s="26">
        <v>0.51100000000000001</v>
      </c>
      <c r="L25">
        <f t="shared" si="0"/>
        <v>15.824999999999999</v>
      </c>
      <c r="R25">
        <f t="shared" si="1"/>
        <v>0.50200772446621822</v>
      </c>
      <c r="S25" s="30" t="s">
        <v>258</v>
      </c>
      <c r="T25" s="31">
        <v>106.03</v>
      </c>
      <c r="U25" s="31">
        <v>106.63</v>
      </c>
      <c r="V25" s="31">
        <v>101.07</v>
      </c>
      <c r="W25" s="31">
        <v>102.05</v>
      </c>
      <c r="X25" s="31">
        <v>102.05</v>
      </c>
      <c r="Y25" s="31" t="s">
        <v>259</v>
      </c>
      <c r="Z25">
        <f t="shared" si="2"/>
        <v>1.441351888667995E-2</v>
      </c>
    </row>
    <row r="26" spans="1:26" ht="58.2" thickBot="1" x14ac:dyDescent="0.35">
      <c r="A26" s="17" t="s">
        <v>1030</v>
      </c>
      <c r="B26" s="24" t="s">
        <v>1031</v>
      </c>
      <c r="C26" s="18">
        <v>160</v>
      </c>
      <c r="D26" s="24">
        <v>16.25</v>
      </c>
      <c r="E26" s="24">
        <v>14.25</v>
      </c>
      <c r="F26" s="24">
        <v>15.35</v>
      </c>
      <c r="G26" s="24">
        <v>0</v>
      </c>
      <c r="H26" s="24" t="s">
        <v>22</v>
      </c>
      <c r="I26" s="24">
        <v>2</v>
      </c>
      <c r="J26" s="24">
        <v>2.9929999999999999</v>
      </c>
      <c r="K26" s="26">
        <v>0.50890000000000002</v>
      </c>
      <c r="L26">
        <f t="shared" si="0"/>
        <v>14.8</v>
      </c>
      <c r="R26">
        <f t="shared" si="1"/>
        <v>0.50200772446621822</v>
      </c>
      <c r="S26" s="30" t="s">
        <v>260</v>
      </c>
      <c r="T26" s="31">
        <v>107.39</v>
      </c>
      <c r="U26" s="31">
        <v>107.39</v>
      </c>
      <c r="V26" s="31">
        <v>103.24</v>
      </c>
      <c r="W26" s="31">
        <v>105.42</v>
      </c>
      <c r="X26" s="31">
        <v>105.42</v>
      </c>
      <c r="Y26" s="31" t="s">
        <v>261</v>
      </c>
      <c r="Z26">
        <f t="shared" si="2"/>
        <v>3.302302792748657E-2</v>
      </c>
    </row>
    <row r="27" spans="1:26" ht="58.2" thickBot="1" x14ac:dyDescent="0.35">
      <c r="A27" s="17" t="s">
        <v>1032</v>
      </c>
      <c r="B27" s="24" t="s">
        <v>359</v>
      </c>
      <c r="C27" s="18">
        <v>165</v>
      </c>
      <c r="D27" s="24">
        <v>14.4</v>
      </c>
      <c r="E27" s="24">
        <v>13.7</v>
      </c>
      <c r="F27" s="24">
        <v>14.35</v>
      </c>
      <c r="G27" s="24">
        <v>-1.55</v>
      </c>
      <c r="H27" s="25">
        <v>-9.7199999999999995E-2</v>
      </c>
      <c r="I27" s="24">
        <v>1</v>
      </c>
      <c r="J27" s="24">
        <v>868</v>
      </c>
      <c r="K27" s="26">
        <v>0.51029999999999998</v>
      </c>
      <c r="L27">
        <f t="shared" si="0"/>
        <v>14.024999999999999</v>
      </c>
      <c r="R27">
        <f t="shared" si="1"/>
        <v>0.50200772446621822</v>
      </c>
      <c r="S27" s="30" t="s">
        <v>262</v>
      </c>
      <c r="T27" s="31">
        <v>105.85</v>
      </c>
      <c r="U27" s="31">
        <v>111.25</v>
      </c>
      <c r="V27" s="31">
        <v>105.85</v>
      </c>
      <c r="W27" s="31">
        <v>107.09</v>
      </c>
      <c r="X27" s="31">
        <v>107.09</v>
      </c>
      <c r="Y27" s="31" t="s">
        <v>263</v>
      </c>
      <c r="Z27">
        <f t="shared" si="2"/>
        <v>1.5841396319483985E-2</v>
      </c>
    </row>
    <row r="28" spans="1:26" ht="58.2" thickBot="1" x14ac:dyDescent="0.35">
      <c r="A28" s="17" t="s">
        <v>1033</v>
      </c>
      <c r="B28" s="24" t="s">
        <v>1034</v>
      </c>
      <c r="C28" s="18">
        <v>170</v>
      </c>
      <c r="D28" s="24">
        <v>12.8</v>
      </c>
      <c r="E28" s="24">
        <v>12.85</v>
      </c>
      <c r="F28" s="24">
        <v>13.4</v>
      </c>
      <c r="G28" s="24">
        <v>-1.8</v>
      </c>
      <c r="H28" s="25">
        <v>-0.12330000000000001</v>
      </c>
      <c r="I28" s="24">
        <v>10</v>
      </c>
      <c r="J28" s="24">
        <v>1.758</v>
      </c>
      <c r="K28" s="26">
        <v>0.50839999999999996</v>
      </c>
      <c r="L28">
        <f t="shared" si="0"/>
        <v>13.125</v>
      </c>
      <c r="R28">
        <f t="shared" si="1"/>
        <v>0.50200772446621822</v>
      </c>
      <c r="S28" s="30" t="s">
        <v>264</v>
      </c>
      <c r="T28" s="31">
        <v>105.97</v>
      </c>
      <c r="U28" s="31">
        <v>107.49</v>
      </c>
      <c r="V28" s="31">
        <v>103.64</v>
      </c>
      <c r="W28" s="31">
        <v>105.19</v>
      </c>
      <c r="X28" s="31">
        <v>105.19</v>
      </c>
      <c r="Y28" s="31" t="s">
        <v>265</v>
      </c>
      <c r="Z28">
        <f t="shared" si="2"/>
        <v>-1.7742086095807318E-2</v>
      </c>
    </row>
    <row r="29" spans="1:26" ht="58.2" thickBot="1" x14ac:dyDescent="0.35">
      <c r="A29" s="17" t="s">
        <v>1035</v>
      </c>
      <c r="B29" s="24" t="s">
        <v>1036</v>
      </c>
      <c r="C29" s="18">
        <v>175</v>
      </c>
      <c r="D29" s="24">
        <v>13.1</v>
      </c>
      <c r="E29" s="24">
        <v>11.7</v>
      </c>
      <c r="F29" s="24">
        <v>12.55</v>
      </c>
      <c r="G29" s="24">
        <v>0</v>
      </c>
      <c r="H29" s="24" t="s">
        <v>22</v>
      </c>
      <c r="I29" s="24">
        <v>17</v>
      </c>
      <c r="J29" s="24">
        <v>570</v>
      </c>
      <c r="K29" s="26">
        <v>0.50349999999999995</v>
      </c>
      <c r="L29">
        <f t="shared" si="0"/>
        <v>12.125</v>
      </c>
      <c r="R29">
        <f t="shared" si="1"/>
        <v>0.50200772446621822</v>
      </c>
      <c r="S29" s="30" t="s">
        <v>266</v>
      </c>
      <c r="T29" s="31">
        <v>107.89</v>
      </c>
      <c r="U29" s="31">
        <v>108.55</v>
      </c>
      <c r="V29" s="31">
        <v>104</v>
      </c>
      <c r="W29" s="31">
        <v>107.94</v>
      </c>
      <c r="X29" s="31">
        <v>107.94</v>
      </c>
      <c r="Y29" s="31" t="s">
        <v>267</v>
      </c>
      <c r="Z29">
        <f t="shared" si="2"/>
        <v>2.6143169502804448E-2</v>
      </c>
    </row>
    <row r="30" spans="1:26" ht="58.2" thickBot="1" x14ac:dyDescent="0.35">
      <c r="A30" s="17" t="s">
        <v>1037</v>
      </c>
      <c r="B30" s="24" t="s">
        <v>379</v>
      </c>
      <c r="C30" s="18">
        <v>180</v>
      </c>
      <c r="D30" s="24">
        <v>11.52</v>
      </c>
      <c r="E30" s="24">
        <v>11.15</v>
      </c>
      <c r="F30" s="24">
        <v>11.7</v>
      </c>
      <c r="G30" s="24">
        <v>-1.0900000000000001</v>
      </c>
      <c r="H30" s="25">
        <v>-8.6400000000000005E-2</v>
      </c>
      <c r="I30" s="24">
        <v>2</v>
      </c>
      <c r="J30" s="24">
        <v>1.5569999999999999</v>
      </c>
      <c r="K30" s="26">
        <v>0.50339999999999996</v>
      </c>
      <c r="L30">
        <f t="shared" si="0"/>
        <v>11.425000000000001</v>
      </c>
      <c r="R30">
        <f t="shared" si="1"/>
        <v>0.50200772446621822</v>
      </c>
      <c r="S30" s="30" t="s">
        <v>268</v>
      </c>
      <c r="T30" s="31">
        <v>100.07</v>
      </c>
      <c r="U30" s="31">
        <v>108.95</v>
      </c>
      <c r="V30" s="31">
        <v>100.02</v>
      </c>
      <c r="W30" s="31">
        <v>108.93</v>
      </c>
      <c r="X30" s="31">
        <v>108.93</v>
      </c>
      <c r="Y30" s="31" t="s">
        <v>269</v>
      </c>
      <c r="Z30">
        <f t="shared" si="2"/>
        <v>9.1717620900501114E-3</v>
      </c>
    </row>
    <row r="31" spans="1:26" ht="58.2" thickBot="1" x14ac:dyDescent="0.35">
      <c r="A31" s="17" t="s">
        <v>1038</v>
      </c>
      <c r="B31" s="24" t="s">
        <v>1039</v>
      </c>
      <c r="C31" s="18">
        <v>185</v>
      </c>
      <c r="D31" s="24">
        <v>10.35</v>
      </c>
      <c r="E31" s="24">
        <v>10.15</v>
      </c>
      <c r="F31" s="24">
        <v>11</v>
      </c>
      <c r="G31" s="24">
        <v>-1.48</v>
      </c>
      <c r="H31" s="25">
        <v>-0.12509999999999999</v>
      </c>
      <c r="I31" s="24">
        <v>1</v>
      </c>
      <c r="J31" s="24">
        <v>240</v>
      </c>
      <c r="K31" s="26">
        <v>0.50770000000000004</v>
      </c>
      <c r="L31">
        <f t="shared" si="0"/>
        <v>10.574999999999999</v>
      </c>
      <c r="R31">
        <f t="shared" si="1"/>
        <v>0.50200772446621822</v>
      </c>
      <c r="S31" s="30" t="s">
        <v>270</v>
      </c>
      <c r="T31" s="31">
        <v>115.1</v>
      </c>
      <c r="U31" s="31">
        <v>115.4</v>
      </c>
      <c r="V31" s="31">
        <v>109.6</v>
      </c>
      <c r="W31" s="31">
        <v>109.72</v>
      </c>
      <c r="X31" s="31">
        <v>109.72</v>
      </c>
      <c r="Y31" s="31" t="s">
        <v>271</v>
      </c>
      <c r="Z31">
        <f t="shared" si="2"/>
        <v>7.252363903424144E-3</v>
      </c>
    </row>
    <row r="32" spans="1:26" ht="58.2" thickBot="1" x14ac:dyDescent="0.35">
      <c r="A32" s="17" t="s">
        <v>1040</v>
      </c>
      <c r="B32" s="24" t="s">
        <v>1041</v>
      </c>
      <c r="C32" s="18">
        <v>190</v>
      </c>
      <c r="D32" s="24">
        <v>12.55</v>
      </c>
      <c r="E32" s="24">
        <v>9.4</v>
      </c>
      <c r="F32" s="24">
        <v>10.35</v>
      </c>
      <c r="G32" s="24">
        <v>0</v>
      </c>
      <c r="H32" s="24" t="s">
        <v>22</v>
      </c>
      <c r="I32" s="24">
        <v>12</v>
      </c>
      <c r="J32" s="24">
        <v>595</v>
      </c>
      <c r="K32" s="26">
        <v>0.50690000000000002</v>
      </c>
      <c r="L32">
        <f t="shared" si="0"/>
        <v>9.875</v>
      </c>
      <c r="R32">
        <f t="shared" si="1"/>
        <v>0.50200772446621822</v>
      </c>
      <c r="S32" s="30" t="s">
        <v>272</v>
      </c>
      <c r="T32" s="31">
        <v>114</v>
      </c>
      <c r="U32" s="31">
        <v>114.85</v>
      </c>
      <c r="V32" s="31">
        <v>112.06</v>
      </c>
      <c r="W32" s="31">
        <v>112.93</v>
      </c>
      <c r="X32" s="31">
        <v>112.93</v>
      </c>
      <c r="Y32" s="31" t="s">
        <v>273</v>
      </c>
      <c r="Z32">
        <f t="shared" si="2"/>
        <v>2.9256288734961795E-2</v>
      </c>
    </row>
    <row r="33" spans="1:26" ht="58.2" thickBot="1" x14ac:dyDescent="0.35">
      <c r="A33" s="17" t="s">
        <v>1042</v>
      </c>
      <c r="B33" s="24" t="s">
        <v>995</v>
      </c>
      <c r="C33" s="18">
        <v>195</v>
      </c>
      <c r="D33" s="24">
        <v>9.23</v>
      </c>
      <c r="E33" s="24">
        <v>9.0500000000000007</v>
      </c>
      <c r="F33" s="24">
        <v>9.65</v>
      </c>
      <c r="G33" s="24">
        <v>-1.3</v>
      </c>
      <c r="H33" s="25">
        <v>-0.1235</v>
      </c>
      <c r="I33" s="24">
        <v>20</v>
      </c>
      <c r="J33" s="24">
        <v>516</v>
      </c>
      <c r="K33" s="26">
        <v>0.50429999999999997</v>
      </c>
      <c r="L33">
        <f t="shared" si="0"/>
        <v>9.3500000000000014</v>
      </c>
      <c r="R33">
        <f t="shared" si="1"/>
        <v>0.50200772446621822</v>
      </c>
      <c r="S33" s="30" t="s">
        <v>274</v>
      </c>
      <c r="T33" s="31">
        <v>120.88</v>
      </c>
      <c r="U33" s="31">
        <v>120.88</v>
      </c>
      <c r="V33" s="31">
        <v>117.2</v>
      </c>
      <c r="W33" s="31">
        <v>118.99</v>
      </c>
      <c r="X33" s="31">
        <v>118.99</v>
      </c>
      <c r="Y33" s="31" t="s">
        <v>275</v>
      </c>
      <c r="Z33">
        <f t="shared" si="2"/>
        <v>5.3661560258567144E-2</v>
      </c>
    </row>
    <row r="34" spans="1:26" ht="58.2" thickBot="1" x14ac:dyDescent="0.35">
      <c r="A34" s="17" t="s">
        <v>1043</v>
      </c>
      <c r="B34" s="24" t="s">
        <v>1039</v>
      </c>
      <c r="C34" s="18">
        <v>200</v>
      </c>
      <c r="D34" s="24">
        <v>8.6</v>
      </c>
      <c r="E34" s="24">
        <v>8.6</v>
      </c>
      <c r="F34" s="24">
        <v>9.0500000000000007</v>
      </c>
      <c r="G34" s="24">
        <v>-1</v>
      </c>
      <c r="H34" s="25">
        <v>-0.1042</v>
      </c>
      <c r="I34" s="24">
        <v>29</v>
      </c>
      <c r="J34" s="24">
        <v>7.92</v>
      </c>
      <c r="K34" s="26">
        <v>0.50290000000000001</v>
      </c>
      <c r="L34">
        <f t="shared" si="0"/>
        <v>8.8249999999999993</v>
      </c>
      <c r="R34">
        <f t="shared" si="1"/>
        <v>0.50200772446621822</v>
      </c>
      <c r="S34" s="30" t="s">
        <v>276</v>
      </c>
      <c r="T34" s="31">
        <v>125</v>
      </c>
      <c r="U34" s="31">
        <v>129.4</v>
      </c>
      <c r="V34" s="31">
        <v>124.06</v>
      </c>
      <c r="W34" s="31">
        <v>124.43</v>
      </c>
      <c r="X34" s="31">
        <v>124.43</v>
      </c>
      <c r="Y34" s="31" t="s">
        <v>277</v>
      </c>
      <c r="Z34">
        <f t="shared" si="2"/>
        <v>4.5718127573745798E-2</v>
      </c>
    </row>
    <row r="35" spans="1:26" ht="58.2" thickBot="1" x14ac:dyDescent="0.35">
      <c r="A35" s="17" t="s">
        <v>1044</v>
      </c>
      <c r="B35" s="24" t="s">
        <v>1045</v>
      </c>
      <c r="C35" s="18">
        <v>210</v>
      </c>
      <c r="D35" s="24">
        <v>8.8000000000000007</v>
      </c>
      <c r="E35" s="24">
        <v>7.15</v>
      </c>
      <c r="F35" s="24">
        <v>7.95</v>
      </c>
      <c r="G35" s="24">
        <v>0</v>
      </c>
      <c r="H35" s="24" t="s">
        <v>22</v>
      </c>
      <c r="I35" s="24">
        <v>2</v>
      </c>
      <c r="J35" s="24">
        <v>577</v>
      </c>
      <c r="K35" s="26">
        <v>0.49990000000000001</v>
      </c>
      <c r="L35">
        <f t="shared" si="0"/>
        <v>7.5500000000000007</v>
      </c>
      <c r="R35">
        <f t="shared" si="1"/>
        <v>0.50200772446621822</v>
      </c>
      <c r="S35" s="30" t="s">
        <v>278</v>
      </c>
      <c r="T35" s="31">
        <v>125.61</v>
      </c>
      <c r="U35" s="31">
        <v>127.58</v>
      </c>
      <c r="V35" s="31">
        <v>124.51</v>
      </c>
      <c r="W35" s="31">
        <v>125.56</v>
      </c>
      <c r="X35" s="31">
        <v>125.56</v>
      </c>
      <c r="Y35" s="31" t="s">
        <v>279</v>
      </c>
      <c r="Z35">
        <f t="shared" si="2"/>
        <v>9.0814112352326243E-3</v>
      </c>
    </row>
    <row r="36" spans="1:26" ht="58.2" thickBot="1" x14ac:dyDescent="0.35">
      <c r="A36" s="17" t="s">
        <v>1046</v>
      </c>
      <c r="B36" s="24" t="s">
        <v>1047</v>
      </c>
      <c r="C36" s="18">
        <v>220</v>
      </c>
      <c r="D36" s="24">
        <v>8</v>
      </c>
      <c r="E36" s="24">
        <v>6.8</v>
      </c>
      <c r="F36" s="24">
        <v>7.2</v>
      </c>
      <c r="G36" s="24">
        <v>0</v>
      </c>
      <c r="H36" s="24" t="s">
        <v>22</v>
      </c>
      <c r="I36" s="24">
        <v>6</v>
      </c>
      <c r="J36" s="24">
        <v>592</v>
      </c>
      <c r="K36" s="26">
        <v>0.502</v>
      </c>
      <c r="L36">
        <f t="shared" si="0"/>
        <v>7</v>
      </c>
      <c r="R36">
        <f t="shared" si="1"/>
        <v>0.50200772446621822</v>
      </c>
      <c r="S36" s="30" t="s">
        <v>280</v>
      </c>
      <c r="T36" s="31">
        <v>123.77</v>
      </c>
      <c r="U36" s="31">
        <v>126.81</v>
      </c>
      <c r="V36" s="31">
        <v>123.38</v>
      </c>
      <c r="W36" s="31">
        <v>126.24</v>
      </c>
      <c r="X36" s="31">
        <v>126.24</v>
      </c>
      <c r="Y36" s="31" t="s">
        <v>281</v>
      </c>
      <c r="Z36">
        <f t="shared" si="2"/>
        <v>5.415737496017781E-3</v>
      </c>
    </row>
    <row r="37" spans="1:26" ht="58.2" thickBot="1" x14ac:dyDescent="0.35">
      <c r="A37" s="17" t="s">
        <v>1048</v>
      </c>
      <c r="B37" s="24" t="s">
        <v>1039</v>
      </c>
      <c r="C37" s="18">
        <v>230</v>
      </c>
      <c r="D37" s="24">
        <v>6</v>
      </c>
      <c r="E37" s="24">
        <v>5.8</v>
      </c>
      <c r="F37" s="24">
        <v>6.4</v>
      </c>
      <c r="G37" s="24">
        <v>-1.82</v>
      </c>
      <c r="H37" s="25">
        <v>-0.23269999999999999</v>
      </c>
      <c r="I37" s="24">
        <v>1</v>
      </c>
      <c r="J37" s="24">
        <v>1.381</v>
      </c>
      <c r="K37" s="26">
        <v>0.50080000000000002</v>
      </c>
      <c r="L37">
        <f t="shared" si="0"/>
        <v>6.1</v>
      </c>
      <c r="R37">
        <f t="shared" si="1"/>
        <v>0.50200772446621822</v>
      </c>
      <c r="S37" s="30" t="s">
        <v>282</v>
      </c>
      <c r="T37" s="31">
        <v>120.56</v>
      </c>
      <c r="U37" s="31">
        <v>122.38</v>
      </c>
      <c r="V37" s="31">
        <v>119.37</v>
      </c>
      <c r="W37" s="31">
        <v>121.92</v>
      </c>
      <c r="X37" s="31">
        <v>121.92</v>
      </c>
      <c r="Y37" s="31" t="s">
        <v>283</v>
      </c>
      <c r="Z37">
        <f t="shared" si="2"/>
        <v>-3.4220532319391581E-2</v>
      </c>
    </row>
    <row r="38" spans="1:26" ht="58.2" thickBot="1" x14ac:dyDescent="0.35">
      <c r="A38" s="17" t="s">
        <v>1049</v>
      </c>
      <c r="B38" s="24" t="s">
        <v>1050</v>
      </c>
      <c r="C38" s="18">
        <v>235</v>
      </c>
      <c r="D38" s="24">
        <v>6.75</v>
      </c>
      <c r="E38" s="24">
        <v>5.35</v>
      </c>
      <c r="F38" s="24">
        <v>5.95</v>
      </c>
      <c r="G38" s="24">
        <v>0</v>
      </c>
      <c r="H38" s="24" t="s">
        <v>22</v>
      </c>
      <c r="I38" s="24">
        <v>1</v>
      </c>
      <c r="J38" s="24">
        <v>146</v>
      </c>
      <c r="K38" s="26">
        <v>0.498</v>
      </c>
      <c r="L38">
        <f t="shared" si="0"/>
        <v>5.65</v>
      </c>
      <c r="R38">
        <f t="shared" si="1"/>
        <v>0.50200772446621822</v>
      </c>
      <c r="S38" s="30" t="s">
        <v>284</v>
      </c>
      <c r="T38" s="31">
        <v>125.33</v>
      </c>
      <c r="U38" s="31">
        <v>126.72</v>
      </c>
      <c r="V38" s="31">
        <v>121.94</v>
      </c>
      <c r="W38" s="31">
        <v>122.25</v>
      </c>
      <c r="X38" s="31">
        <v>122.25</v>
      </c>
      <c r="Y38" s="31" t="s">
        <v>285</v>
      </c>
      <c r="Z38">
        <f t="shared" si="2"/>
        <v>2.7066929133858129E-3</v>
      </c>
    </row>
    <row r="39" spans="1:26" ht="58.2" thickBot="1" x14ac:dyDescent="0.35">
      <c r="A39" s="17" t="s">
        <v>1051</v>
      </c>
      <c r="B39" s="24" t="s">
        <v>1052</v>
      </c>
      <c r="C39" s="18">
        <v>240</v>
      </c>
      <c r="D39" s="24">
        <v>6</v>
      </c>
      <c r="E39" s="24">
        <v>5.15</v>
      </c>
      <c r="F39" s="24">
        <v>5.65</v>
      </c>
      <c r="G39" s="24">
        <v>0</v>
      </c>
      <c r="H39" s="24" t="s">
        <v>22</v>
      </c>
      <c r="I39" s="24">
        <v>1</v>
      </c>
      <c r="J39" s="24">
        <v>1.23</v>
      </c>
      <c r="K39" s="26">
        <v>0.49840000000000001</v>
      </c>
      <c r="L39">
        <f t="shared" si="0"/>
        <v>5.4</v>
      </c>
      <c r="R39">
        <f t="shared" si="1"/>
        <v>0.50200772446621822</v>
      </c>
      <c r="S39" s="30" t="s">
        <v>286</v>
      </c>
      <c r="T39" s="31">
        <v>124.11</v>
      </c>
      <c r="U39" s="31">
        <v>128.34</v>
      </c>
      <c r="V39" s="31">
        <v>123.4</v>
      </c>
      <c r="W39" s="31">
        <v>123.98</v>
      </c>
      <c r="X39" s="31">
        <v>123.98</v>
      </c>
      <c r="Y39" s="31" t="s">
        <v>287</v>
      </c>
      <c r="Z39">
        <f t="shared" si="2"/>
        <v>1.4151329243353815E-2</v>
      </c>
    </row>
    <row r="40" spans="1:26" ht="58.2" thickBot="1" x14ac:dyDescent="0.35">
      <c r="A40" s="17" t="s">
        <v>1053</v>
      </c>
      <c r="B40" s="24" t="s">
        <v>1054</v>
      </c>
      <c r="C40" s="18">
        <v>245</v>
      </c>
      <c r="D40" s="24">
        <v>5.7</v>
      </c>
      <c r="E40" s="24">
        <v>4.5999999999999996</v>
      </c>
      <c r="F40" s="24">
        <v>5.35</v>
      </c>
      <c r="G40" s="24">
        <v>0</v>
      </c>
      <c r="H40" s="24" t="s">
        <v>22</v>
      </c>
      <c r="I40" s="24">
        <v>20</v>
      </c>
      <c r="J40" s="24">
        <v>195</v>
      </c>
      <c r="K40" s="26">
        <v>0.49830000000000002</v>
      </c>
      <c r="L40">
        <f t="shared" si="0"/>
        <v>4.9749999999999996</v>
      </c>
      <c r="R40">
        <f t="shared" si="1"/>
        <v>0.50200772446621822</v>
      </c>
      <c r="S40" s="30" t="s">
        <v>288</v>
      </c>
      <c r="T40" s="31">
        <v>123.09</v>
      </c>
      <c r="U40" s="31">
        <v>126.8</v>
      </c>
      <c r="V40" s="31">
        <v>121.94</v>
      </c>
      <c r="W40" s="31">
        <v>126.5</v>
      </c>
      <c r="X40" s="31">
        <v>126.5</v>
      </c>
      <c r="Y40" s="31" t="s">
        <v>289</v>
      </c>
      <c r="Z40">
        <f t="shared" si="2"/>
        <v>2.0325859009517631E-2</v>
      </c>
    </row>
    <row r="41" spans="1:26" ht="58.2" thickBot="1" x14ac:dyDescent="0.35">
      <c r="A41" s="17" t="s">
        <v>1055</v>
      </c>
      <c r="B41" s="24" t="s">
        <v>1056</v>
      </c>
      <c r="C41" s="18">
        <v>250</v>
      </c>
      <c r="D41" s="24">
        <v>4.8499999999999996</v>
      </c>
      <c r="E41" s="24">
        <v>4.55</v>
      </c>
      <c r="F41" s="24">
        <v>5</v>
      </c>
      <c r="G41" s="24">
        <v>-0.55000000000000004</v>
      </c>
      <c r="H41" s="25">
        <v>-0.1019</v>
      </c>
      <c r="I41" s="24">
        <v>15</v>
      </c>
      <c r="J41" s="24">
        <v>5.31</v>
      </c>
      <c r="K41" s="26">
        <v>0.49640000000000001</v>
      </c>
      <c r="L41">
        <f t="shared" si="0"/>
        <v>4.7750000000000004</v>
      </c>
      <c r="R41">
        <f t="shared" si="1"/>
        <v>0.50200772446621822</v>
      </c>
      <c r="S41" s="30" t="s">
        <v>290</v>
      </c>
      <c r="T41" s="31">
        <v>118.16</v>
      </c>
      <c r="U41" s="31">
        <v>122.24</v>
      </c>
      <c r="V41" s="31">
        <v>116.8</v>
      </c>
      <c r="W41" s="31">
        <v>121.9</v>
      </c>
      <c r="X41" s="31">
        <v>121.9</v>
      </c>
      <c r="Y41" s="31" t="s">
        <v>291</v>
      </c>
      <c r="Z41">
        <f t="shared" si="2"/>
        <v>-3.636363636363632E-2</v>
      </c>
    </row>
    <row r="42" spans="1:26" ht="58.2" thickBot="1" x14ac:dyDescent="0.35">
      <c r="A42" s="17" t="s">
        <v>1057</v>
      </c>
      <c r="B42" s="24" t="s">
        <v>906</v>
      </c>
      <c r="C42" s="18">
        <v>255</v>
      </c>
      <c r="D42" s="24">
        <v>4.5999999999999996</v>
      </c>
      <c r="E42" s="24">
        <v>4.3</v>
      </c>
      <c r="F42" s="24">
        <v>4.8499999999999996</v>
      </c>
      <c r="G42" s="24">
        <v>-1.25</v>
      </c>
      <c r="H42" s="25">
        <v>-0.2137</v>
      </c>
      <c r="I42" s="24">
        <v>1</v>
      </c>
      <c r="J42" s="24">
        <v>252</v>
      </c>
      <c r="K42" s="26">
        <v>0.4995</v>
      </c>
      <c r="L42">
        <f t="shared" si="0"/>
        <v>4.5749999999999993</v>
      </c>
      <c r="R42">
        <f t="shared" si="1"/>
        <v>0.50200772446621822</v>
      </c>
      <c r="S42" s="30" t="s">
        <v>292</v>
      </c>
      <c r="T42" s="31">
        <v>116.1</v>
      </c>
      <c r="U42" s="31">
        <v>116.55</v>
      </c>
      <c r="V42" s="31">
        <v>113.6</v>
      </c>
      <c r="W42" s="31">
        <v>114.82</v>
      </c>
      <c r="X42" s="31">
        <v>114.82</v>
      </c>
      <c r="Y42" s="31" t="s">
        <v>293</v>
      </c>
      <c r="Z42">
        <f t="shared" si="2"/>
        <v>-5.8080393765381558E-2</v>
      </c>
    </row>
    <row r="43" spans="1:26" ht="58.2" thickBot="1" x14ac:dyDescent="0.35">
      <c r="A43" s="17" t="s">
        <v>1058</v>
      </c>
      <c r="B43" s="24" t="s">
        <v>1059</v>
      </c>
      <c r="C43" s="18">
        <v>260</v>
      </c>
      <c r="D43" s="24">
        <v>4.8499999999999996</v>
      </c>
      <c r="E43" s="24">
        <v>4.2</v>
      </c>
      <c r="F43" s="24">
        <v>4.5999999999999996</v>
      </c>
      <c r="G43" s="24">
        <v>0</v>
      </c>
      <c r="H43" s="24" t="s">
        <v>22</v>
      </c>
      <c r="I43" s="24">
        <v>1</v>
      </c>
      <c r="J43" s="24">
        <v>407</v>
      </c>
      <c r="K43" s="26">
        <v>0.4995</v>
      </c>
      <c r="L43">
        <f t="shared" si="0"/>
        <v>4.4000000000000004</v>
      </c>
      <c r="R43">
        <f t="shared" si="1"/>
        <v>0.50200772446621822</v>
      </c>
      <c r="S43" s="30" t="s">
        <v>294</v>
      </c>
      <c r="T43" s="31">
        <v>121.27</v>
      </c>
      <c r="U43" s="31">
        <v>123.94</v>
      </c>
      <c r="V43" s="31">
        <v>119.66</v>
      </c>
      <c r="W43" s="31">
        <v>122.22</v>
      </c>
      <c r="X43" s="31">
        <v>122.22</v>
      </c>
      <c r="Y43" s="31" t="s">
        <v>295</v>
      </c>
      <c r="Z43">
        <f t="shared" si="2"/>
        <v>6.4448702316669618E-2</v>
      </c>
    </row>
    <row r="44" spans="1:26" ht="58.2" thickBot="1" x14ac:dyDescent="0.35">
      <c r="A44" s="17" t="s">
        <v>1060</v>
      </c>
      <c r="B44" s="24" t="s">
        <v>1061</v>
      </c>
      <c r="C44" s="18">
        <v>265</v>
      </c>
      <c r="D44" s="24">
        <v>5</v>
      </c>
      <c r="E44" s="24">
        <v>3.9</v>
      </c>
      <c r="F44" s="24">
        <v>4.4000000000000004</v>
      </c>
      <c r="G44" s="24">
        <v>0</v>
      </c>
      <c r="H44" s="24" t="s">
        <v>22</v>
      </c>
      <c r="I44" s="24">
        <v>2</v>
      </c>
      <c r="J44" s="24">
        <v>114</v>
      </c>
      <c r="K44" s="26">
        <v>0.50039999999999996</v>
      </c>
      <c r="L44">
        <f t="shared" si="0"/>
        <v>4.1500000000000004</v>
      </c>
      <c r="R44">
        <f t="shared" si="1"/>
        <v>0.50200772446621822</v>
      </c>
      <c r="S44" s="30" t="s">
        <v>296</v>
      </c>
      <c r="T44" s="31">
        <v>121.55</v>
      </c>
      <c r="U44" s="31">
        <v>125.27</v>
      </c>
      <c r="V44" s="31">
        <v>120.73</v>
      </c>
      <c r="W44" s="31">
        <v>123.47</v>
      </c>
      <c r="X44" s="31">
        <v>123.47</v>
      </c>
      <c r="Y44" s="31" t="s">
        <v>297</v>
      </c>
      <c r="Z44">
        <f t="shared" si="2"/>
        <v>1.0227458681066929E-2</v>
      </c>
    </row>
    <row r="45" spans="1:26" ht="58.2" thickBot="1" x14ac:dyDescent="0.35">
      <c r="A45" s="17" t="s">
        <v>1062</v>
      </c>
      <c r="B45" s="24" t="s">
        <v>1063</v>
      </c>
      <c r="C45" s="18">
        <v>270</v>
      </c>
      <c r="D45" s="24">
        <v>4.8600000000000003</v>
      </c>
      <c r="E45" s="24">
        <v>3.6</v>
      </c>
      <c r="F45" s="24">
        <v>4.1500000000000004</v>
      </c>
      <c r="G45" s="24">
        <v>0</v>
      </c>
      <c r="H45" s="24" t="s">
        <v>22</v>
      </c>
      <c r="I45" s="24">
        <v>1</v>
      </c>
      <c r="J45" s="24">
        <v>162</v>
      </c>
      <c r="K45" s="26">
        <v>0.49959999999999999</v>
      </c>
      <c r="L45">
        <f t="shared" si="0"/>
        <v>3.875</v>
      </c>
      <c r="R45">
        <f t="shared" si="1"/>
        <v>0.50200772446621822</v>
      </c>
      <c r="S45" s="30" t="s">
        <v>298</v>
      </c>
      <c r="T45" s="31">
        <v>127.63</v>
      </c>
      <c r="U45" s="31">
        <v>127.63</v>
      </c>
      <c r="V45" s="31">
        <v>121.17</v>
      </c>
      <c r="W45" s="31">
        <v>122.88</v>
      </c>
      <c r="X45" s="31">
        <v>122.88</v>
      </c>
      <c r="Y45" s="31" t="s">
        <v>299</v>
      </c>
      <c r="Z45">
        <f t="shared" si="2"/>
        <v>-4.7784887017089444E-3</v>
      </c>
    </row>
    <row r="46" spans="1:26" ht="58.2" thickBot="1" x14ac:dyDescent="0.35">
      <c r="A46" s="17" t="s">
        <v>1064</v>
      </c>
      <c r="B46" s="24" t="s">
        <v>1065</v>
      </c>
      <c r="C46" s="18">
        <v>275</v>
      </c>
      <c r="D46" s="24">
        <v>4.12</v>
      </c>
      <c r="E46" s="24">
        <v>3.45</v>
      </c>
      <c r="F46" s="24">
        <v>4</v>
      </c>
      <c r="G46" s="24">
        <v>0</v>
      </c>
      <c r="H46" s="24" t="s">
        <v>22</v>
      </c>
      <c r="I46" s="24">
        <v>5</v>
      </c>
      <c r="J46" s="24">
        <v>111</v>
      </c>
      <c r="K46" s="26">
        <v>0.50139999999999996</v>
      </c>
      <c r="L46">
        <f t="shared" si="0"/>
        <v>3.7250000000000001</v>
      </c>
      <c r="R46">
        <f t="shared" si="1"/>
        <v>0.50200772446621822</v>
      </c>
      <c r="S46" s="30" t="s">
        <v>300</v>
      </c>
      <c r="T46" s="31">
        <v>124.81</v>
      </c>
      <c r="U46" s="31">
        <v>128</v>
      </c>
      <c r="V46" s="31">
        <v>122.97</v>
      </c>
      <c r="W46" s="31">
        <v>127.22</v>
      </c>
      <c r="X46" s="31">
        <v>127.22</v>
      </c>
      <c r="Y46" s="31" t="s">
        <v>301</v>
      </c>
      <c r="Z46">
        <f t="shared" si="2"/>
        <v>3.5319010416666699E-2</v>
      </c>
    </row>
    <row r="47" spans="1:26" ht="58.2" thickBot="1" x14ac:dyDescent="0.35">
      <c r="A47" s="17" t="s">
        <v>1066</v>
      </c>
      <c r="B47" s="24" t="s">
        <v>1067</v>
      </c>
      <c r="C47" s="18">
        <v>280</v>
      </c>
      <c r="D47" s="24">
        <v>4.0999999999999996</v>
      </c>
      <c r="E47" s="24">
        <v>3.4</v>
      </c>
      <c r="F47" s="24">
        <v>3.75</v>
      </c>
      <c r="G47" s="24">
        <v>0</v>
      </c>
      <c r="H47" s="24" t="s">
        <v>22</v>
      </c>
      <c r="I47" s="24">
        <v>1</v>
      </c>
      <c r="J47" s="24">
        <v>1.0649999999999999</v>
      </c>
      <c r="K47" s="26">
        <v>0.49969999999999998</v>
      </c>
      <c r="L47">
        <f t="shared" si="0"/>
        <v>3.5750000000000002</v>
      </c>
      <c r="R47">
        <f t="shared" si="1"/>
        <v>0.50200772446621822</v>
      </c>
      <c r="S47" s="30" t="s">
        <v>302</v>
      </c>
      <c r="T47" s="31">
        <v>118.17</v>
      </c>
      <c r="U47" s="31">
        <v>125.87</v>
      </c>
      <c r="V47" s="31">
        <v>117.5</v>
      </c>
      <c r="W47" s="31">
        <v>125.79</v>
      </c>
      <c r="X47" s="31">
        <v>125.79</v>
      </c>
      <c r="Y47" s="31" t="s">
        <v>303</v>
      </c>
      <c r="Z47">
        <f t="shared" si="2"/>
        <v>-1.1240371010847293E-2</v>
      </c>
    </row>
    <row r="48" spans="1:26" ht="58.2" thickBot="1" x14ac:dyDescent="0.35">
      <c r="A48" s="17" t="s">
        <v>1068</v>
      </c>
      <c r="B48" s="24" t="s">
        <v>1069</v>
      </c>
      <c r="C48" s="18">
        <v>285</v>
      </c>
      <c r="D48" s="24">
        <v>4.4400000000000004</v>
      </c>
      <c r="E48" s="24">
        <v>3.3</v>
      </c>
      <c r="F48" s="24">
        <v>3.6</v>
      </c>
      <c r="G48" s="24">
        <v>0</v>
      </c>
      <c r="H48" s="24" t="s">
        <v>22</v>
      </c>
      <c r="I48" s="24">
        <v>1</v>
      </c>
      <c r="J48" s="24">
        <v>1.35</v>
      </c>
      <c r="K48" s="26">
        <v>0.50090000000000001</v>
      </c>
      <c r="L48">
        <f t="shared" si="0"/>
        <v>3.45</v>
      </c>
      <c r="R48">
        <f t="shared" si="1"/>
        <v>0.50200772446621822</v>
      </c>
      <c r="S48" s="30" t="s">
        <v>304</v>
      </c>
      <c r="T48" s="31">
        <v>113.25</v>
      </c>
      <c r="U48" s="31">
        <v>115.32</v>
      </c>
      <c r="V48" s="31">
        <v>110.06</v>
      </c>
      <c r="W48" s="31">
        <v>115.23</v>
      </c>
      <c r="X48" s="31">
        <v>115.23</v>
      </c>
      <c r="Y48" s="31" t="s">
        <v>305</v>
      </c>
      <c r="Z48">
        <f t="shared" si="2"/>
        <v>-8.3949439542093982E-2</v>
      </c>
    </row>
    <row r="49" spans="1:26" ht="58.2" thickBot="1" x14ac:dyDescent="0.35">
      <c r="A49" s="17" t="s">
        <v>1070</v>
      </c>
      <c r="B49" s="24" t="s">
        <v>1071</v>
      </c>
      <c r="C49" s="18">
        <v>290</v>
      </c>
      <c r="D49" s="24">
        <v>3.92</v>
      </c>
      <c r="E49" s="24">
        <v>2.84</v>
      </c>
      <c r="F49" s="24">
        <v>3.55</v>
      </c>
      <c r="G49" s="24">
        <v>0</v>
      </c>
      <c r="H49" s="24" t="s">
        <v>22</v>
      </c>
      <c r="I49" s="24">
        <v>20</v>
      </c>
      <c r="J49" s="24">
        <v>286</v>
      </c>
      <c r="K49" s="26">
        <v>0.50509999999999999</v>
      </c>
      <c r="L49">
        <f t="shared" si="0"/>
        <v>3.1949999999999998</v>
      </c>
      <c r="R49">
        <f t="shared" si="1"/>
        <v>0.50200772446621822</v>
      </c>
      <c r="S49" s="30" t="s">
        <v>306</v>
      </c>
      <c r="T49" s="31">
        <v>113.11</v>
      </c>
      <c r="U49" s="31">
        <v>114.54</v>
      </c>
      <c r="V49" s="31">
        <v>110.27</v>
      </c>
      <c r="W49" s="31">
        <v>111.79</v>
      </c>
      <c r="X49" s="31">
        <v>111.79</v>
      </c>
      <c r="Y49" s="31" t="s">
        <v>307</v>
      </c>
      <c r="Z49">
        <f t="shared" si="2"/>
        <v>-2.9853336804651544E-2</v>
      </c>
    </row>
    <row r="50" spans="1:26" ht="58.2" thickBot="1" x14ac:dyDescent="0.35">
      <c r="A50" s="17" t="s">
        <v>1072</v>
      </c>
      <c r="B50" s="24" t="s">
        <v>1073</v>
      </c>
      <c r="C50" s="18">
        <v>295</v>
      </c>
      <c r="D50" s="24">
        <v>3.5</v>
      </c>
      <c r="E50" s="24">
        <v>2.79</v>
      </c>
      <c r="F50" s="24">
        <v>3.55</v>
      </c>
      <c r="G50" s="24">
        <v>0</v>
      </c>
      <c r="H50" s="24" t="s">
        <v>22</v>
      </c>
      <c r="I50" s="24">
        <v>2</v>
      </c>
      <c r="J50" s="24">
        <v>188</v>
      </c>
      <c r="K50" s="26">
        <v>0.51090000000000002</v>
      </c>
      <c r="L50">
        <f t="shared" si="0"/>
        <v>3.17</v>
      </c>
      <c r="R50">
        <f t="shared" si="1"/>
        <v>0.50200772446621822</v>
      </c>
      <c r="S50" s="30" t="s">
        <v>308</v>
      </c>
      <c r="T50" s="31">
        <v>120.93</v>
      </c>
      <c r="U50" s="31">
        <v>120.93</v>
      </c>
      <c r="V50" s="31">
        <v>112.96</v>
      </c>
      <c r="W50" s="31">
        <v>113.37</v>
      </c>
      <c r="X50" s="31">
        <v>113.37</v>
      </c>
      <c r="Y50" s="31" t="s">
        <v>309</v>
      </c>
      <c r="Z50">
        <f t="shared" si="2"/>
        <v>1.4133643438590198E-2</v>
      </c>
    </row>
    <row r="51" spans="1:26" ht="58.2" thickBot="1" x14ac:dyDescent="0.35">
      <c r="A51" s="17" t="s">
        <v>1074</v>
      </c>
      <c r="B51" s="24" t="s">
        <v>1039</v>
      </c>
      <c r="C51" s="18">
        <v>300</v>
      </c>
      <c r="D51" s="24">
        <v>3</v>
      </c>
      <c r="E51" s="24">
        <v>2.75</v>
      </c>
      <c r="F51" s="24">
        <v>3.35</v>
      </c>
      <c r="G51" s="24">
        <v>-0.2</v>
      </c>
      <c r="H51" s="25">
        <v>-6.25E-2</v>
      </c>
      <c r="I51" s="24">
        <v>20</v>
      </c>
      <c r="J51" s="24">
        <v>5.5490000000000004</v>
      </c>
      <c r="K51" s="26">
        <v>0.50970000000000004</v>
      </c>
      <c r="L51">
        <f t="shared" si="0"/>
        <v>3.05</v>
      </c>
      <c r="R51">
        <f t="shared" si="1"/>
        <v>0.50200772446621822</v>
      </c>
      <c r="S51" s="30" t="s">
        <v>310</v>
      </c>
      <c r="T51" s="31">
        <v>119.91</v>
      </c>
      <c r="U51" s="31">
        <v>122.46</v>
      </c>
      <c r="V51" s="31">
        <v>118.04</v>
      </c>
      <c r="W51" s="31">
        <v>119.14</v>
      </c>
      <c r="X51" s="31">
        <v>119.14</v>
      </c>
      <c r="Y51" s="31" t="s">
        <v>311</v>
      </c>
      <c r="Z51">
        <f t="shared" si="2"/>
        <v>5.0895298579871184E-2</v>
      </c>
    </row>
    <row r="52" spans="1:26" ht="58.2" thickBot="1" x14ac:dyDescent="0.35">
      <c r="A52" s="17" t="s">
        <v>1075</v>
      </c>
      <c r="B52" s="24" t="s">
        <v>1076</v>
      </c>
      <c r="C52" s="18">
        <v>305</v>
      </c>
      <c r="D52" s="24">
        <v>3.35</v>
      </c>
      <c r="E52" s="24">
        <v>2.63</v>
      </c>
      <c r="F52" s="24">
        <v>3.2</v>
      </c>
      <c r="G52" s="24">
        <v>0</v>
      </c>
      <c r="H52" s="24" t="s">
        <v>22</v>
      </c>
      <c r="I52" s="24">
        <v>2</v>
      </c>
      <c r="J52" s="24">
        <v>737</v>
      </c>
      <c r="K52" s="26">
        <v>0.50990000000000002</v>
      </c>
      <c r="L52">
        <f t="shared" si="0"/>
        <v>2.915</v>
      </c>
      <c r="R52">
        <f t="shared" si="1"/>
        <v>0.50200772446621822</v>
      </c>
      <c r="S52" s="30" t="s">
        <v>312</v>
      </c>
      <c r="T52" s="31">
        <v>119.32</v>
      </c>
      <c r="U52" s="31">
        <v>120.78</v>
      </c>
      <c r="V52" s="31">
        <v>115.32</v>
      </c>
      <c r="W52" s="31">
        <v>120.37</v>
      </c>
      <c r="X52" s="31">
        <v>120.37</v>
      </c>
      <c r="Y52" s="31" t="s">
        <v>313</v>
      </c>
      <c r="Z52">
        <f t="shared" si="2"/>
        <v>1.0323988584858184E-2</v>
      </c>
    </row>
    <row r="53" spans="1:26" ht="58.2" thickBot="1" x14ac:dyDescent="0.35">
      <c r="A53" s="17" t="s">
        <v>1077</v>
      </c>
      <c r="B53" s="24" t="s">
        <v>1034</v>
      </c>
      <c r="C53" s="18">
        <v>310</v>
      </c>
      <c r="D53" s="24">
        <v>2.75</v>
      </c>
      <c r="E53" s="24">
        <v>2.62</v>
      </c>
      <c r="F53" s="24">
        <v>2.9</v>
      </c>
      <c r="G53" s="24">
        <v>-0.5</v>
      </c>
      <c r="H53" s="25">
        <v>-0.15379999999999999</v>
      </c>
      <c r="I53" s="24">
        <v>3</v>
      </c>
      <c r="J53" s="24">
        <v>3.6960000000000002</v>
      </c>
      <c r="K53" s="26">
        <v>0.50429999999999997</v>
      </c>
      <c r="L53">
        <f t="shared" si="0"/>
        <v>2.76</v>
      </c>
      <c r="R53">
        <f t="shared" si="1"/>
        <v>0.50200772446621822</v>
      </c>
      <c r="S53" s="30" t="s">
        <v>314</v>
      </c>
      <c r="T53" s="31">
        <v>128.22999999999999</v>
      </c>
      <c r="U53" s="31">
        <v>128.96</v>
      </c>
      <c r="V53" s="31">
        <v>122.52</v>
      </c>
      <c r="W53" s="31">
        <v>123.23</v>
      </c>
      <c r="X53" s="31">
        <v>123.23</v>
      </c>
      <c r="Y53" s="31" t="s">
        <v>315</v>
      </c>
      <c r="Z53">
        <f t="shared" si="2"/>
        <v>2.3760073107917251E-2</v>
      </c>
    </row>
    <row r="54" spans="1:26" ht="15" thickBot="1" x14ac:dyDescent="0.35">
      <c r="S54" s="30" t="s">
        <v>316</v>
      </c>
      <c r="T54" s="31">
        <v>135.77000000000001</v>
      </c>
      <c r="U54" s="31">
        <v>136.75</v>
      </c>
      <c r="V54" s="31">
        <v>130.68</v>
      </c>
      <c r="W54" s="31">
        <v>131.03</v>
      </c>
      <c r="X54" s="31">
        <v>131.03</v>
      </c>
      <c r="Y54" s="31" t="s">
        <v>317</v>
      </c>
      <c r="Z54">
        <f t="shared" si="2"/>
        <v>6.3296275257648277E-2</v>
      </c>
    </row>
    <row r="55" spans="1:26" ht="15" thickBot="1" x14ac:dyDescent="0.35">
      <c r="S55" s="30" t="s">
        <v>318</v>
      </c>
      <c r="T55" s="31">
        <v>128.1</v>
      </c>
      <c r="U55" s="31">
        <v>130.86000000000001</v>
      </c>
      <c r="V55" s="31">
        <v>127.13</v>
      </c>
      <c r="W55" s="31">
        <v>127.74</v>
      </c>
      <c r="X55" s="31">
        <v>127.74</v>
      </c>
      <c r="Y55" s="31" t="s">
        <v>319</v>
      </c>
      <c r="Z55">
        <f t="shared" si="2"/>
        <v>-2.5108753720522067E-2</v>
      </c>
    </row>
    <row r="56" spans="1:26" ht="15" thickBot="1" x14ac:dyDescent="0.35">
      <c r="S56" s="30" t="s">
        <v>320</v>
      </c>
      <c r="T56" s="31">
        <v>126.27</v>
      </c>
      <c r="U56" s="31">
        <v>132.13</v>
      </c>
      <c r="V56" s="31">
        <v>124.82</v>
      </c>
      <c r="W56" s="31">
        <v>128.6</v>
      </c>
      <c r="X56" s="31">
        <v>128.6</v>
      </c>
      <c r="Y56" s="31" t="s">
        <v>321</v>
      </c>
      <c r="Z56">
        <f t="shared" si="2"/>
        <v>6.7324252387662396E-3</v>
      </c>
    </row>
    <row r="57" spans="1:26" ht="15" thickBot="1" x14ac:dyDescent="0.35">
      <c r="S57" s="30" t="s">
        <v>322</v>
      </c>
      <c r="T57" s="31">
        <v>132.81</v>
      </c>
      <c r="U57" s="31">
        <v>134.36000000000001</v>
      </c>
      <c r="V57" s="31">
        <v>129.35</v>
      </c>
      <c r="W57" s="31">
        <v>131.57</v>
      </c>
      <c r="X57" s="31">
        <v>131.57</v>
      </c>
      <c r="Y57" s="31" t="s">
        <v>323</v>
      </c>
      <c r="Z57">
        <f t="shared" si="2"/>
        <v>2.3094867807153956E-2</v>
      </c>
    </row>
    <row r="58" spans="1:26" ht="15" thickBot="1" x14ac:dyDescent="0.35">
      <c r="S58" s="30" t="s">
        <v>324</v>
      </c>
      <c r="T58" s="31">
        <v>135.19999999999999</v>
      </c>
      <c r="U58" s="31">
        <v>135.91999999999999</v>
      </c>
      <c r="V58" s="31">
        <v>131.30000000000001</v>
      </c>
      <c r="W58" s="31">
        <v>131.37</v>
      </c>
      <c r="X58" s="31">
        <v>131.37</v>
      </c>
      <c r="Y58" s="31" t="s">
        <v>325</v>
      </c>
      <c r="Z58">
        <f t="shared" si="2"/>
        <v>-1.5201033670288716E-3</v>
      </c>
    </row>
    <row r="59" spans="1:26" ht="15" thickBot="1" x14ac:dyDescent="0.35">
      <c r="S59" s="30" t="s">
        <v>326</v>
      </c>
      <c r="T59" s="31">
        <v>136.02000000000001</v>
      </c>
      <c r="U59" s="31">
        <v>138.69999999999999</v>
      </c>
      <c r="V59" s="31">
        <v>135.59</v>
      </c>
      <c r="W59" s="31">
        <v>137.41</v>
      </c>
      <c r="X59" s="31">
        <v>137.41</v>
      </c>
      <c r="Y59" s="31" t="s">
        <v>327</v>
      </c>
      <c r="Z59">
        <f t="shared" si="2"/>
        <v>4.597701149425281E-2</v>
      </c>
    </row>
    <row r="60" spans="1:26" ht="15" thickBot="1" x14ac:dyDescent="0.35">
      <c r="S60" s="30" t="s">
        <v>328</v>
      </c>
      <c r="T60" s="31">
        <v>129.21</v>
      </c>
      <c r="U60" s="31">
        <v>134.22999999999999</v>
      </c>
      <c r="V60" s="31">
        <v>127.47</v>
      </c>
      <c r="W60" s="31">
        <v>132.19</v>
      </c>
      <c r="X60" s="31">
        <v>132.19</v>
      </c>
      <c r="Y60" s="31" t="s">
        <v>329</v>
      </c>
      <c r="Z60">
        <f t="shared" si="2"/>
        <v>-3.79885015646605E-2</v>
      </c>
    </row>
    <row r="61" spans="1:26" ht="15" thickBot="1" x14ac:dyDescent="0.35">
      <c r="S61" s="30" t="s">
        <v>330</v>
      </c>
      <c r="T61" s="31">
        <v>131.99</v>
      </c>
      <c r="U61" s="31">
        <v>132.6</v>
      </c>
      <c r="V61" s="31">
        <v>126.23</v>
      </c>
      <c r="W61" s="31">
        <v>128.30000000000001</v>
      </c>
      <c r="X61" s="31">
        <v>128.30000000000001</v>
      </c>
      <c r="Y61" s="31" t="s">
        <v>331</v>
      </c>
      <c r="Z61">
        <f t="shared" si="2"/>
        <v>-2.9427339435660688E-2</v>
      </c>
    </row>
    <row r="62" spans="1:26" ht="15" thickBot="1" x14ac:dyDescent="0.35">
      <c r="S62" s="30" t="s">
        <v>332</v>
      </c>
      <c r="T62" s="31">
        <v>130.24</v>
      </c>
      <c r="U62" s="31">
        <v>133.88</v>
      </c>
      <c r="V62" s="31">
        <v>128.18</v>
      </c>
      <c r="W62" s="31">
        <v>129.81</v>
      </c>
      <c r="X62" s="31">
        <v>129.81</v>
      </c>
      <c r="Y62" s="31" t="s">
        <v>333</v>
      </c>
      <c r="Z62">
        <f t="shared" si="2"/>
        <v>1.1769290724863529E-2</v>
      </c>
    </row>
    <row r="63" spans="1:26" ht="15" thickBot="1" x14ac:dyDescent="0.35">
      <c r="S63" s="30" t="s">
        <v>334</v>
      </c>
      <c r="T63" s="31">
        <v>124.26</v>
      </c>
      <c r="U63" s="31">
        <v>128.4</v>
      </c>
      <c r="V63" s="31">
        <v>123.46</v>
      </c>
      <c r="W63" s="31">
        <v>126.63</v>
      </c>
      <c r="X63" s="31">
        <v>126.63</v>
      </c>
      <c r="Y63" s="31" t="s">
        <v>335</v>
      </c>
      <c r="Z63">
        <f t="shared" si="2"/>
        <v>-2.4497342269470816E-2</v>
      </c>
    </row>
    <row r="64" spans="1:26" ht="15" thickBot="1" x14ac:dyDescent="0.35">
      <c r="S64" s="30" t="s">
        <v>407</v>
      </c>
      <c r="T64" s="31">
        <v>118</v>
      </c>
      <c r="U64" s="31">
        <v>126.62</v>
      </c>
      <c r="V64" s="31">
        <v>117.7</v>
      </c>
      <c r="W64" s="31">
        <v>121.16</v>
      </c>
      <c r="X64" s="31">
        <v>121.16</v>
      </c>
      <c r="Y64" s="31" t="s">
        <v>408</v>
      </c>
      <c r="Z64">
        <f t="shared" si="2"/>
        <v>-4.3196714838505873E-2</v>
      </c>
    </row>
    <row r="65" spans="19:26" ht="15" thickBot="1" x14ac:dyDescent="0.35">
      <c r="S65" s="30" t="s">
        <v>409</v>
      </c>
      <c r="T65" s="31">
        <v>119.53</v>
      </c>
      <c r="U65" s="31">
        <v>120.87</v>
      </c>
      <c r="V65" s="31">
        <v>115.77</v>
      </c>
      <c r="W65" s="31">
        <v>119.56</v>
      </c>
      <c r="X65" s="31">
        <v>119.56</v>
      </c>
      <c r="Y65" s="31" t="s">
        <v>410</v>
      </c>
      <c r="Z65">
        <f t="shared" si="2"/>
        <v>-1.3205678441729898E-2</v>
      </c>
    </row>
    <row r="66" spans="19:26" ht="15" thickBot="1" x14ac:dyDescent="0.35">
      <c r="S66" s="30" t="s">
        <v>411</v>
      </c>
      <c r="T66" s="31">
        <v>119.38</v>
      </c>
      <c r="U66" s="31">
        <v>121.95</v>
      </c>
      <c r="V66" s="31">
        <v>115.82</v>
      </c>
      <c r="W66" s="31">
        <v>120.38</v>
      </c>
      <c r="X66" s="31">
        <v>120.38</v>
      </c>
      <c r="Y66" s="31" t="s">
        <v>412</v>
      </c>
      <c r="Z66">
        <f t="shared" si="2"/>
        <v>6.8584810973569181E-3</v>
      </c>
    </row>
    <row r="67" spans="19:26" ht="15" thickBot="1" x14ac:dyDescent="0.35">
      <c r="S67" s="30" t="s">
        <v>413</v>
      </c>
      <c r="T67" s="31">
        <v>121.23</v>
      </c>
      <c r="U67" s="31">
        <v>122.91</v>
      </c>
      <c r="V67" s="31">
        <v>118.59</v>
      </c>
      <c r="W67" s="31">
        <v>118.79</v>
      </c>
      <c r="X67" s="31">
        <v>118.79</v>
      </c>
      <c r="Y67" s="31" t="s">
        <v>414</v>
      </c>
      <c r="Z67">
        <f t="shared" si="2"/>
        <v>-1.3208174115301455E-2</v>
      </c>
    </row>
    <row r="68" spans="19:26" ht="15" thickBot="1" x14ac:dyDescent="0.35">
      <c r="S68" s="30" t="s">
        <v>415</v>
      </c>
      <c r="T68" s="31">
        <v>112.63</v>
      </c>
      <c r="U68" s="31">
        <v>124.3</v>
      </c>
      <c r="V68" s="31">
        <v>112.3</v>
      </c>
      <c r="W68" s="31">
        <v>122.99</v>
      </c>
      <c r="X68" s="31">
        <v>122.99</v>
      </c>
      <c r="Y68" s="31" t="s">
        <v>416</v>
      </c>
      <c r="Z68">
        <f t="shared" ref="Z68:Z131" si="3">(X68-X67)/X67</f>
        <v>3.535651149086614E-2</v>
      </c>
    </row>
    <row r="69" spans="19:26" ht="15" thickBot="1" x14ac:dyDescent="0.35">
      <c r="S69" s="30" t="s">
        <v>417</v>
      </c>
      <c r="T69" s="31">
        <v>113.8</v>
      </c>
      <c r="U69" s="31">
        <v>114.2</v>
      </c>
      <c r="V69" s="31">
        <v>110.38</v>
      </c>
      <c r="W69" s="31">
        <v>112.09</v>
      </c>
      <c r="X69" s="31">
        <v>112.09</v>
      </c>
      <c r="Y69" s="31" t="s">
        <v>418</v>
      </c>
      <c r="Z69">
        <f t="shared" si="3"/>
        <v>-8.8625091470851222E-2</v>
      </c>
    </row>
    <row r="70" spans="19:26" ht="15" thickBot="1" x14ac:dyDescent="0.35">
      <c r="S70" s="30" t="s">
        <v>419</v>
      </c>
      <c r="T70" s="31">
        <v>116.26</v>
      </c>
      <c r="U70" s="31">
        <v>116.42</v>
      </c>
      <c r="V70" s="31">
        <v>114.47</v>
      </c>
      <c r="W70" s="31">
        <v>114.8</v>
      </c>
      <c r="X70" s="31">
        <v>114.8</v>
      </c>
      <c r="Y70" s="31" t="s">
        <v>420</v>
      </c>
      <c r="Z70">
        <f t="shared" si="3"/>
        <v>2.4177000624498114E-2</v>
      </c>
    </row>
    <row r="71" spans="19:26" ht="15" thickBot="1" x14ac:dyDescent="0.35">
      <c r="S71" s="30" t="s">
        <v>421</v>
      </c>
      <c r="T71" s="31">
        <v>117.8</v>
      </c>
      <c r="U71" s="31">
        <v>121.8</v>
      </c>
      <c r="V71" s="31">
        <v>116.1</v>
      </c>
      <c r="W71" s="31">
        <v>116.59</v>
      </c>
      <c r="X71" s="31">
        <v>116.59</v>
      </c>
      <c r="Y71" s="31" t="s">
        <v>422</v>
      </c>
      <c r="Z71">
        <f t="shared" si="3"/>
        <v>1.5592334494773574E-2</v>
      </c>
    </row>
    <row r="72" spans="19:26" ht="15" thickBot="1" x14ac:dyDescent="0.35">
      <c r="S72" s="30" t="s">
        <v>423</v>
      </c>
      <c r="T72" s="31">
        <v>116.8</v>
      </c>
      <c r="U72" s="31">
        <v>119.59</v>
      </c>
      <c r="V72" s="31">
        <v>115.39</v>
      </c>
      <c r="W72" s="31">
        <v>118.66</v>
      </c>
      <c r="X72" s="31">
        <v>118.66</v>
      </c>
      <c r="Y72" s="31" t="s">
        <v>424</v>
      </c>
      <c r="Z72">
        <f t="shared" si="3"/>
        <v>1.7754524401749662E-2</v>
      </c>
    </row>
    <row r="73" spans="19:26" ht="15" thickBot="1" x14ac:dyDescent="0.35">
      <c r="S73" s="30" t="s">
        <v>425</v>
      </c>
      <c r="T73" s="31">
        <v>117.09</v>
      </c>
      <c r="U73" s="31">
        <v>118.66</v>
      </c>
      <c r="V73" s="31">
        <v>115.15</v>
      </c>
      <c r="W73" s="31">
        <v>117.81</v>
      </c>
      <c r="X73" s="31">
        <v>117.81</v>
      </c>
      <c r="Y73" s="31" t="s">
        <v>426</v>
      </c>
      <c r="Z73">
        <f t="shared" si="3"/>
        <v>-7.1633237822349097E-3</v>
      </c>
    </row>
    <row r="74" spans="19:26" ht="15" thickBot="1" x14ac:dyDescent="0.35">
      <c r="S74" s="30" t="s">
        <v>427</v>
      </c>
      <c r="T74" s="31">
        <v>116.85</v>
      </c>
      <c r="U74" s="31">
        <v>122.98</v>
      </c>
      <c r="V74" s="31">
        <v>116.6</v>
      </c>
      <c r="W74" s="31">
        <v>122.98</v>
      </c>
      <c r="X74" s="31">
        <v>122.98</v>
      </c>
      <c r="Y74" s="31" t="s">
        <v>428</v>
      </c>
      <c r="Z74">
        <f t="shared" si="3"/>
        <v>4.3884220354808601E-2</v>
      </c>
    </row>
    <row r="75" spans="19:26" ht="15" thickBot="1" x14ac:dyDescent="0.35">
      <c r="S75" s="30" t="s">
        <v>429</v>
      </c>
      <c r="T75" s="31">
        <v>118.5</v>
      </c>
      <c r="U75" s="31">
        <v>118.83</v>
      </c>
      <c r="V75" s="31">
        <v>113.69</v>
      </c>
      <c r="W75" s="31">
        <v>115</v>
      </c>
      <c r="X75" s="31">
        <v>115</v>
      </c>
      <c r="Y75" s="31" t="s">
        <v>430</v>
      </c>
      <c r="Z75">
        <f t="shared" si="3"/>
        <v>-6.4888599772320726E-2</v>
      </c>
    </row>
    <row r="76" spans="19:26" ht="15" thickBot="1" x14ac:dyDescent="0.35">
      <c r="S76" s="30" t="s">
        <v>431</v>
      </c>
      <c r="T76" s="31">
        <v>119.49</v>
      </c>
      <c r="U76" s="31">
        <v>122.87</v>
      </c>
      <c r="V76" s="31">
        <v>117.81</v>
      </c>
      <c r="W76" s="31">
        <v>122.1</v>
      </c>
      <c r="X76" s="31">
        <v>122.1</v>
      </c>
      <c r="Y76" s="31" t="s">
        <v>432</v>
      </c>
      <c r="Z76">
        <f t="shared" si="3"/>
        <v>6.173913043478256E-2</v>
      </c>
    </row>
    <row r="77" spans="19:26" ht="15" thickBot="1" x14ac:dyDescent="0.35">
      <c r="S77" s="30" t="s">
        <v>433</v>
      </c>
      <c r="T77" s="31">
        <v>122.32</v>
      </c>
      <c r="U77" s="31">
        <v>125.69</v>
      </c>
      <c r="V77" s="31">
        <v>118.9</v>
      </c>
      <c r="W77" s="31">
        <v>120.25</v>
      </c>
      <c r="X77" s="31">
        <v>120.25</v>
      </c>
      <c r="Y77" s="31" t="s">
        <v>434</v>
      </c>
      <c r="Z77">
        <f t="shared" si="3"/>
        <v>-1.5151515151515105E-2</v>
      </c>
    </row>
    <row r="78" spans="19:26" ht="15" thickBot="1" x14ac:dyDescent="0.35">
      <c r="S78" s="30" t="s">
        <v>435</v>
      </c>
      <c r="T78" s="31">
        <v>122.63</v>
      </c>
      <c r="U78" s="31">
        <v>123.59</v>
      </c>
      <c r="V78" s="31">
        <v>117.77</v>
      </c>
      <c r="W78" s="31">
        <v>122.47</v>
      </c>
      <c r="X78" s="31">
        <v>122.47</v>
      </c>
      <c r="Y78" s="31" t="s">
        <v>436</v>
      </c>
      <c r="Z78">
        <f t="shared" si="3"/>
        <v>1.8461538461538453E-2</v>
      </c>
    </row>
    <row r="79" spans="19:26" ht="15" thickBot="1" x14ac:dyDescent="0.35">
      <c r="S79" s="30" t="s">
        <v>437</v>
      </c>
      <c r="T79" s="31">
        <v>120.93</v>
      </c>
      <c r="U79" s="31">
        <v>127.65</v>
      </c>
      <c r="V79" s="31">
        <v>120.3</v>
      </c>
      <c r="W79" s="31">
        <v>126.58</v>
      </c>
      <c r="X79" s="31">
        <v>126.58</v>
      </c>
      <c r="Y79" s="31" t="s">
        <v>438</v>
      </c>
      <c r="Z79">
        <f t="shared" si="3"/>
        <v>3.3559238997305459E-2</v>
      </c>
    </row>
    <row r="80" spans="19:26" ht="15" thickBot="1" x14ac:dyDescent="0.35">
      <c r="S80" s="30" t="s">
        <v>439</v>
      </c>
      <c r="T80" s="31">
        <v>123</v>
      </c>
      <c r="U80" s="31">
        <v>123.25</v>
      </c>
      <c r="V80" s="31">
        <v>119.75</v>
      </c>
      <c r="W80" s="31">
        <v>122.24</v>
      </c>
      <c r="X80" s="31">
        <v>122.24</v>
      </c>
      <c r="Y80" s="31" t="s">
        <v>440</v>
      </c>
      <c r="Z80">
        <f t="shared" si="3"/>
        <v>-3.4286617159108891E-2</v>
      </c>
    </row>
    <row r="81" spans="19:26" ht="15" thickBot="1" x14ac:dyDescent="0.35">
      <c r="S81" s="30" t="s">
        <v>441</v>
      </c>
      <c r="T81" s="31">
        <v>123.22</v>
      </c>
      <c r="U81" s="31">
        <v>125.21</v>
      </c>
      <c r="V81" s="31">
        <v>122.78</v>
      </c>
      <c r="W81" s="31">
        <v>125.06</v>
      </c>
      <c r="X81" s="31">
        <v>125.06</v>
      </c>
      <c r="Y81" s="31" t="s">
        <v>442</v>
      </c>
      <c r="Z81">
        <f t="shared" si="3"/>
        <v>2.3069371727748752E-2</v>
      </c>
    </row>
    <row r="82" spans="19:26" ht="15" thickBot="1" x14ac:dyDescent="0.35">
      <c r="S82" s="30" t="s">
        <v>443</v>
      </c>
      <c r="T82" s="31">
        <v>124.63</v>
      </c>
      <c r="U82" s="31">
        <v>127.76</v>
      </c>
      <c r="V82" s="31">
        <v>123.21</v>
      </c>
      <c r="W82" s="31">
        <v>123.91</v>
      </c>
      <c r="X82" s="31">
        <v>123.91</v>
      </c>
      <c r="Y82" s="31" t="s">
        <v>444</v>
      </c>
      <c r="Z82">
        <f t="shared" si="3"/>
        <v>-9.1955861186630867E-3</v>
      </c>
    </row>
    <row r="83" spans="19:26" ht="15" thickBot="1" x14ac:dyDescent="0.35">
      <c r="S83" s="30" t="s">
        <v>445</v>
      </c>
      <c r="T83" s="31">
        <v>123.21</v>
      </c>
      <c r="U83" s="31">
        <v>126.97</v>
      </c>
      <c r="V83" s="31">
        <v>121.32</v>
      </c>
      <c r="W83" s="31">
        <v>125.08</v>
      </c>
      <c r="X83" s="31">
        <v>125.08</v>
      </c>
      <c r="Y83" s="31" t="s">
        <v>446</v>
      </c>
      <c r="Z83">
        <f t="shared" si="3"/>
        <v>9.4423371802114572E-3</v>
      </c>
    </row>
    <row r="84" spans="19:26" ht="15" thickBot="1" x14ac:dyDescent="0.35">
      <c r="S84" s="30" t="s">
        <v>447</v>
      </c>
      <c r="T84" s="31">
        <v>129.30000000000001</v>
      </c>
      <c r="U84" s="31">
        <v>129.44999999999999</v>
      </c>
      <c r="V84" s="31">
        <v>123.46</v>
      </c>
      <c r="W84" s="31">
        <v>125.54</v>
      </c>
      <c r="X84" s="31">
        <v>125.54</v>
      </c>
      <c r="Y84" s="31" t="s">
        <v>448</v>
      </c>
      <c r="Z84">
        <f t="shared" si="3"/>
        <v>3.6776463063639907E-3</v>
      </c>
    </row>
    <row r="85" spans="19:26" ht="15" thickBot="1" x14ac:dyDescent="0.35">
      <c r="S85" s="30" t="s">
        <v>449</v>
      </c>
      <c r="T85" s="31">
        <v>113.64</v>
      </c>
      <c r="U85" s="31">
        <v>123.82</v>
      </c>
      <c r="V85" s="31">
        <v>113.43</v>
      </c>
      <c r="W85" s="31">
        <v>123.6</v>
      </c>
      <c r="X85" s="31">
        <v>123.6</v>
      </c>
      <c r="Y85" s="31" t="s">
        <v>450</v>
      </c>
      <c r="Z85">
        <f t="shared" si="3"/>
        <v>-1.5453241994583493E-2</v>
      </c>
    </row>
    <row r="86" spans="19:26" ht="15" thickBot="1" x14ac:dyDescent="0.35">
      <c r="S86" s="30" t="s">
        <v>451</v>
      </c>
      <c r="T86" s="31">
        <v>118</v>
      </c>
      <c r="U86" s="31">
        <v>118.19</v>
      </c>
      <c r="V86" s="31">
        <v>108.7</v>
      </c>
      <c r="W86" s="31">
        <v>111.96</v>
      </c>
      <c r="X86" s="31">
        <v>111.96</v>
      </c>
      <c r="Y86" s="31" t="s">
        <v>452</v>
      </c>
      <c r="Z86">
        <f t="shared" si="3"/>
        <v>-9.4174757281553403E-2</v>
      </c>
    </row>
    <row r="87" spans="19:26" ht="15" thickBot="1" x14ac:dyDescent="0.35">
      <c r="S87" s="30" t="s">
        <v>453</v>
      </c>
      <c r="T87" s="31">
        <v>123.02</v>
      </c>
      <c r="U87" s="31">
        <v>125</v>
      </c>
      <c r="V87" s="31">
        <v>119.34</v>
      </c>
      <c r="W87" s="31">
        <v>122</v>
      </c>
      <c r="X87" s="31">
        <v>122</v>
      </c>
      <c r="Y87" s="31" t="s">
        <v>454</v>
      </c>
      <c r="Z87">
        <f t="shared" si="3"/>
        <v>8.9674883887102597E-2</v>
      </c>
    </row>
    <row r="88" spans="19:26" ht="15" thickBot="1" x14ac:dyDescent="0.35">
      <c r="S88" s="30" t="s">
        <v>455</v>
      </c>
      <c r="T88" s="31">
        <v>128.37</v>
      </c>
      <c r="U88" s="31">
        <v>129.15</v>
      </c>
      <c r="V88" s="31">
        <v>121.9</v>
      </c>
      <c r="W88" s="31">
        <v>122.49</v>
      </c>
      <c r="X88" s="31">
        <v>122.49</v>
      </c>
      <c r="Y88" s="31" t="s">
        <v>456</v>
      </c>
      <c r="Z88">
        <f t="shared" si="3"/>
        <v>4.0163934426229089E-3</v>
      </c>
    </row>
    <row r="89" spans="19:26" ht="15" thickBot="1" x14ac:dyDescent="0.35">
      <c r="S89" s="30" t="s">
        <v>457</v>
      </c>
      <c r="T89" s="31">
        <v>129.9</v>
      </c>
      <c r="U89" s="31">
        <v>131.32</v>
      </c>
      <c r="V89" s="31">
        <v>126.13</v>
      </c>
      <c r="W89" s="31">
        <v>127.53</v>
      </c>
      <c r="X89" s="31">
        <v>127.53</v>
      </c>
      <c r="Y89" s="31" t="s">
        <v>458</v>
      </c>
      <c r="Z89">
        <f t="shared" si="3"/>
        <v>4.1146216017634143E-2</v>
      </c>
    </row>
    <row r="90" spans="19:26" ht="15" thickBot="1" x14ac:dyDescent="0.35">
      <c r="S90" s="30" t="s">
        <v>459</v>
      </c>
      <c r="T90" s="31">
        <v>134.25</v>
      </c>
      <c r="U90" s="31">
        <v>134.55000000000001</v>
      </c>
      <c r="V90" s="31">
        <v>130.55000000000001</v>
      </c>
      <c r="W90" s="31">
        <v>131.61000000000001</v>
      </c>
      <c r="X90" s="31">
        <v>131.61000000000001</v>
      </c>
      <c r="Y90" s="31" t="s">
        <v>460</v>
      </c>
      <c r="Z90">
        <f t="shared" si="3"/>
        <v>3.1992472359444933E-2</v>
      </c>
    </row>
    <row r="91" spans="19:26" ht="15" thickBot="1" x14ac:dyDescent="0.35">
      <c r="S91" s="30" t="s">
        <v>461</v>
      </c>
      <c r="T91" s="31">
        <v>132.93</v>
      </c>
      <c r="U91" s="31">
        <v>133.97999999999999</v>
      </c>
      <c r="V91" s="31">
        <v>131.22</v>
      </c>
      <c r="W91" s="31">
        <v>133.35</v>
      </c>
      <c r="X91" s="31">
        <v>133.35</v>
      </c>
      <c r="Y91" s="31" t="s">
        <v>462</v>
      </c>
      <c r="Z91">
        <f t="shared" si="3"/>
        <v>1.3220879872349977E-2</v>
      </c>
    </row>
    <row r="92" spans="19:26" ht="15" thickBot="1" x14ac:dyDescent="0.35">
      <c r="S92" s="30" t="s">
        <v>463</v>
      </c>
      <c r="T92" s="31">
        <v>133.1</v>
      </c>
      <c r="U92" s="31">
        <v>136.76</v>
      </c>
      <c r="V92" s="31">
        <v>131.22</v>
      </c>
      <c r="W92" s="31">
        <v>136.52000000000001</v>
      </c>
      <c r="X92" s="31">
        <v>136.52000000000001</v>
      </c>
      <c r="Y92" s="31" t="s">
        <v>464</v>
      </c>
      <c r="Z92">
        <f t="shared" si="3"/>
        <v>2.3772028496438065E-2</v>
      </c>
    </row>
    <row r="93" spans="19:26" ht="15" thickBot="1" x14ac:dyDescent="0.35">
      <c r="S93" s="30" t="s">
        <v>465</v>
      </c>
      <c r="T93" s="31">
        <v>136.03</v>
      </c>
      <c r="U93" s="31">
        <v>136.85</v>
      </c>
      <c r="V93" s="31">
        <v>133.31</v>
      </c>
      <c r="W93" s="31">
        <v>133.66</v>
      </c>
      <c r="X93" s="31">
        <v>133.66</v>
      </c>
      <c r="Y93" s="31" t="s">
        <v>466</v>
      </c>
      <c r="Z93">
        <f t="shared" si="3"/>
        <v>-2.0949311456196992E-2</v>
      </c>
    </row>
    <row r="94" spans="19:26" ht="15" thickBot="1" x14ac:dyDescent="0.35">
      <c r="S94" s="30" t="s">
        <v>467</v>
      </c>
      <c r="T94" s="31">
        <v>139.9</v>
      </c>
      <c r="U94" s="31">
        <v>140.69999999999999</v>
      </c>
      <c r="V94" s="31">
        <v>135.21</v>
      </c>
      <c r="W94" s="31">
        <v>136.62</v>
      </c>
      <c r="X94" s="31">
        <v>136.62</v>
      </c>
      <c r="Y94" s="31" t="s">
        <v>468</v>
      </c>
      <c r="Z94">
        <f t="shared" si="3"/>
        <v>2.2145742929821997E-2</v>
      </c>
    </row>
    <row r="95" spans="19:26" ht="15" thickBot="1" x14ac:dyDescent="0.35">
      <c r="S95" s="30" t="s">
        <v>469</v>
      </c>
      <c r="T95" s="31">
        <v>143.04</v>
      </c>
      <c r="U95" s="31">
        <v>145.06</v>
      </c>
      <c r="V95" s="31">
        <v>140</v>
      </c>
      <c r="W95" s="31">
        <v>140.34</v>
      </c>
      <c r="X95" s="31">
        <v>140.34</v>
      </c>
      <c r="Y95" s="31" t="s">
        <v>470</v>
      </c>
      <c r="Z95">
        <f t="shared" si="3"/>
        <v>2.7228809837505481E-2</v>
      </c>
    </row>
    <row r="96" spans="19:26" ht="15" thickBot="1" x14ac:dyDescent="0.35">
      <c r="S96" s="30" t="s">
        <v>471</v>
      </c>
      <c r="T96" s="31">
        <v>146.91</v>
      </c>
      <c r="U96" s="31">
        <v>148.5</v>
      </c>
      <c r="V96" s="31">
        <v>141.88999999999999</v>
      </c>
      <c r="W96" s="31">
        <v>143.6</v>
      </c>
      <c r="X96" s="31">
        <v>143.6</v>
      </c>
      <c r="Y96" s="31" t="s">
        <v>472</v>
      </c>
      <c r="Z96">
        <f t="shared" si="3"/>
        <v>2.3229300270770921E-2</v>
      </c>
    </row>
    <row r="97" spans="19:26" ht="15" thickBot="1" x14ac:dyDescent="0.35">
      <c r="S97" s="30" t="s">
        <v>473</v>
      </c>
      <c r="T97" s="31">
        <v>168.02</v>
      </c>
      <c r="U97" s="31">
        <v>168.3</v>
      </c>
      <c r="V97" s="31">
        <v>161.13</v>
      </c>
      <c r="W97" s="31">
        <v>161.58000000000001</v>
      </c>
      <c r="X97" s="31">
        <v>161.58000000000001</v>
      </c>
      <c r="Y97" s="31" t="s">
        <v>474</v>
      </c>
      <c r="Z97">
        <f t="shared" si="3"/>
        <v>0.1252089136490252</v>
      </c>
    </row>
    <row r="98" spans="19:26" ht="15" thickBot="1" x14ac:dyDescent="0.35">
      <c r="S98" s="30" t="s">
        <v>475</v>
      </c>
      <c r="T98" s="31">
        <v>168.6</v>
      </c>
      <c r="U98" s="31">
        <v>169.94</v>
      </c>
      <c r="V98" s="31">
        <v>166.67</v>
      </c>
      <c r="W98" s="31">
        <v>168.43</v>
      </c>
      <c r="X98" s="31">
        <v>168.43</v>
      </c>
      <c r="Y98" s="31" t="s">
        <v>476</v>
      </c>
      <c r="Z98">
        <f t="shared" si="3"/>
        <v>4.2393860626315102E-2</v>
      </c>
    </row>
    <row r="99" spans="19:26" ht="15" thickBot="1" x14ac:dyDescent="0.35">
      <c r="S99" s="30" t="s">
        <v>477</v>
      </c>
      <c r="T99" s="31">
        <v>167.22</v>
      </c>
      <c r="U99" s="31">
        <v>168.46</v>
      </c>
      <c r="V99" s="31">
        <v>165.67</v>
      </c>
      <c r="W99" s="31">
        <v>166.54</v>
      </c>
      <c r="X99" s="31">
        <v>166.54</v>
      </c>
      <c r="Y99" s="31" t="s">
        <v>478</v>
      </c>
      <c r="Z99">
        <f t="shared" si="3"/>
        <v>-1.1221278869560142E-2</v>
      </c>
    </row>
    <row r="100" spans="19:26" ht="15" thickBot="1" x14ac:dyDescent="0.35">
      <c r="S100" s="30" t="s">
        <v>479</v>
      </c>
      <c r="T100" s="31">
        <v>165.17</v>
      </c>
      <c r="U100" s="31">
        <v>167.8</v>
      </c>
      <c r="V100" s="31">
        <v>163.4</v>
      </c>
      <c r="W100" s="31">
        <v>166.81</v>
      </c>
      <c r="X100" s="31">
        <v>166.81</v>
      </c>
      <c r="Y100" s="31" t="s">
        <v>480</v>
      </c>
      <c r="Z100">
        <f t="shared" si="3"/>
        <v>1.6212321364237434E-3</v>
      </c>
    </row>
    <row r="101" spans="19:26" ht="15" thickBot="1" x14ac:dyDescent="0.35">
      <c r="S101" s="30" t="s">
        <v>481</v>
      </c>
      <c r="T101" s="31">
        <v>166.56</v>
      </c>
      <c r="U101" s="31">
        <v>169.63</v>
      </c>
      <c r="V101" s="31">
        <v>166.56</v>
      </c>
      <c r="W101" s="31">
        <v>167.85</v>
      </c>
      <c r="X101" s="31">
        <v>167.85</v>
      </c>
      <c r="Y101" s="31" t="s">
        <v>482</v>
      </c>
      <c r="Z101">
        <f t="shared" si="3"/>
        <v>6.2346382111383731E-3</v>
      </c>
    </row>
    <row r="102" spans="19:26" ht="15" thickBot="1" x14ac:dyDescent="0.35">
      <c r="S102" s="30" t="s">
        <v>483</v>
      </c>
      <c r="T102" s="31">
        <v>163.68</v>
      </c>
      <c r="U102" s="31">
        <v>166.48</v>
      </c>
      <c r="V102" s="31">
        <v>161.82</v>
      </c>
      <c r="W102" s="31">
        <v>163.97</v>
      </c>
      <c r="X102" s="31">
        <v>163.97</v>
      </c>
      <c r="Y102" s="31" t="s">
        <v>484</v>
      </c>
      <c r="Z102">
        <f t="shared" si="3"/>
        <v>-2.3115877271373222E-2</v>
      </c>
    </row>
    <row r="103" spans="19:26" ht="15" thickBot="1" x14ac:dyDescent="0.35">
      <c r="S103" s="30" t="s">
        <v>485</v>
      </c>
      <c r="T103" s="31">
        <v>162.16</v>
      </c>
      <c r="U103" s="31">
        <v>164.48</v>
      </c>
      <c r="V103" s="31">
        <v>159.54</v>
      </c>
      <c r="W103" s="31">
        <v>160.19</v>
      </c>
      <c r="X103" s="31">
        <v>160.19</v>
      </c>
      <c r="Y103" s="31" t="s">
        <v>486</v>
      </c>
      <c r="Z103">
        <f t="shared" si="3"/>
        <v>-2.3052997499542607E-2</v>
      </c>
    </row>
    <row r="104" spans="19:26" ht="15" thickBot="1" x14ac:dyDescent="0.35">
      <c r="S104" s="30" t="s">
        <v>487</v>
      </c>
      <c r="T104" s="31">
        <v>161.76</v>
      </c>
      <c r="U104" s="31">
        <v>162.16</v>
      </c>
      <c r="V104" s="31">
        <v>159.47999999999999</v>
      </c>
      <c r="W104" s="31">
        <v>162.16</v>
      </c>
      <c r="X104" s="31">
        <v>162.16</v>
      </c>
      <c r="Y104" s="31" t="s">
        <v>488</v>
      </c>
      <c r="Z104">
        <f t="shared" si="3"/>
        <v>1.2297896248205249E-2</v>
      </c>
    </row>
    <row r="105" spans="19:26" ht="15" thickBot="1" x14ac:dyDescent="0.35">
      <c r="S105" s="30" t="s">
        <v>489</v>
      </c>
      <c r="T105" s="31">
        <v>164.79</v>
      </c>
      <c r="U105" s="31">
        <v>164.79</v>
      </c>
      <c r="V105" s="31">
        <v>158.30000000000001</v>
      </c>
      <c r="W105" s="31">
        <v>158.72999999999999</v>
      </c>
      <c r="X105" s="31">
        <v>158.72999999999999</v>
      </c>
      <c r="Y105" s="31" t="s">
        <v>490</v>
      </c>
      <c r="Z105">
        <f t="shared" si="3"/>
        <v>-2.1151948692649278E-2</v>
      </c>
    </row>
    <row r="106" spans="19:26" ht="15" thickBot="1" x14ac:dyDescent="0.35">
      <c r="S106" s="30" t="s">
        <v>491</v>
      </c>
      <c r="T106" s="31">
        <v>169.28</v>
      </c>
      <c r="U106" s="31">
        <v>169.94</v>
      </c>
      <c r="V106" s="31">
        <v>164.5</v>
      </c>
      <c r="W106" s="31">
        <v>164.79</v>
      </c>
      <c r="X106" s="31">
        <v>164.79</v>
      </c>
      <c r="Y106" s="31" t="s">
        <v>492</v>
      </c>
      <c r="Z106">
        <f t="shared" si="3"/>
        <v>3.8178038178038193E-2</v>
      </c>
    </row>
    <row r="107" spans="19:26" ht="15" thickBot="1" x14ac:dyDescent="0.35">
      <c r="S107" s="30" t="s">
        <v>493</v>
      </c>
      <c r="T107" s="31">
        <v>165.36</v>
      </c>
      <c r="U107" s="31">
        <v>166.65</v>
      </c>
      <c r="V107" s="31">
        <v>163.11000000000001</v>
      </c>
      <c r="W107" s="31">
        <v>166.24</v>
      </c>
      <c r="X107" s="31">
        <v>166.24</v>
      </c>
      <c r="Y107" s="31" t="s">
        <v>494</v>
      </c>
      <c r="Z107">
        <f t="shared" si="3"/>
        <v>8.7990776139329884E-3</v>
      </c>
    </row>
    <row r="108" spans="19:26" ht="15" thickBot="1" x14ac:dyDescent="0.35">
      <c r="S108" s="30" t="s">
        <v>495</v>
      </c>
      <c r="T108" s="31">
        <v>167.1</v>
      </c>
      <c r="U108" s="31">
        <v>167.1</v>
      </c>
      <c r="V108" s="31">
        <v>162.76</v>
      </c>
      <c r="W108" s="31">
        <v>162.9</v>
      </c>
      <c r="X108" s="31">
        <v>162.9</v>
      </c>
      <c r="Y108" s="31" t="s">
        <v>496</v>
      </c>
      <c r="Z108">
        <f t="shared" si="3"/>
        <v>-2.0091434071222349E-2</v>
      </c>
    </row>
    <row r="109" spans="19:26" ht="15" thickBot="1" x14ac:dyDescent="0.35">
      <c r="S109" s="30" t="s">
        <v>497</v>
      </c>
      <c r="T109" s="31">
        <v>165.84</v>
      </c>
      <c r="U109" s="31">
        <v>171.9</v>
      </c>
      <c r="V109" s="31">
        <v>165.8</v>
      </c>
      <c r="W109" s="31">
        <v>170.17</v>
      </c>
      <c r="X109" s="31">
        <v>170.17</v>
      </c>
      <c r="Y109" s="31" t="s">
        <v>498</v>
      </c>
      <c r="Z109">
        <f t="shared" si="3"/>
        <v>4.462860650705943E-2</v>
      </c>
    </row>
    <row r="110" spans="19:26" ht="15" thickBot="1" x14ac:dyDescent="0.35">
      <c r="S110" s="30" t="s">
        <v>499</v>
      </c>
      <c r="T110" s="31">
        <v>167.07</v>
      </c>
      <c r="U110" s="31">
        <v>168.56</v>
      </c>
      <c r="V110" s="31">
        <v>162.72</v>
      </c>
      <c r="W110" s="31">
        <v>164.94</v>
      </c>
      <c r="X110" s="31">
        <v>164.94</v>
      </c>
      <c r="Y110" s="31" t="s">
        <v>500</v>
      </c>
      <c r="Z110">
        <f t="shared" si="3"/>
        <v>-3.0733971910442442E-2</v>
      </c>
    </row>
    <row r="111" spans="19:26" ht="15" thickBot="1" x14ac:dyDescent="0.35">
      <c r="S111" s="30" t="s">
        <v>501</v>
      </c>
      <c r="T111" s="31">
        <v>168.49</v>
      </c>
      <c r="U111" s="31">
        <v>170.35</v>
      </c>
      <c r="V111" s="31">
        <v>166.77</v>
      </c>
      <c r="W111" s="31">
        <v>169.79</v>
      </c>
      <c r="X111" s="31">
        <v>169.79</v>
      </c>
      <c r="Y111" s="31" t="s">
        <v>502</v>
      </c>
      <c r="Z111">
        <f t="shared" si="3"/>
        <v>2.940463198738932E-2</v>
      </c>
    </row>
    <row r="112" spans="19:26" ht="15" thickBot="1" x14ac:dyDescent="0.35">
      <c r="S112" s="30" t="s">
        <v>503</v>
      </c>
      <c r="T112" s="31">
        <v>167.53</v>
      </c>
      <c r="U112" s="31">
        <v>172.45</v>
      </c>
      <c r="V112" s="31">
        <v>167.34</v>
      </c>
      <c r="W112" s="31">
        <v>169.23</v>
      </c>
      <c r="X112" s="31">
        <v>169.23</v>
      </c>
      <c r="Y112" s="31" t="s">
        <v>504</v>
      </c>
      <c r="Z112">
        <f t="shared" si="3"/>
        <v>-3.2981918840921274E-3</v>
      </c>
    </row>
    <row r="113" spans="19:26" ht="15" thickBot="1" x14ac:dyDescent="0.35">
      <c r="S113" s="30" t="s">
        <v>505</v>
      </c>
      <c r="T113" s="31">
        <v>174.48</v>
      </c>
      <c r="U113" s="31">
        <v>174.9</v>
      </c>
      <c r="V113" s="31">
        <v>167.48</v>
      </c>
      <c r="W113" s="31">
        <v>169.99</v>
      </c>
      <c r="X113" s="31">
        <v>169.99</v>
      </c>
      <c r="Y113" s="31" t="s">
        <v>506</v>
      </c>
      <c r="Z113">
        <f t="shared" si="3"/>
        <v>4.4909295042251333E-3</v>
      </c>
    </row>
    <row r="114" spans="19:26" ht="15" thickBot="1" x14ac:dyDescent="0.35">
      <c r="S114" s="30" t="s">
        <v>507</v>
      </c>
      <c r="T114" s="31">
        <v>177.86</v>
      </c>
      <c r="U114" s="31">
        <v>178.28</v>
      </c>
      <c r="V114" s="31">
        <v>173.83</v>
      </c>
      <c r="W114" s="31">
        <v>176.17</v>
      </c>
      <c r="X114" s="31">
        <v>176.17</v>
      </c>
      <c r="Y114" s="31" t="s">
        <v>508</v>
      </c>
      <c r="Z114">
        <f t="shared" si="3"/>
        <v>3.635507971057108E-2</v>
      </c>
    </row>
    <row r="115" spans="19:26" ht="15" thickBot="1" x14ac:dyDescent="0.35">
      <c r="S115" s="30" t="s">
        <v>509</v>
      </c>
      <c r="T115" s="31">
        <v>179.08</v>
      </c>
      <c r="U115" s="31">
        <v>182.09</v>
      </c>
      <c r="V115" s="31">
        <v>175.81</v>
      </c>
      <c r="W115" s="31">
        <v>177.7</v>
      </c>
      <c r="X115" s="31">
        <v>177.7</v>
      </c>
      <c r="Y115" s="31" t="s">
        <v>510</v>
      </c>
      <c r="Z115">
        <f t="shared" si="3"/>
        <v>8.6847930975762124E-3</v>
      </c>
    </row>
    <row r="116" spans="19:26" ht="15" thickBot="1" x14ac:dyDescent="0.35">
      <c r="S116" s="30" t="s">
        <v>511</v>
      </c>
      <c r="T116" s="31">
        <v>177</v>
      </c>
      <c r="U116" s="31">
        <v>179.78</v>
      </c>
      <c r="V116" s="31">
        <v>176.71</v>
      </c>
      <c r="W116" s="31">
        <v>177.42</v>
      </c>
      <c r="X116" s="31">
        <v>177.42</v>
      </c>
      <c r="Y116" s="31" t="s">
        <v>512</v>
      </c>
      <c r="Z116">
        <f t="shared" si="3"/>
        <v>-1.5756893640967988E-3</v>
      </c>
    </row>
    <row r="117" spans="19:26" ht="15" thickBot="1" x14ac:dyDescent="0.35">
      <c r="S117" s="30" t="s">
        <v>513</v>
      </c>
      <c r="T117" s="31">
        <v>180.95</v>
      </c>
      <c r="U117" s="31">
        <v>182.09</v>
      </c>
      <c r="V117" s="31">
        <v>176.13</v>
      </c>
      <c r="W117" s="31">
        <v>177.18</v>
      </c>
      <c r="X117" s="31">
        <v>177.18</v>
      </c>
      <c r="Y117" s="31" t="s">
        <v>514</v>
      </c>
      <c r="Z117">
        <f t="shared" si="3"/>
        <v>-1.3527223537367866E-3</v>
      </c>
    </row>
    <row r="118" spans="19:26" ht="15" thickBot="1" x14ac:dyDescent="0.35">
      <c r="S118" s="30" t="s">
        <v>515</v>
      </c>
      <c r="T118" s="31">
        <v>170.6</v>
      </c>
      <c r="U118" s="31">
        <v>177.44</v>
      </c>
      <c r="V118" s="31">
        <v>170.45</v>
      </c>
      <c r="W118" s="31">
        <v>177</v>
      </c>
      <c r="X118" s="31">
        <v>177</v>
      </c>
      <c r="Y118" s="31" t="s">
        <v>516</v>
      </c>
      <c r="Z118">
        <f t="shared" si="3"/>
        <v>-1.0159160176092495E-3</v>
      </c>
    </row>
    <row r="119" spans="19:26" ht="15" thickBot="1" x14ac:dyDescent="0.35">
      <c r="S119" s="30" t="s">
        <v>517</v>
      </c>
      <c r="T119" s="31">
        <v>166.58</v>
      </c>
      <c r="U119" s="31">
        <v>169.25</v>
      </c>
      <c r="V119" s="31">
        <v>166.58</v>
      </c>
      <c r="W119" s="31">
        <v>166.82</v>
      </c>
      <c r="X119" s="31">
        <v>166.82</v>
      </c>
      <c r="Y119" s="31" t="s">
        <v>518</v>
      </c>
      <c r="Z119">
        <f t="shared" si="3"/>
        <v>-5.751412429378535E-2</v>
      </c>
    </row>
    <row r="120" spans="19:26" ht="15" thickBot="1" x14ac:dyDescent="0.35">
      <c r="S120" s="30" t="s">
        <v>519</v>
      </c>
      <c r="T120" s="31">
        <v>166.99</v>
      </c>
      <c r="U120" s="31">
        <v>169.8</v>
      </c>
      <c r="V120" s="31">
        <v>165.43</v>
      </c>
      <c r="W120" s="31">
        <v>168</v>
      </c>
      <c r="X120" s="31">
        <v>168</v>
      </c>
      <c r="Y120" s="31" t="s">
        <v>520</v>
      </c>
      <c r="Z120">
        <f t="shared" si="3"/>
        <v>7.0734923870039972E-3</v>
      </c>
    </row>
    <row r="121" spans="19:26" ht="15" thickBot="1" x14ac:dyDescent="0.35">
      <c r="S121" s="30" t="s">
        <v>521</v>
      </c>
      <c r="T121" s="31">
        <v>168.26</v>
      </c>
      <c r="U121" s="31">
        <v>168.99</v>
      </c>
      <c r="V121" s="31">
        <v>164.46</v>
      </c>
      <c r="W121" s="31">
        <v>166.78</v>
      </c>
      <c r="X121" s="31">
        <v>166.78</v>
      </c>
      <c r="Y121" s="31" t="s">
        <v>522</v>
      </c>
      <c r="Z121">
        <f t="shared" si="3"/>
        <v>-7.261904761904755E-3</v>
      </c>
    </row>
    <row r="122" spans="19:26" ht="15" thickBot="1" x14ac:dyDescent="0.35">
      <c r="S122" s="30" t="s">
        <v>523</v>
      </c>
      <c r="T122" s="31">
        <v>164.38</v>
      </c>
      <c r="U122" s="31">
        <v>168.26</v>
      </c>
      <c r="V122" s="31">
        <v>163.6</v>
      </c>
      <c r="W122" s="31">
        <v>167.4</v>
      </c>
      <c r="X122" s="31">
        <v>167.4</v>
      </c>
      <c r="Y122" s="31" t="s">
        <v>524</v>
      </c>
      <c r="Z122">
        <f t="shared" si="3"/>
        <v>3.717472118959135E-3</v>
      </c>
    </row>
    <row r="123" spans="19:26" ht="15" thickBot="1" x14ac:dyDescent="0.35">
      <c r="S123" s="30" t="s">
        <v>525</v>
      </c>
      <c r="T123" s="31">
        <v>163.82</v>
      </c>
      <c r="U123" s="31">
        <v>165.73</v>
      </c>
      <c r="V123" s="31">
        <v>162.24</v>
      </c>
      <c r="W123" s="31">
        <v>163</v>
      </c>
      <c r="X123" s="31">
        <v>163</v>
      </c>
      <c r="Y123" s="31" t="s">
        <v>526</v>
      </c>
      <c r="Z123">
        <f t="shared" si="3"/>
        <v>-2.6284348864994058E-2</v>
      </c>
    </row>
    <row r="124" spans="19:26" ht="15" thickBot="1" x14ac:dyDescent="0.35">
      <c r="S124" s="30" t="s">
        <v>527</v>
      </c>
      <c r="T124" s="31">
        <v>169.61</v>
      </c>
      <c r="U124" s="31">
        <v>169.8</v>
      </c>
      <c r="V124" s="31">
        <v>163.95</v>
      </c>
      <c r="W124" s="31">
        <v>163.95</v>
      </c>
      <c r="X124" s="31">
        <v>163.95</v>
      </c>
      <c r="Y124" s="31" t="s">
        <v>528</v>
      </c>
      <c r="Z124">
        <f t="shared" si="3"/>
        <v>5.8282208588956354E-3</v>
      </c>
    </row>
    <row r="125" spans="19:26" ht="15" thickBot="1" x14ac:dyDescent="0.35">
      <c r="S125" s="30" t="s">
        <v>529</v>
      </c>
      <c r="T125" s="31">
        <v>159.86000000000001</v>
      </c>
      <c r="U125" s="31">
        <v>162.78</v>
      </c>
      <c r="V125" s="31">
        <v>157.91</v>
      </c>
      <c r="W125" s="31">
        <v>161.52000000000001</v>
      </c>
      <c r="X125" s="31">
        <v>161.52000000000001</v>
      </c>
      <c r="Y125" s="31" t="s">
        <v>530</v>
      </c>
      <c r="Z125">
        <f t="shared" si="3"/>
        <v>-1.4821591948764737E-2</v>
      </c>
    </row>
    <row r="126" spans="19:26" ht="15" thickBot="1" x14ac:dyDescent="0.35">
      <c r="S126" s="30" t="s">
        <v>531</v>
      </c>
      <c r="T126" s="31">
        <v>151.05000000000001</v>
      </c>
      <c r="U126" s="31">
        <v>158.29</v>
      </c>
      <c r="V126" s="31">
        <v>150.75</v>
      </c>
      <c r="W126" s="31">
        <v>156</v>
      </c>
      <c r="X126" s="31">
        <v>156</v>
      </c>
      <c r="Y126" s="31" t="s">
        <v>532</v>
      </c>
      <c r="Z126">
        <f t="shared" si="3"/>
        <v>-3.4175334323922793E-2</v>
      </c>
    </row>
    <row r="127" spans="19:26" ht="15" thickBot="1" x14ac:dyDescent="0.35">
      <c r="S127" s="30" t="s">
        <v>533</v>
      </c>
      <c r="T127" s="31">
        <v>140.56</v>
      </c>
      <c r="U127" s="31">
        <v>144.88999999999999</v>
      </c>
      <c r="V127" s="31">
        <v>139.96</v>
      </c>
      <c r="W127" s="31">
        <v>144.1</v>
      </c>
      <c r="X127" s="31">
        <v>144.1</v>
      </c>
      <c r="Y127" s="31" t="s">
        <v>534</v>
      </c>
      <c r="Z127">
        <f t="shared" si="3"/>
        <v>-7.6282051282051316E-2</v>
      </c>
    </row>
    <row r="128" spans="19:26" ht="15" thickBot="1" x14ac:dyDescent="0.35">
      <c r="S128" s="30" t="s">
        <v>610</v>
      </c>
      <c r="T128" s="31">
        <v>139.38</v>
      </c>
      <c r="U128" s="31">
        <v>143.83000000000001</v>
      </c>
      <c r="V128" s="31">
        <v>139.19</v>
      </c>
      <c r="W128" s="31">
        <v>143.13999999999999</v>
      </c>
      <c r="X128" s="31">
        <v>143.13999999999999</v>
      </c>
      <c r="Y128" s="31" t="s">
        <v>611</v>
      </c>
      <c r="Z128">
        <f t="shared" si="3"/>
        <v>-6.662040249826565E-3</v>
      </c>
    </row>
    <row r="129" spans="19:26" ht="15" thickBot="1" x14ac:dyDescent="0.35">
      <c r="S129" s="30" t="s">
        <v>612</v>
      </c>
      <c r="T129" s="31">
        <v>141.69999999999999</v>
      </c>
      <c r="U129" s="31">
        <v>141.9</v>
      </c>
      <c r="V129" s="31">
        <v>138.43</v>
      </c>
      <c r="W129" s="31">
        <v>139.63</v>
      </c>
      <c r="X129" s="31">
        <v>139.63</v>
      </c>
      <c r="Y129" s="31" t="s">
        <v>613</v>
      </c>
      <c r="Z129">
        <f t="shared" si="3"/>
        <v>-2.4521447533882849E-2</v>
      </c>
    </row>
    <row r="130" spans="19:26" ht="15" thickBot="1" x14ac:dyDescent="0.35">
      <c r="S130" s="30" t="s">
        <v>614</v>
      </c>
      <c r="T130" s="31">
        <v>147.09</v>
      </c>
      <c r="U130" s="31">
        <v>148.44999999999999</v>
      </c>
      <c r="V130" s="31">
        <v>143.34</v>
      </c>
      <c r="W130" s="31">
        <v>144.19999999999999</v>
      </c>
      <c r="X130" s="31">
        <v>144.19999999999999</v>
      </c>
      <c r="Y130" s="31" t="s">
        <v>615</v>
      </c>
      <c r="Z130">
        <f t="shared" si="3"/>
        <v>3.2729356155553918E-2</v>
      </c>
    </row>
    <row r="131" spans="19:26" ht="15" thickBot="1" x14ac:dyDescent="0.35">
      <c r="S131" s="30" t="s">
        <v>616</v>
      </c>
      <c r="T131" s="31">
        <v>147.03</v>
      </c>
      <c r="U131" s="31">
        <v>149.58000000000001</v>
      </c>
      <c r="V131" s="31">
        <v>146.86000000000001</v>
      </c>
      <c r="W131" s="31">
        <v>148.05000000000001</v>
      </c>
      <c r="X131" s="31">
        <v>148.05000000000001</v>
      </c>
      <c r="Y131" s="31" t="s">
        <v>617</v>
      </c>
      <c r="Z131">
        <f t="shared" si="3"/>
        <v>2.669902912621375E-2</v>
      </c>
    </row>
    <row r="132" spans="19:26" ht="15" thickBot="1" x14ac:dyDescent="0.35">
      <c r="S132" s="30" t="s">
        <v>618</v>
      </c>
      <c r="T132" s="31">
        <v>150.46</v>
      </c>
      <c r="U132" s="31">
        <v>152.1</v>
      </c>
      <c r="V132" s="31">
        <v>147.47999999999999</v>
      </c>
      <c r="W132" s="31">
        <v>147.58000000000001</v>
      </c>
      <c r="X132" s="31">
        <v>147.58000000000001</v>
      </c>
      <c r="Y132" s="31" t="s">
        <v>619</v>
      </c>
      <c r="Z132">
        <f t="shared" ref="Z132:Z195" si="4">(X132-X131)/X131</f>
        <v>-3.1746031746031668E-3</v>
      </c>
    </row>
    <row r="133" spans="19:26" ht="15" thickBot="1" x14ac:dyDescent="0.35">
      <c r="S133" s="30" t="s">
        <v>620</v>
      </c>
      <c r="T133" s="31">
        <v>152.16</v>
      </c>
      <c r="U133" s="31">
        <v>153.72999999999999</v>
      </c>
      <c r="V133" s="31">
        <v>148.86000000000001</v>
      </c>
      <c r="W133" s="31">
        <v>152.38999999999999</v>
      </c>
      <c r="X133" s="31">
        <v>152.38999999999999</v>
      </c>
      <c r="Y133" s="31" t="s">
        <v>621</v>
      </c>
      <c r="Z133">
        <f t="shared" si="4"/>
        <v>3.2592492207616029E-2</v>
      </c>
    </row>
    <row r="134" spans="19:26" ht="15" thickBot="1" x14ac:dyDescent="0.35">
      <c r="S134" s="30" t="s">
        <v>622</v>
      </c>
      <c r="T134" s="31">
        <v>144.91999999999999</v>
      </c>
      <c r="U134" s="31">
        <v>150.99</v>
      </c>
      <c r="V134" s="31">
        <v>144.44</v>
      </c>
      <c r="W134" s="31">
        <v>150.18</v>
      </c>
      <c r="X134" s="31">
        <v>150.18</v>
      </c>
      <c r="Y134" s="31" t="s">
        <v>623</v>
      </c>
      <c r="Z134">
        <f t="shared" si="4"/>
        <v>-1.4502263928079137E-2</v>
      </c>
    </row>
    <row r="135" spans="19:26" ht="15" thickBot="1" x14ac:dyDescent="0.35">
      <c r="S135" s="30" t="s">
        <v>624</v>
      </c>
      <c r="T135" s="31">
        <v>147.71</v>
      </c>
      <c r="U135" s="31">
        <v>148</v>
      </c>
      <c r="V135" s="31">
        <v>144.57</v>
      </c>
      <c r="W135" s="31">
        <v>145.08000000000001</v>
      </c>
      <c r="X135" s="31">
        <v>145.08000000000001</v>
      </c>
      <c r="Y135" s="31" t="s">
        <v>625</v>
      </c>
      <c r="Z135">
        <f t="shared" si="4"/>
        <v>-3.3959248901318378E-2</v>
      </c>
    </row>
    <row r="136" spans="19:26" ht="15" thickBot="1" x14ac:dyDescent="0.35">
      <c r="S136" s="30" t="s">
        <v>626</v>
      </c>
      <c r="T136" s="31">
        <v>152.58000000000001</v>
      </c>
      <c r="U136" s="31">
        <v>152.68</v>
      </c>
      <c r="V136" s="31">
        <v>149.61000000000001</v>
      </c>
      <c r="W136" s="31">
        <v>151.19</v>
      </c>
      <c r="X136" s="31">
        <v>151.19</v>
      </c>
      <c r="Y136" s="31" t="s">
        <v>627</v>
      </c>
      <c r="Z136">
        <f t="shared" si="4"/>
        <v>4.211469534050169E-2</v>
      </c>
    </row>
    <row r="137" spans="19:26" ht="15" thickBot="1" x14ac:dyDescent="0.35">
      <c r="S137" s="30" t="s">
        <v>628</v>
      </c>
      <c r="T137" s="31">
        <v>151.47</v>
      </c>
      <c r="U137" s="31">
        <v>154</v>
      </c>
      <c r="V137" s="31">
        <v>151.02000000000001</v>
      </c>
      <c r="W137" s="31">
        <v>151.88999999999999</v>
      </c>
      <c r="X137" s="31">
        <v>151.88999999999999</v>
      </c>
      <c r="Y137" s="31" t="s">
        <v>629</v>
      </c>
      <c r="Z137">
        <f t="shared" si="4"/>
        <v>4.6299358423175386E-3</v>
      </c>
    </row>
    <row r="138" spans="19:26" ht="15" thickBot="1" x14ac:dyDescent="0.35">
      <c r="S138" s="30" t="s">
        <v>630</v>
      </c>
      <c r="T138" s="31">
        <v>151.58000000000001</v>
      </c>
      <c r="U138" s="31">
        <v>152.58000000000001</v>
      </c>
      <c r="V138" s="31">
        <v>149.57</v>
      </c>
      <c r="W138" s="31">
        <v>150.18</v>
      </c>
      <c r="X138" s="31">
        <v>150.18</v>
      </c>
      <c r="Y138" s="31" t="s">
        <v>631</v>
      </c>
      <c r="Z138">
        <f t="shared" si="4"/>
        <v>-1.1258147343472117E-2</v>
      </c>
    </row>
    <row r="139" spans="19:26" ht="15" thickBot="1" x14ac:dyDescent="0.35">
      <c r="S139" s="30" t="s">
        <v>632</v>
      </c>
      <c r="T139" s="31">
        <v>154.4</v>
      </c>
      <c r="U139" s="31">
        <v>155.13999999999999</v>
      </c>
      <c r="V139" s="31">
        <v>149.09</v>
      </c>
      <c r="W139" s="31">
        <v>151.49</v>
      </c>
      <c r="X139" s="31">
        <v>151.49</v>
      </c>
      <c r="Y139" s="31" t="s">
        <v>633</v>
      </c>
      <c r="Z139">
        <f t="shared" si="4"/>
        <v>8.7228658942602351E-3</v>
      </c>
    </row>
    <row r="140" spans="19:26" ht="15" thickBot="1" x14ac:dyDescent="0.35">
      <c r="S140" s="30" t="s">
        <v>634</v>
      </c>
      <c r="T140" s="31">
        <v>158.47999999999999</v>
      </c>
      <c r="U140" s="31">
        <v>160.38</v>
      </c>
      <c r="V140" s="31">
        <v>158.09</v>
      </c>
      <c r="W140" s="31">
        <v>160.05000000000001</v>
      </c>
      <c r="X140" s="31">
        <v>160.05000000000001</v>
      </c>
      <c r="Y140" s="31" t="s">
        <v>635</v>
      </c>
      <c r="Z140">
        <f t="shared" si="4"/>
        <v>5.6505379893062258E-2</v>
      </c>
    </row>
    <row r="141" spans="19:26" ht="15" thickBot="1" x14ac:dyDescent="0.35">
      <c r="S141" s="30" t="s">
        <v>636</v>
      </c>
      <c r="T141" s="31">
        <v>154.91999999999999</v>
      </c>
      <c r="U141" s="31">
        <v>157.63999999999999</v>
      </c>
      <c r="V141" s="31">
        <v>153.66999999999999</v>
      </c>
      <c r="W141" s="31">
        <v>156.26</v>
      </c>
      <c r="X141" s="31">
        <v>156.26</v>
      </c>
      <c r="Y141" s="31" t="s">
        <v>637</v>
      </c>
      <c r="Z141">
        <f t="shared" si="4"/>
        <v>-2.3680099968759888E-2</v>
      </c>
    </row>
    <row r="142" spans="19:26" ht="15" thickBot="1" x14ac:dyDescent="0.35">
      <c r="S142" s="30" t="s">
        <v>638</v>
      </c>
      <c r="T142" s="31">
        <v>157.94999999999999</v>
      </c>
      <c r="U142" s="31">
        <v>158.03</v>
      </c>
      <c r="V142" s="31">
        <v>153.91999999999999</v>
      </c>
      <c r="W142" s="31">
        <v>157.86000000000001</v>
      </c>
      <c r="X142" s="31">
        <v>157.86000000000001</v>
      </c>
      <c r="Y142" s="31" t="s">
        <v>639</v>
      </c>
      <c r="Z142">
        <f t="shared" si="4"/>
        <v>1.0239344681940502E-2</v>
      </c>
    </row>
    <row r="143" spans="19:26" ht="15" thickBot="1" x14ac:dyDescent="0.35">
      <c r="S143" s="30" t="s">
        <v>640</v>
      </c>
      <c r="T143" s="31">
        <v>162.86000000000001</v>
      </c>
      <c r="U143" s="31">
        <v>163.07</v>
      </c>
      <c r="V143" s="31">
        <v>159.47999999999999</v>
      </c>
      <c r="W143" s="31">
        <v>160.15</v>
      </c>
      <c r="X143" s="31">
        <v>160.15</v>
      </c>
      <c r="Y143" s="31" t="s">
        <v>641</v>
      </c>
      <c r="Z143">
        <f t="shared" si="4"/>
        <v>1.4506524768782414E-2</v>
      </c>
    </row>
    <row r="144" spans="19:26" ht="15" thickBot="1" x14ac:dyDescent="0.35">
      <c r="S144" s="30" t="s">
        <v>642</v>
      </c>
      <c r="T144" s="31">
        <v>164.49</v>
      </c>
      <c r="U144" s="31">
        <v>166.86</v>
      </c>
      <c r="V144" s="31">
        <v>163.02000000000001</v>
      </c>
      <c r="W144" s="31">
        <v>165.41</v>
      </c>
      <c r="X144" s="31">
        <v>165.41</v>
      </c>
      <c r="Y144" s="31" t="s">
        <v>643</v>
      </c>
      <c r="Z144">
        <f t="shared" si="4"/>
        <v>3.2844208554480114E-2</v>
      </c>
    </row>
    <row r="145" spans="19:26" ht="15" thickBot="1" x14ac:dyDescent="0.35">
      <c r="S145" s="30" t="s">
        <v>644</v>
      </c>
      <c r="T145" s="31">
        <v>171.2</v>
      </c>
      <c r="U145" s="31">
        <v>171.64</v>
      </c>
      <c r="V145" s="31">
        <v>167.61</v>
      </c>
      <c r="W145" s="31">
        <v>168.1</v>
      </c>
      <c r="X145" s="31">
        <v>168.1</v>
      </c>
      <c r="Y145" s="31" t="s">
        <v>645</v>
      </c>
      <c r="Z145">
        <f t="shared" si="4"/>
        <v>1.6262620155976047E-2</v>
      </c>
    </row>
    <row r="146" spans="19:26" ht="15" thickBot="1" x14ac:dyDescent="0.35">
      <c r="S146" s="30" t="s">
        <v>646</v>
      </c>
      <c r="T146" s="31">
        <v>167.3</v>
      </c>
      <c r="U146" s="31">
        <v>169.04</v>
      </c>
      <c r="V146" s="31">
        <v>165.58</v>
      </c>
      <c r="W146" s="31">
        <v>167.32</v>
      </c>
      <c r="X146" s="31">
        <v>167.32</v>
      </c>
      <c r="Y146" s="31" t="s">
        <v>647</v>
      </c>
      <c r="Z146">
        <f t="shared" si="4"/>
        <v>-4.6400951814396258E-3</v>
      </c>
    </row>
    <row r="147" spans="19:26" ht="15" thickBot="1" x14ac:dyDescent="0.35">
      <c r="S147" s="30" t="s">
        <v>648</v>
      </c>
      <c r="T147" s="31">
        <v>174.25</v>
      </c>
      <c r="U147" s="31">
        <v>174.37</v>
      </c>
      <c r="V147" s="31">
        <v>169.26</v>
      </c>
      <c r="W147" s="31">
        <v>170.71</v>
      </c>
      <c r="X147" s="31">
        <v>170.71</v>
      </c>
      <c r="Y147" s="31" t="s">
        <v>649</v>
      </c>
      <c r="Z147">
        <f t="shared" si="4"/>
        <v>2.0260578532154044E-2</v>
      </c>
    </row>
    <row r="148" spans="19:26" ht="15" thickBot="1" x14ac:dyDescent="0.35">
      <c r="S148" s="30" t="s">
        <v>650</v>
      </c>
      <c r="T148" s="31">
        <v>174.15</v>
      </c>
      <c r="U148" s="31">
        <v>176.84</v>
      </c>
      <c r="V148" s="31">
        <v>173.37</v>
      </c>
      <c r="W148" s="31">
        <v>175.16</v>
      </c>
      <c r="X148" s="31">
        <v>175.16</v>
      </c>
      <c r="Y148" s="31" t="s">
        <v>651</v>
      </c>
      <c r="Z148">
        <f t="shared" si="4"/>
        <v>2.6067600023431482E-2</v>
      </c>
    </row>
    <row r="149" spans="19:26" ht="15" thickBot="1" x14ac:dyDescent="0.35">
      <c r="S149" s="30" t="s">
        <v>652</v>
      </c>
      <c r="T149" s="31">
        <v>169.52</v>
      </c>
      <c r="U149" s="31">
        <v>172.06</v>
      </c>
      <c r="V149" s="31">
        <v>168.88</v>
      </c>
      <c r="W149" s="31">
        <v>170.3</v>
      </c>
      <c r="X149" s="31">
        <v>170.3</v>
      </c>
      <c r="Y149" s="31" t="s">
        <v>653</v>
      </c>
      <c r="Z149">
        <f t="shared" si="4"/>
        <v>-2.7746060744462123E-2</v>
      </c>
    </row>
    <row r="150" spans="19:26" ht="15" thickBot="1" x14ac:dyDescent="0.35">
      <c r="S150" s="30" t="s">
        <v>654</v>
      </c>
      <c r="T150" s="31">
        <v>178.01</v>
      </c>
      <c r="U150" s="31">
        <v>178.18</v>
      </c>
      <c r="V150" s="31">
        <v>171.67</v>
      </c>
      <c r="W150" s="31">
        <v>172</v>
      </c>
      <c r="X150" s="31">
        <v>172</v>
      </c>
      <c r="Y150" s="31" t="s">
        <v>655</v>
      </c>
      <c r="Z150">
        <f t="shared" si="4"/>
        <v>9.9823840281854873E-3</v>
      </c>
    </row>
    <row r="151" spans="19:26" ht="15" thickBot="1" x14ac:dyDescent="0.35">
      <c r="S151" s="30" t="s">
        <v>656</v>
      </c>
      <c r="T151" s="31">
        <v>169.56</v>
      </c>
      <c r="U151" s="31">
        <v>174.79</v>
      </c>
      <c r="V151" s="31">
        <v>169.33</v>
      </c>
      <c r="W151" s="31">
        <v>173.28</v>
      </c>
      <c r="X151" s="31">
        <v>173.28</v>
      </c>
      <c r="Y151" s="31" t="s">
        <v>657</v>
      </c>
      <c r="Z151">
        <f t="shared" si="4"/>
        <v>7.4418604651162856E-3</v>
      </c>
    </row>
    <row r="152" spans="19:26" ht="15" thickBot="1" x14ac:dyDescent="0.35">
      <c r="S152" s="30" t="s">
        <v>658</v>
      </c>
      <c r="T152" s="31">
        <v>167.7</v>
      </c>
      <c r="U152" s="31">
        <v>169</v>
      </c>
      <c r="V152" s="31">
        <v>166.14</v>
      </c>
      <c r="W152" s="31">
        <v>166.99</v>
      </c>
      <c r="X152" s="31">
        <v>166.99</v>
      </c>
      <c r="Y152" s="31" t="s">
        <v>659</v>
      </c>
      <c r="Z152">
        <f t="shared" si="4"/>
        <v>-3.6299630655586286E-2</v>
      </c>
    </row>
    <row r="153" spans="19:26" ht="15" thickBot="1" x14ac:dyDescent="0.35">
      <c r="S153" s="30" t="s">
        <v>660</v>
      </c>
      <c r="T153" s="31">
        <v>160.16999999999999</v>
      </c>
      <c r="U153" s="31">
        <v>163.29</v>
      </c>
      <c r="V153" s="31">
        <v>158.22999999999999</v>
      </c>
      <c r="W153" s="31">
        <v>162.29</v>
      </c>
      <c r="X153" s="31">
        <v>162.29</v>
      </c>
      <c r="Y153" s="31" t="s">
        <v>661</v>
      </c>
      <c r="Z153">
        <f t="shared" si="4"/>
        <v>-2.8145397928019743E-2</v>
      </c>
    </row>
    <row r="154" spans="19:26" ht="15" thickBot="1" x14ac:dyDescent="0.35">
      <c r="S154" s="30" t="s">
        <v>662</v>
      </c>
      <c r="T154" s="31">
        <v>159.99</v>
      </c>
      <c r="U154" s="31">
        <v>161.77000000000001</v>
      </c>
      <c r="V154" s="31">
        <v>158.55000000000001</v>
      </c>
      <c r="W154" s="31">
        <v>159.47</v>
      </c>
      <c r="X154" s="31">
        <v>159.47</v>
      </c>
      <c r="Y154" s="31" t="s">
        <v>663</v>
      </c>
      <c r="Z154">
        <f t="shared" si="4"/>
        <v>-1.7376301682173845E-2</v>
      </c>
    </row>
    <row r="155" spans="19:26" ht="15" thickBot="1" x14ac:dyDescent="0.35">
      <c r="S155" s="30" t="s">
        <v>664</v>
      </c>
      <c r="T155" s="31">
        <v>167.46</v>
      </c>
      <c r="U155" s="31">
        <v>168.45</v>
      </c>
      <c r="V155" s="31">
        <v>164.82</v>
      </c>
      <c r="W155" s="31">
        <v>165.24</v>
      </c>
      <c r="X155" s="31">
        <v>165.24</v>
      </c>
      <c r="Y155" s="31" t="s">
        <v>665</v>
      </c>
      <c r="Z155">
        <f t="shared" si="4"/>
        <v>3.6182354047783347E-2</v>
      </c>
    </row>
    <row r="156" spans="19:26" ht="15" thickBot="1" x14ac:dyDescent="0.35">
      <c r="S156" s="30" t="s">
        <v>666</v>
      </c>
      <c r="T156" s="31">
        <v>168.7</v>
      </c>
      <c r="U156" s="31">
        <v>169.61</v>
      </c>
      <c r="V156" s="31">
        <v>166.08</v>
      </c>
      <c r="W156" s="31">
        <v>169.1</v>
      </c>
      <c r="X156" s="31">
        <v>169.1</v>
      </c>
      <c r="Y156" s="31" t="s">
        <v>667</v>
      </c>
      <c r="Z156">
        <f t="shared" si="4"/>
        <v>2.3359961268457911E-2</v>
      </c>
    </row>
    <row r="157" spans="19:26" ht="15" thickBot="1" x14ac:dyDescent="0.35">
      <c r="S157" s="30" t="s">
        <v>668</v>
      </c>
      <c r="T157" s="31">
        <v>169.04</v>
      </c>
      <c r="U157" s="31">
        <v>174.15</v>
      </c>
      <c r="V157" s="31">
        <v>168.16</v>
      </c>
      <c r="W157" s="31">
        <v>171.7</v>
      </c>
      <c r="X157" s="31">
        <v>171.7</v>
      </c>
      <c r="Y157" s="31" t="s">
        <v>669</v>
      </c>
      <c r="Z157">
        <f t="shared" si="4"/>
        <v>1.5375517445298607E-2</v>
      </c>
    </row>
    <row r="158" spans="19:26" ht="15" thickBot="1" x14ac:dyDescent="0.35">
      <c r="S158" s="30" t="s">
        <v>670</v>
      </c>
      <c r="T158" s="31">
        <v>159.28</v>
      </c>
      <c r="U158" s="31">
        <v>161.47</v>
      </c>
      <c r="V158" s="31">
        <v>152.80000000000001</v>
      </c>
      <c r="W158" s="31">
        <v>161.06</v>
      </c>
      <c r="X158" s="31">
        <v>161.06</v>
      </c>
      <c r="Y158" s="31" t="s">
        <v>671</v>
      </c>
      <c r="Z158">
        <f t="shared" si="4"/>
        <v>-6.1968549796156014E-2</v>
      </c>
    </row>
    <row r="159" spans="19:26" ht="15" thickBot="1" x14ac:dyDescent="0.35">
      <c r="S159" s="30" t="s">
        <v>672</v>
      </c>
      <c r="T159" s="31">
        <v>164.12</v>
      </c>
      <c r="U159" s="31">
        <v>166.93</v>
      </c>
      <c r="V159" s="31">
        <v>155.5</v>
      </c>
      <c r="W159" s="31">
        <v>157.96</v>
      </c>
      <c r="X159" s="31">
        <v>157.96</v>
      </c>
      <c r="Y159" s="31" t="s">
        <v>673</v>
      </c>
      <c r="Z159">
        <f t="shared" si="4"/>
        <v>-1.9247485409164253E-2</v>
      </c>
    </row>
    <row r="160" spans="19:26" ht="15" thickBot="1" x14ac:dyDescent="0.35">
      <c r="S160" s="30" t="s">
        <v>674</v>
      </c>
      <c r="T160" s="31">
        <v>166.7</v>
      </c>
      <c r="U160" s="31">
        <v>167.26</v>
      </c>
      <c r="V160" s="31">
        <v>159.51</v>
      </c>
      <c r="W160" s="31">
        <v>160.55000000000001</v>
      </c>
      <c r="X160" s="31">
        <v>160.55000000000001</v>
      </c>
      <c r="Y160" s="31" t="s">
        <v>675</v>
      </c>
      <c r="Z160">
        <f t="shared" si="4"/>
        <v>1.6396556090149426E-2</v>
      </c>
    </row>
    <row r="161" spans="19:26" ht="15" thickBot="1" x14ac:dyDescent="0.35">
      <c r="S161" s="30" t="s">
        <v>676</v>
      </c>
      <c r="T161" s="31">
        <v>174.1</v>
      </c>
      <c r="U161" s="31">
        <v>175.36</v>
      </c>
      <c r="V161" s="31">
        <v>172.11</v>
      </c>
      <c r="W161" s="31">
        <v>172.35</v>
      </c>
      <c r="X161" s="31">
        <v>172.35</v>
      </c>
      <c r="Y161" s="31" t="s">
        <v>677</v>
      </c>
      <c r="Z161">
        <f t="shared" si="4"/>
        <v>7.3497352849579464E-2</v>
      </c>
    </row>
    <row r="162" spans="19:26" ht="15" thickBot="1" x14ac:dyDescent="0.35">
      <c r="S162" s="30" t="s">
        <v>678</v>
      </c>
      <c r="T162" s="31">
        <v>175.92</v>
      </c>
      <c r="U162" s="31">
        <v>177.89</v>
      </c>
      <c r="V162" s="31">
        <v>173.15</v>
      </c>
      <c r="W162" s="31">
        <v>173.73</v>
      </c>
      <c r="X162" s="31">
        <v>173.73</v>
      </c>
      <c r="Y162" s="31" t="s">
        <v>679</v>
      </c>
      <c r="Z162">
        <f t="shared" si="4"/>
        <v>8.0069625761531506E-3</v>
      </c>
    </row>
    <row r="163" spans="19:26" ht="15" thickBot="1" x14ac:dyDescent="0.35">
      <c r="S163" s="30" t="s">
        <v>680</v>
      </c>
      <c r="T163" s="31">
        <v>185</v>
      </c>
      <c r="U163" s="31">
        <v>186.26</v>
      </c>
      <c r="V163" s="31">
        <v>181.51</v>
      </c>
      <c r="W163" s="31">
        <v>182.71</v>
      </c>
      <c r="X163" s="31">
        <v>182.71</v>
      </c>
      <c r="Y163" s="31" t="s">
        <v>681</v>
      </c>
      <c r="Z163">
        <f t="shared" si="4"/>
        <v>5.1689403096759449E-2</v>
      </c>
    </row>
    <row r="164" spans="19:26" ht="15" thickBot="1" x14ac:dyDescent="0.35">
      <c r="S164" s="30" t="s">
        <v>682</v>
      </c>
      <c r="T164" s="31">
        <v>188.61</v>
      </c>
      <c r="U164" s="31">
        <v>189.26</v>
      </c>
      <c r="V164" s="31">
        <v>186.71</v>
      </c>
      <c r="W164" s="31">
        <v>188.62</v>
      </c>
      <c r="X164" s="31">
        <v>188.62</v>
      </c>
      <c r="Y164" s="31" t="s">
        <v>683</v>
      </c>
      <c r="Z164">
        <f t="shared" si="4"/>
        <v>3.2346341196431483E-2</v>
      </c>
    </row>
    <row r="165" spans="19:26" ht="15" thickBot="1" x14ac:dyDescent="0.35">
      <c r="S165" s="30" t="s">
        <v>684</v>
      </c>
      <c r="T165" s="31">
        <v>191.17</v>
      </c>
      <c r="U165" s="31">
        <v>192.98</v>
      </c>
      <c r="V165" s="31">
        <v>189.68</v>
      </c>
      <c r="W165" s="31">
        <v>191.66</v>
      </c>
      <c r="X165" s="31">
        <v>191.66</v>
      </c>
      <c r="Y165" s="31" t="s">
        <v>685</v>
      </c>
      <c r="Z165">
        <f t="shared" si="4"/>
        <v>1.6117060757077681E-2</v>
      </c>
    </row>
    <row r="166" spans="19:26" ht="15" thickBot="1" x14ac:dyDescent="0.35">
      <c r="S166" s="30" t="s">
        <v>686</v>
      </c>
      <c r="T166" s="31">
        <v>196.6</v>
      </c>
      <c r="U166" s="31">
        <v>196.92</v>
      </c>
      <c r="V166" s="31">
        <v>194.73</v>
      </c>
      <c r="W166" s="31">
        <v>194.86</v>
      </c>
      <c r="X166" s="31">
        <v>194.86</v>
      </c>
      <c r="Y166" s="31" t="s">
        <v>687</v>
      </c>
      <c r="Z166">
        <f t="shared" si="4"/>
        <v>1.6696232912449219E-2</v>
      </c>
    </row>
    <row r="167" spans="19:26" ht="15" thickBot="1" x14ac:dyDescent="0.35">
      <c r="S167" s="30" t="s">
        <v>688</v>
      </c>
      <c r="T167" s="31">
        <v>197.27</v>
      </c>
      <c r="U167" s="31">
        <v>198.45</v>
      </c>
      <c r="V167" s="31">
        <v>195.07</v>
      </c>
      <c r="W167" s="31">
        <v>195.73</v>
      </c>
      <c r="X167" s="31">
        <v>195.73</v>
      </c>
      <c r="Y167" s="31" t="s">
        <v>689</v>
      </c>
      <c r="Z167">
        <f t="shared" si="4"/>
        <v>4.4647439187107466E-3</v>
      </c>
    </row>
    <row r="168" spans="19:26" ht="15" thickBot="1" x14ac:dyDescent="0.35">
      <c r="S168" s="30" t="s">
        <v>690</v>
      </c>
      <c r="T168" s="31">
        <v>194.58</v>
      </c>
      <c r="U168" s="31">
        <v>195.5</v>
      </c>
      <c r="V168" s="31">
        <v>192.82</v>
      </c>
      <c r="W168" s="31">
        <v>195.25</v>
      </c>
      <c r="X168" s="31">
        <v>195.25</v>
      </c>
      <c r="Y168" s="31" t="s">
        <v>691</v>
      </c>
      <c r="Z168">
        <f t="shared" si="4"/>
        <v>-2.4523578398814171E-3</v>
      </c>
    </row>
    <row r="169" spans="19:26" ht="15" thickBot="1" x14ac:dyDescent="0.35">
      <c r="S169" s="30" t="s">
        <v>692</v>
      </c>
      <c r="T169" s="31">
        <v>199.25</v>
      </c>
      <c r="U169" s="31">
        <v>199.32</v>
      </c>
      <c r="V169" s="31">
        <v>195.68</v>
      </c>
      <c r="W169" s="31">
        <v>196.39</v>
      </c>
      <c r="X169" s="31">
        <v>196.39</v>
      </c>
      <c r="Y169" s="31" t="s">
        <v>693</v>
      </c>
      <c r="Z169">
        <f t="shared" si="4"/>
        <v>5.8386683738795714E-3</v>
      </c>
    </row>
    <row r="170" spans="19:26" ht="15" thickBot="1" x14ac:dyDescent="0.35">
      <c r="S170" s="30" t="s">
        <v>694</v>
      </c>
      <c r="T170" s="31">
        <v>199.27</v>
      </c>
      <c r="U170" s="31">
        <v>200.29</v>
      </c>
      <c r="V170" s="31">
        <v>197.64</v>
      </c>
      <c r="W170" s="31">
        <v>199.28</v>
      </c>
      <c r="X170" s="31">
        <v>199.28</v>
      </c>
      <c r="Y170" s="31" t="s">
        <v>695</v>
      </c>
      <c r="Z170">
        <f t="shared" si="4"/>
        <v>1.4715616884770176E-2</v>
      </c>
    </row>
    <row r="171" spans="19:26" ht="15" thickBot="1" x14ac:dyDescent="0.35">
      <c r="S171" s="30" t="s">
        <v>696</v>
      </c>
      <c r="T171" s="31">
        <v>197.49</v>
      </c>
      <c r="U171" s="31">
        <v>203.27</v>
      </c>
      <c r="V171" s="31">
        <v>196.91</v>
      </c>
      <c r="W171" s="31">
        <v>200.71</v>
      </c>
      <c r="X171" s="31">
        <v>200.71</v>
      </c>
      <c r="Y171" s="31" t="s">
        <v>697</v>
      </c>
      <c r="Z171">
        <f t="shared" si="4"/>
        <v>7.175832998795699E-3</v>
      </c>
    </row>
    <row r="172" spans="19:26" ht="15" thickBot="1" x14ac:dyDescent="0.35">
      <c r="S172" s="30" t="s">
        <v>698</v>
      </c>
      <c r="T172" s="31">
        <v>195.01</v>
      </c>
      <c r="U172" s="31">
        <v>197.44</v>
      </c>
      <c r="V172" s="31">
        <v>192</v>
      </c>
      <c r="W172" s="31">
        <v>197.38</v>
      </c>
      <c r="X172" s="31">
        <v>197.38</v>
      </c>
      <c r="Y172" s="31" t="s">
        <v>699</v>
      </c>
      <c r="Z172">
        <f t="shared" si="4"/>
        <v>-1.6591101589357841E-2</v>
      </c>
    </row>
    <row r="173" spans="19:26" ht="15" thickBot="1" x14ac:dyDescent="0.35">
      <c r="S173" s="30" t="s">
        <v>700</v>
      </c>
      <c r="T173" s="31">
        <v>196.27</v>
      </c>
      <c r="U173" s="31">
        <v>202.07</v>
      </c>
      <c r="V173" s="31">
        <v>196.25</v>
      </c>
      <c r="W173" s="31">
        <v>200.09</v>
      </c>
      <c r="X173" s="31">
        <v>200.09</v>
      </c>
      <c r="Y173" s="31" t="s">
        <v>701</v>
      </c>
      <c r="Z173">
        <f t="shared" si="4"/>
        <v>1.3729861181477393E-2</v>
      </c>
    </row>
    <row r="174" spans="19:26" ht="15" thickBot="1" x14ac:dyDescent="0.35">
      <c r="S174" s="30" t="s">
        <v>702</v>
      </c>
      <c r="T174" s="31">
        <v>190.58</v>
      </c>
      <c r="U174" s="31">
        <v>196.04</v>
      </c>
      <c r="V174" s="31">
        <v>190.49</v>
      </c>
      <c r="W174" s="31">
        <v>195.19</v>
      </c>
      <c r="X174" s="31">
        <v>195.19</v>
      </c>
      <c r="Y174" s="31" t="s">
        <v>703</v>
      </c>
      <c r="Z174">
        <f t="shared" si="4"/>
        <v>-2.448897995901847E-2</v>
      </c>
    </row>
    <row r="175" spans="19:26" ht="15" thickBot="1" x14ac:dyDescent="0.35">
      <c r="S175" s="30" t="s">
        <v>704</v>
      </c>
      <c r="T175" s="31">
        <v>201.04</v>
      </c>
      <c r="U175" s="31">
        <v>201.14</v>
      </c>
      <c r="V175" s="31">
        <v>194.91</v>
      </c>
      <c r="W175" s="31">
        <v>197.54</v>
      </c>
      <c r="X175" s="31">
        <v>197.54</v>
      </c>
      <c r="Y175" s="31" t="s">
        <v>705</v>
      </c>
      <c r="Z175">
        <f t="shared" si="4"/>
        <v>1.2039551206516699E-2</v>
      </c>
    </row>
    <row r="176" spans="19:26" ht="15" thickBot="1" x14ac:dyDescent="0.35">
      <c r="S176" s="30" t="s">
        <v>706</v>
      </c>
      <c r="T176" s="31">
        <v>190.23</v>
      </c>
      <c r="U176" s="31">
        <v>198</v>
      </c>
      <c r="V176" s="31">
        <v>189.76</v>
      </c>
      <c r="W176" s="31">
        <v>196.01</v>
      </c>
      <c r="X176" s="31">
        <v>196.01</v>
      </c>
      <c r="Y176" s="31" t="s">
        <v>707</v>
      </c>
      <c r="Z176">
        <f t="shared" si="4"/>
        <v>-7.745266781411366E-3</v>
      </c>
    </row>
    <row r="177" spans="19:26" ht="15" thickBot="1" x14ac:dyDescent="0.35">
      <c r="S177" s="30" t="s">
        <v>708</v>
      </c>
      <c r="T177" s="31">
        <v>183.59</v>
      </c>
      <c r="U177" s="31">
        <v>186.9</v>
      </c>
      <c r="V177" s="31">
        <v>179.67</v>
      </c>
      <c r="W177" s="31">
        <v>186.07</v>
      </c>
      <c r="X177" s="31">
        <v>186.07</v>
      </c>
      <c r="Y177" s="31" t="s">
        <v>709</v>
      </c>
      <c r="Z177">
        <f t="shared" si="4"/>
        <v>-5.0711698382735565E-2</v>
      </c>
    </row>
    <row r="178" spans="19:26" ht="15" thickBot="1" x14ac:dyDescent="0.35">
      <c r="S178" s="30" t="s">
        <v>710</v>
      </c>
      <c r="T178" s="31">
        <v>198.37</v>
      </c>
      <c r="U178" s="31">
        <v>198.57</v>
      </c>
      <c r="V178" s="31">
        <v>190.88</v>
      </c>
      <c r="W178" s="31">
        <v>191.76</v>
      </c>
      <c r="X178" s="31">
        <v>191.76</v>
      </c>
      <c r="Y178" s="31" t="s">
        <v>711</v>
      </c>
      <c r="Z178">
        <f t="shared" si="4"/>
        <v>3.0579889288977254E-2</v>
      </c>
    </row>
    <row r="179" spans="19:26" ht="15" thickBot="1" x14ac:dyDescent="0.35">
      <c r="S179" s="30" t="s">
        <v>712</v>
      </c>
      <c r="T179" s="31">
        <v>206.29</v>
      </c>
      <c r="U179" s="31">
        <v>206.89</v>
      </c>
      <c r="V179" s="31">
        <v>203.56</v>
      </c>
      <c r="W179" s="31">
        <v>206.53</v>
      </c>
      <c r="X179" s="31">
        <v>206.53</v>
      </c>
      <c r="Y179" s="31" t="s">
        <v>713</v>
      </c>
      <c r="Z179">
        <f t="shared" si="4"/>
        <v>7.702336253650402E-2</v>
      </c>
    </row>
    <row r="180" spans="19:26" ht="15" thickBot="1" x14ac:dyDescent="0.35">
      <c r="S180" s="30" t="s">
        <v>714</v>
      </c>
      <c r="T180" s="31">
        <v>212.64</v>
      </c>
      <c r="U180" s="31">
        <v>216.39</v>
      </c>
      <c r="V180" s="31">
        <v>212.6</v>
      </c>
      <c r="W180" s="31">
        <v>214.04</v>
      </c>
      <c r="X180" s="31">
        <v>214.04</v>
      </c>
      <c r="Y180" s="31" t="s">
        <v>715</v>
      </c>
      <c r="Z180">
        <f t="shared" si="4"/>
        <v>3.6362756016075103E-2</v>
      </c>
    </row>
    <row r="181" spans="19:26" ht="15" thickBot="1" x14ac:dyDescent="0.35">
      <c r="S181" s="30" t="s">
        <v>716</v>
      </c>
      <c r="T181" s="31">
        <v>209.15</v>
      </c>
      <c r="U181" s="31">
        <v>211.85</v>
      </c>
      <c r="V181" s="31">
        <v>208.42</v>
      </c>
      <c r="W181" s="31">
        <v>211.08</v>
      </c>
      <c r="X181" s="31">
        <v>211.08</v>
      </c>
      <c r="Y181" s="31" t="s">
        <v>717</v>
      </c>
      <c r="Z181">
        <f t="shared" si="4"/>
        <v>-1.382919080545683E-2</v>
      </c>
    </row>
    <row r="182" spans="19:26" ht="15" thickBot="1" x14ac:dyDescent="0.35">
      <c r="S182" s="30" t="s">
        <v>718</v>
      </c>
      <c r="T182" s="31">
        <v>209</v>
      </c>
      <c r="U182" s="31">
        <v>211.5</v>
      </c>
      <c r="V182" s="31">
        <v>207.47</v>
      </c>
      <c r="W182" s="31">
        <v>210.59</v>
      </c>
      <c r="X182" s="31">
        <v>210.59</v>
      </c>
      <c r="Y182" s="31" t="s">
        <v>719</v>
      </c>
      <c r="Z182">
        <f t="shared" si="4"/>
        <v>-2.3213947318552635E-3</v>
      </c>
    </row>
    <row r="183" spans="19:26" ht="15" thickBot="1" x14ac:dyDescent="0.35">
      <c r="S183" s="30" t="s">
        <v>720</v>
      </c>
      <c r="T183" s="31">
        <v>206.1</v>
      </c>
      <c r="U183" s="31">
        <v>209.08</v>
      </c>
      <c r="V183" s="31">
        <v>203.24</v>
      </c>
      <c r="W183" s="31">
        <v>208.91</v>
      </c>
      <c r="X183" s="31">
        <v>208.91</v>
      </c>
      <c r="Y183" s="31" t="s">
        <v>721</v>
      </c>
      <c r="Z183">
        <f t="shared" si="4"/>
        <v>-7.9775867799990827E-3</v>
      </c>
    </row>
    <row r="184" spans="19:26" ht="15" thickBot="1" x14ac:dyDescent="0.35">
      <c r="S184" s="30" t="s">
        <v>722</v>
      </c>
      <c r="T184" s="31">
        <v>214.85</v>
      </c>
      <c r="U184" s="31">
        <v>215.2</v>
      </c>
      <c r="V184" s="31">
        <v>211.46</v>
      </c>
      <c r="W184" s="31">
        <v>212.1</v>
      </c>
      <c r="X184" s="31">
        <v>212.1</v>
      </c>
      <c r="Y184" s="31" t="s">
        <v>723</v>
      </c>
      <c r="Z184">
        <f t="shared" si="4"/>
        <v>1.5269733378009659E-2</v>
      </c>
    </row>
    <row r="185" spans="19:26" ht="15" thickBot="1" x14ac:dyDescent="0.35">
      <c r="S185" s="30" t="s">
        <v>724</v>
      </c>
      <c r="T185" s="31">
        <v>215.11</v>
      </c>
      <c r="U185" s="31">
        <v>216.6</v>
      </c>
      <c r="V185" s="31">
        <v>213.16</v>
      </c>
      <c r="W185" s="31">
        <v>214.76</v>
      </c>
      <c r="X185" s="31">
        <v>214.76</v>
      </c>
      <c r="Y185" s="31" t="s">
        <v>725</v>
      </c>
      <c r="Z185">
        <f t="shared" si="4"/>
        <v>1.2541254125412526E-2</v>
      </c>
    </row>
    <row r="186" spans="19:26" ht="15" thickBot="1" x14ac:dyDescent="0.35">
      <c r="S186" s="30" t="s">
        <v>726</v>
      </c>
      <c r="T186" s="31">
        <v>215.5</v>
      </c>
      <c r="U186" s="31">
        <v>216.35</v>
      </c>
      <c r="V186" s="31">
        <v>211.03</v>
      </c>
      <c r="W186" s="31">
        <v>211.5</v>
      </c>
      <c r="X186" s="31">
        <v>211.5</v>
      </c>
      <c r="Y186" s="31" t="s">
        <v>727</v>
      </c>
      <c r="Z186">
        <f t="shared" si="4"/>
        <v>-1.5179735518718528E-2</v>
      </c>
    </row>
    <row r="187" spans="19:26" ht="15" thickBot="1" x14ac:dyDescent="0.35">
      <c r="S187" s="30" t="s">
        <v>728</v>
      </c>
      <c r="T187" s="31">
        <v>209.23</v>
      </c>
      <c r="U187" s="31">
        <v>212.81</v>
      </c>
      <c r="V187" s="31">
        <v>208.19</v>
      </c>
      <c r="W187" s="31">
        <v>209.51</v>
      </c>
      <c r="X187" s="31">
        <v>209.51</v>
      </c>
      <c r="Y187" s="31" t="s">
        <v>729</v>
      </c>
      <c r="Z187">
        <f t="shared" si="4"/>
        <v>-9.4089834515366857E-3</v>
      </c>
    </row>
    <row r="188" spans="19:26" ht="15" thickBot="1" x14ac:dyDescent="0.35">
      <c r="S188" s="30" t="s">
        <v>730</v>
      </c>
      <c r="T188" s="31">
        <v>203.9</v>
      </c>
      <c r="U188" s="31">
        <v>206.46</v>
      </c>
      <c r="V188" s="31">
        <v>203.02</v>
      </c>
      <c r="W188" s="31">
        <v>205.48</v>
      </c>
      <c r="X188" s="31">
        <v>205.48</v>
      </c>
      <c r="Y188" s="31" t="s">
        <v>731</v>
      </c>
      <c r="Z188">
        <f t="shared" si="4"/>
        <v>-1.9235358694095754E-2</v>
      </c>
    </row>
    <row r="189" spans="19:26" ht="15" thickBot="1" x14ac:dyDescent="0.35">
      <c r="S189" s="30" t="s">
        <v>732</v>
      </c>
      <c r="T189" s="31">
        <v>202.05</v>
      </c>
      <c r="U189" s="31">
        <v>207.27</v>
      </c>
      <c r="V189" s="31">
        <v>201.5</v>
      </c>
      <c r="W189" s="31">
        <v>205.94</v>
      </c>
      <c r="X189" s="31">
        <v>205.94</v>
      </c>
      <c r="Y189" s="31" t="s">
        <v>733</v>
      </c>
      <c r="Z189">
        <f t="shared" si="4"/>
        <v>2.2386606969048472E-3</v>
      </c>
    </row>
    <row r="190" spans="19:26" ht="15" thickBot="1" x14ac:dyDescent="0.35">
      <c r="S190" s="30" t="s">
        <v>734</v>
      </c>
      <c r="T190" s="31">
        <v>201.71</v>
      </c>
      <c r="U190" s="31">
        <v>202.28</v>
      </c>
      <c r="V190" s="31">
        <v>198.26</v>
      </c>
      <c r="W190" s="31">
        <v>199.85</v>
      </c>
      <c r="X190" s="31">
        <v>199.85</v>
      </c>
      <c r="Y190" s="31" t="s">
        <v>735</v>
      </c>
      <c r="Z190">
        <f t="shared" si="4"/>
        <v>-2.9571719918422858E-2</v>
      </c>
    </row>
    <row r="191" spans="19:26" ht="15" thickBot="1" x14ac:dyDescent="0.35">
      <c r="S191" s="30" t="s">
        <v>736</v>
      </c>
      <c r="T191" s="31">
        <v>211.61</v>
      </c>
      <c r="U191" s="31">
        <v>212.05</v>
      </c>
      <c r="V191" s="31">
        <v>207.82</v>
      </c>
      <c r="W191" s="31">
        <v>208</v>
      </c>
      <c r="X191" s="31">
        <v>208</v>
      </c>
      <c r="Y191" s="31" t="s">
        <v>737</v>
      </c>
      <c r="Z191">
        <f t="shared" si="4"/>
        <v>4.0780585439079337E-2</v>
      </c>
    </row>
    <row r="192" spans="19:26" ht="15" thickBot="1" x14ac:dyDescent="0.35">
      <c r="S192" s="30" t="s">
        <v>738</v>
      </c>
      <c r="T192" s="31">
        <v>215.32</v>
      </c>
      <c r="U192" s="31">
        <v>215.4</v>
      </c>
      <c r="V192" s="31">
        <v>209.37</v>
      </c>
      <c r="W192" s="31">
        <v>211.6</v>
      </c>
      <c r="X192" s="31">
        <v>211.6</v>
      </c>
      <c r="Y192" s="31" t="s">
        <v>739</v>
      </c>
      <c r="Z192">
        <f t="shared" si="4"/>
        <v>1.7307692307692281E-2</v>
      </c>
    </row>
    <row r="193" spans="19:26" ht="15" thickBot="1" x14ac:dyDescent="0.35">
      <c r="S193" s="30" t="s">
        <v>740</v>
      </c>
      <c r="T193" s="31">
        <v>219.16</v>
      </c>
      <c r="U193" s="31">
        <v>219.5</v>
      </c>
      <c r="V193" s="31">
        <v>216.46</v>
      </c>
      <c r="W193" s="31">
        <v>217.75</v>
      </c>
      <c r="X193" s="31">
        <v>217.75</v>
      </c>
      <c r="Y193" s="31" t="s">
        <v>741</v>
      </c>
      <c r="Z193">
        <f t="shared" si="4"/>
        <v>2.9064272211720255E-2</v>
      </c>
    </row>
    <row r="194" spans="19:26" ht="15" thickBot="1" x14ac:dyDescent="0.35">
      <c r="S194" s="30" t="s">
        <v>742</v>
      </c>
      <c r="T194" s="31">
        <v>228.07</v>
      </c>
      <c r="U194" s="31">
        <v>228.85</v>
      </c>
      <c r="V194" s="31">
        <v>221.55</v>
      </c>
      <c r="W194" s="31">
        <v>221.87</v>
      </c>
      <c r="X194" s="31">
        <v>221.87</v>
      </c>
      <c r="Y194" s="31" t="s">
        <v>743</v>
      </c>
      <c r="Z194">
        <f t="shared" si="4"/>
        <v>1.892078071182551E-2</v>
      </c>
    </row>
    <row r="195" spans="19:26" ht="15" thickBot="1" x14ac:dyDescent="0.35">
      <c r="S195" s="30" t="s">
        <v>744</v>
      </c>
      <c r="T195" s="31">
        <v>226.99</v>
      </c>
      <c r="U195" s="31">
        <v>227.98</v>
      </c>
      <c r="V195" s="31">
        <v>225.68</v>
      </c>
      <c r="W195" s="31">
        <v>226.78</v>
      </c>
      <c r="X195" s="31">
        <v>226.78</v>
      </c>
      <c r="Y195" s="31" t="s">
        <v>745</v>
      </c>
      <c r="Z195">
        <f t="shared" si="4"/>
        <v>2.2130076170730591E-2</v>
      </c>
    </row>
    <row r="196" spans="19:26" ht="15" thickBot="1" x14ac:dyDescent="0.35">
      <c r="S196" s="30" t="s">
        <v>746</v>
      </c>
      <c r="T196" s="31">
        <v>226.7</v>
      </c>
      <c r="U196" s="31">
        <v>229.64</v>
      </c>
      <c r="V196" s="31">
        <v>225.6</v>
      </c>
      <c r="W196" s="31">
        <v>229.44</v>
      </c>
      <c r="X196" s="31">
        <v>229.44</v>
      </c>
      <c r="Y196" s="31" t="s">
        <v>747</v>
      </c>
      <c r="Z196">
        <f t="shared" ref="Z196:Z259" si="5">(X196-X195)/X195</f>
        <v>1.1729429402945571E-2</v>
      </c>
    </row>
    <row r="197" spans="19:26" ht="15" thickBot="1" x14ac:dyDescent="0.35">
      <c r="S197" s="30" t="s">
        <v>748</v>
      </c>
      <c r="T197" s="31">
        <v>229.5</v>
      </c>
      <c r="U197" s="31">
        <v>230.89</v>
      </c>
      <c r="V197" s="31">
        <v>226.72</v>
      </c>
      <c r="W197" s="31">
        <v>228.59</v>
      </c>
      <c r="X197" s="31">
        <v>228.59</v>
      </c>
      <c r="Y197" s="31" t="s">
        <v>749</v>
      </c>
      <c r="Z197">
        <f t="shared" si="5"/>
        <v>-3.7046722454672E-3</v>
      </c>
    </row>
    <row r="198" spans="19:26" ht="15" thickBot="1" x14ac:dyDescent="0.35">
      <c r="S198" s="30" t="s">
        <v>750</v>
      </c>
      <c r="T198" s="31">
        <v>221.71</v>
      </c>
      <c r="U198" s="31">
        <v>230.25</v>
      </c>
      <c r="V198" s="31">
        <v>221.1</v>
      </c>
      <c r="W198" s="31">
        <v>228.5</v>
      </c>
      <c r="X198" s="31">
        <v>228.5</v>
      </c>
      <c r="Y198" s="31" t="s">
        <v>751</v>
      </c>
      <c r="Z198">
        <f t="shared" si="5"/>
        <v>-3.9371801041166896E-4</v>
      </c>
    </row>
    <row r="199" spans="19:26" ht="15" thickBot="1" x14ac:dyDescent="0.35">
      <c r="S199" s="30" t="s">
        <v>752</v>
      </c>
      <c r="T199" s="31">
        <v>216.99</v>
      </c>
      <c r="U199" s="31">
        <v>219.58</v>
      </c>
      <c r="V199" s="31">
        <v>215.56</v>
      </c>
      <c r="W199" s="31">
        <v>218.38</v>
      </c>
      <c r="X199" s="31">
        <v>218.38</v>
      </c>
      <c r="Y199" s="31" t="s">
        <v>753</v>
      </c>
      <c r="Z199">
        <f t="shared" si="5"/>
        <v>-4.4288840262582077E-2</v>
      </c>
    </row>
    <row r="200" spans="19:26" ht="15" thickBot="1" x14ac:dyDescent="0.35">
      <c r="S200" s="30" t="s">
        <v>754</v>
      </c>
      <c r="T200" s="31">
        <v>214.19</v>
      </c>
      <c r="U200" s="31">
        <v>216.33</v>
      </c>
      <c r="V200" s="31">
        <v>213.13</v>
      </c>
      <c r="W200" s="31">
        <v>214.86</v>
      </c>
      <c r="X200" s="31">
        <v>214.86</v>
      </c>
      <c r="Y200" s="31" t="s">
        <v>755</v>
      </c>
      <c r="Z200">
        <f t="shared" si="5"/>
        <v>-1.6118692187929214E-2</v>
      </c>
    </row>
    <row r="201" spans="19:26" ht="15" thickBot="1" x14ac:dyDescent="0.35">
      <c r="S201" s="30" t="s">
        <v>756</v>
      </c>
      <c r="T201" s="31">
        <v>210.42</v>
      </c>
      <c r="U201" s="31">
        <v>211.66</v>
      </c>
      <c r="V201" s="31">
        <v>209.86</v>
      </c>
      <c r="W201" s="31">
        <v>211.32</v>
      </c>
      <c r="X201" s="31">
        <v>211.32</v>
      </c>
      <c r="Y201" s="31" t="s">
        <v>757</v>
      </c>
      <c r="Z201">
        <f t="shared" si="5"/>
        <v>-1.6475844736107328E-2</v>
      </c>
    </row>
    <row r="202" spans="19:26" ht="15" thickBot="1" x14ac:dyDescent="0.35">
      <c r="S202" s="30" t="s">
        <v>758</v>
      </c>
      <c r="T202" s="31">
        <v>210.55</v>
      </c>
      <c r="U202" s="31">
        <v>211.78</v>
      </c>
      <c r="V202" s="31">
        <v>208.99</v>
      </c>
      <c r="W202" s="31">
        <v>211.06</v>
      </c>
      <c r="X202" s="31">
        <v>211.06</v>
      </c>
      <c r="Y202" s="31" t="s">
        <v>759</v>
      </c>
      <c r="Z202">
        <f t="shared" si="5"/>
        <v>-1.2303615370054463E-3</v>
      </c>
    </row>
    <row r="203" spans="19:26" ht="15" thickBot="1" x14ac:dyDescent="0.35">
      <c r="S203" s="30" t="s">
        <v>760</v>
      </c>
      <c r="T203" s="31">
        <v>212.01</v>
      </c>
      <c r="U203" s="31">
        <v>213.84</v>
      </c>
      <c r="V203" s="31">
        <v>210.59</v>
      </c>
      <c r="W203" s="31">
        <v>212.3</v>
      </c>
      <c r="X203" s="31">
        <v>212.3</v>
      </c>
      <c r="Y203" s="31" t="s">
        <v>761</v>
      </c>
      <c r="Z203">
        <f t="shared" si="5"/>
        <v>5.8751066047569838E-3</v>
      </c>
    </row>
    <row r="204" spans="19:26" ht="15" thickBot="1" x14ac:dyDescent="0.35">
      <c r="S204" s="30" t="s">
        <v>762</v>
      </c>
      <c r="T204" s="31">
        <v>209.9</v>
      </c>
      <c r="U204" s="31">
        <v>212.49</v>
      </c>
      <c r="V204" s="31">
        <v>209.77</v>
      </c>
      <c r="W204" s="31">
        <v>211.6</v>
      </c>
      <c r="X204" s="31">
        <v>211.6</v>
      </c>
      <c r="Y204" s="31" t="s">
        <v>763</v>
      </c>
      <c r="Z204">
        <f t="shared" si="5"/>
        <v>-3.297220913801305E-3</v>
      </c>
    </row>
    <row r="205" spans="19:26" ht="15" thickBot="1" x14ac:dyDescent="0.35">
      <c r="S205" s="30" t="s">
        <v>764</v>
      </c>
      <c r="T205" s="31">
        <v>209.75</v>
      </c>
      <c r="U205" s="31">
        <v>211.62</v>
      </c>
      <c r="V205" s="31">
        <v>208.23</v>
      </c>
      <c r="W205" s="31">
        <v>209.32</v>
      </c>
      <c r="X205" s="31">
        <v>209.32</v>
      </c>
      <c r="Y205" s="31" t="s">
        <v>765</v>
      </c>
      <c r="Z205">
        <f t="shared" si="5"/>
        <v>-1.0775047258979212E-2</v>
      </c>
    </row>
    <row r="206" spans="19:26" ht="15" thickBot="1" x14ac:dyDescent="0.35">
      <c r="S206" s="30" t="s">
        <v>766</v>
      </c>
      <c r="T206" s="31">
        <v>214.17</v>
      </c>
      <c r="U206" s="31">
        <v>214.49</v>
      </c>
      <c r="V206" s="31">
        <v>209.64</v>
      </c>
      <c r="W206" s="31">
        <v>210.06</v>
      </c>
      <c r="X206" s="31">
        <v>210.06</v>
      </c>
      <c r="Y206" s="31" t="s">
        <v>767</v>
      </c>
      <c r="Z206">
        <f t="shared" si="5"/>
        <v>3.5352570227403456E-3</v>
      </c>
    </row>
    <row r="207" spans="19:26" ht="15" thickBot="1" x14ac:dyDescent="0.35">
      <c r="S207" s="30" t="s">
        <v>768</v>
      </c>
      <c r="T207" s="31">
        <v>212.25</v>
      </c>
      <c r="U207" s="31">
        <v>215.16</v>
      </c>
      <c r="V207" s="31">
        <v>212.24</v>
      </c>
      <c r="W207" s="31">
        <v>213.94</v>
      </c>
      <c r="X207" s="31">
        <v>213.94</v>
      </c>
      <c r="Y207" s="31" t="s">
        <v>769</v>
      </c>
      <c r="Z207">
        <f t="shared" si="5"/>
        <v>1.8470913072455467E-2</v>
      </c>
    </row>
    <row r="208" spans="19:26" ht="15" thickBot="1" x14ac:dyDescent="0.35">
      <c r="S208" s="30" t="s">
        <v>770</v>
      </c>
      <c r="T208" s="31">
        <v>213.45</v>
      </c>
      <c r="U208" s="31">
        <v>213.46</v>
      </c>
      <c r="V208" s="31">
        <v>211</v>
      </c>
      <c r="W208" s="31">
        <v>211.64</v>
      </c>
      <c r="X208" s="31">
        <v>211.64</v>
      </c>
      <c r="Y208" s="31" t="s">
        <v>771</v>
      </c>
      <c r="Z208">
        <f t="shared" si="5"/>
        <v>-1.0750677760119712E-2</v>
      </c>
    </row>
    <row r="209" spans="19:26" ht="15" thickBot="1" x14ac:dyDescent="0.35">
      <c r="S209" s="30" t="s">
        <v>772</v>
      </c>
      <c r="T209" s="31">
        <v>213.5</v>
      </c>
      <c r="U209" s="31">
        <v>214.8</v>
      </c>
      <c r="V209" s="31">
        <v>212.21</v>
      </c>
      <c r="W209" s="31">
        <v>213.07</v>
      </c>
      <c r="X209" s="31">
        <v>213.07</v>
      </c>
      <c r="Y209" s="31" t="s">
        <v>773</v>
      </c>
      <c r="Z209">
        <f t="shared" si="5"/>
        <v>6.7567567567567892E-3</v>
      </c>
    </row>
    <row r="210" spans="19:26" ht="15" thickBot="1" x14ac:dyDescent="0.35">
      <c r="S210" s="30" t="s">
        <v>774</v>
      </c>
      <c r="T210" s="31">
        <v>215.21</v>
      </c>
      <c r="U210" s="31">
        <v>216.57</v>
      </c>
      <c r="V210" s="31">
        <v>213.31</v>
      </c>
      <c r="W210" s="31">
        <v>213.32</v>
      </c>
      <c r="X210" s="31">
        <v>213.32</v>
      </c>
      <c r="Y210" s="31" t="s">
        <v>775</v>
      </c>
      <c r="Z210">
        <f t="shared" si="5"/>
        <v>1.1733233209743276E-3</v>
      </c>
    </row>
    <row r="211" spans="19:26" ht="15" thickBot="1" x14ac:dyDescent="0.35">
      <c r="S211" s="30" t="s">
        <v>776</v>
      </c>
      <c r="T211" s="31">
        <v>217.29</v>
      </c>
      <c r="U211" s="31">
        <v>218.23</v>
      </c>
      <c r="V211" s="31">
        <v>214.74</v>
      </c>
      <c r="W211" s="31">
        <v>215.82</v>
      </c>
      <c r="X211" s="31">
        <v>215.82</v>
      </c>
      <c r="Y211" s="31" t="s">
        <v>777</v>
      </c>
      <c r="Z211">
        <f t="shared" si="5"/>
        <v>1.1719482467654229E-2</v>
      </c>
    </row>
    <row r="212" spans="19:26" ht="15" thickBot="1" x14ac:dyDescent="0.35">
      <c r="S212" s="30" t="s">
        <v>778</v>
      </c>
      <c r="T212" s="31">
        <v>218</v>
      </c>
      <c r="U212" s="31">
        <v>218.4</v>
      </c>
      <c r="V212" s="31">
        <v>215.69</v>
      </c>
      <c r="W212" s="31">
        <v>216.9</v>
      </c>
      <c r="X212" s="31">
        <v>216.9</v>
      </c>
      <c r="Y212" s="31" t="s">
        <v>779</v>
      </c>
      <c r="Z212">
        <f t="shared" si="5"/>
        <v>5.0041701417848786E-3</v>
      </c>
    </row>
    <row r="213" spans="19:26" ht="15" thickBot="1" x14ac:dyDescent="0.35">
      <c r="S213" s="30" t="s">
        <v>780</v>
      </c>
      <c r="T213" s="31">
        <v>218.28</v>
      </c>
      <c r="U213" s="31">
        <v>219.08</v>
      </c>
      <c r="V213" s="31">
        <v>217.14</v>
      </c>
      <c r="W213" s="31">
        <v>219.02</v>
      </c>
      <c r="X213" s="31">
        <v>219.02</v>
      </c>
      <c r="Y213" s="31" t="s">
        <v>781</v>
      </c>
      <c r="Z213">
        <f t="shared" si="5"/>
        <v>9.7740894421392555E-3</v>
      </c>
    </row>
    <row r="214" spans="19:26" ht="15" thickBot="1" x14ac:dyDescent="0.35">
      <c r="S214" s="30" t="s">
        <v>782</v>
      </c>
      <c r="T214" s="31">
        <v>218</v>
      </c>
      <c r="U214" s="31">
        <v>218.7</v>
      </c>
      <c r="V214" s="31">
        <v>216.3</v>
      </c>
      <c r="W214" s="31">
        <v>217.04</v>
      </c>
      <c r="X214" s="31">
        <v>217.04</v>
      </c>
      <c r="Y214" s="31" t="s">
        <v>783</v>
      </c>
      <c r="Z214">
        <f t="shared" si="5"/>
        <v>-9.0402702949503155E-3</v>
      </c>
    </row>
    <row r="215" spans="19:26" ht="15" thickBot="1" x14ac:dyDescent="0.35">
      <c r="S215" s="30" t="s">
        <v>784</v>
      </c>
      <c r="T215" s="31">
        <v>219.43</v>
      </c>
      <c r="U215" s="31">
        <v>219.94</v>
      </c>
      <c r="V215" s="31">
        <v>217.46</v>
      </c>
      <c r="W215" s="31">
        <v>219.59</v>
      </c>
      <c r="X215" s="31">
        <v>219.59</v>
      </c>
      <c r="Y215" s="31" t="s">
        <v>785</v>
      </c>
      <c r="Z215">
        <f t="shared" si="5"/>
        <v>1.1748986361960981E-2</v>
      </c>
    </row>
    <row r="216" spans="19:26" ht="15" thickBot="1" x14ac:dyDescent="0.35">
      <c r="S216" s="30" t="s">
        <v>786</v>
      </c>
      <c r="T216" s="31">
        <v>223.02</v>
      </c>
      <c r="U216" s="31">
        <v>223.13</v>
      </c>
      <c r="V216" s="31">
        <v>218.24</v>
      </c>
      <c r="W216" s="31">
        <v>219.48</v>
      </c>
      <c r="X216" s="31">
        <v>219.48</v>
      </c>
      <c r="Y216" s="31" t="s">
        <v>787</v>
      </c>
      <c r="Z216">
        <f t="shared" si="5"/>
        <v>-5.0093355799450635E-4</v>
      </c>
    </row>
    <row r="217" spans="19:26" ht="15" thickBot="1" x14ac:dyDescent="0.35">
      <c r="S217" s="30" t="s">
        <v>788</v>
      </c>
      <c r="T217" s="31">
        <v>212.76</v>
      </c>
      <c r="U217" s="31">
        <v>214.53</v>
      </c>
      <c r="V217" s="31">
        <v>212.06</v>
      </c>
      <c r="W217" s="31">
        <v>213.96</v>
      </c>
      <c r="X217" s="31">
        <v>213.96</v>
      </c>
      <c r="Y217" s="31" t="s">
        <v>789</v>
      </c>
      <c r="Z217">
        <f t="shared" si="5"/>
        <v>-2.5150355385456451E-2</v>
      </c>
    </row>
    <row r="218" spans="19:26" ht="15" thickBot="1" x14ac:dyDescent="0.35">
      <c r="S218" s="30" t="s">
        <v>790</v>
      </c>
      <c r="T218" s="31">
        <v>214.17</v>
      </c>
      <c r="U218" s="31">
        <v>215.46</v>
      </c>
      <c r="V218" s="31">
        <v>212.53</v>
      </c>
      <c r="W218" s="31">
        <v>212.74</v>
      </c>
      <c r="X218" s="31">
        <v>212.74</v>
      </c>
      <c r="Y218" s="31" t="s">
        <v>791</v>
      </c>
      <c r="Z218">
        <f t="shared" si="5"/>
        <v>-5.7020003739016584E-3</v>
      </c>
    </row>
    <row r="219" spans="19:26" ht="15" thickBot="1" x14ac:dyDescent="0.35">
      <c r="S219" s="30" t="s">
        <v>792</v>
      </c>
      <c r="T219" s="31">
        <v>212.3</v>
      </c>
      <c r="U219" s="31">
        <v>213.75</v>
      </c>
      <c r="V219" s="31">
        <v>211.54</v>
      </c>
      <c r="W219" s="31">
        <v>211.78</v>
      </c>
      <c r="X219" s="31">
        <v>211.78</v>
      </c>
      <c r="Y219" s="31" t="s">
        <v>793</v>
      </c>
      <c r="Z219">
        <f t="shared" si="5"/>
        <v>-4.5125505311648393E-3</v>
      </c>
    </row>
    <row r="220" spans="19:26" ht="15" thickBot="1" x14ac:dyDescent="0.35">
      <c r="S220" s="30" t="s">
        <v>794</v>
      </c>
      <c r="T220" s="31">
        <v>212.83</v>
      </c>
      <c r="U220" s="31">
        <v>214.05</v>
      </c>
      <c r="V220" s="31">
        <v>211.01</v>
      </c>
      <c r="W220" s="31">
        <v>211.13</v>
      </c>
      <c r="X220" s="31">
        <v>211.13</v>
      </c>
      <c r="Y220" s="31" t="s">
        <v>795</v>
      </c>
      <c r="Z220">
        <f t="shared" si="5"/>
        <v>-3.0692227783549234E-3</v>
      </c>
    </row>
    <row r="221" spans="19:26" ht="15" thickBot="1" x14ac:dyDescent="0.35">
      <c r="S221" s="30" t="s">
        <v>796</v>
      </c>
      <c r="T221" s="31">
        <v>210.03</v>
      </c>
      <c r="U221" s="31">
        <v>212.01</v>
      </c>
      <c r="V221" s="31">
        <v>208.7</v>
      </c>
      <c r="W221" s="31">
        <v>210.44</v>
      </c>
      <c r="X221" s="31">
        <v>210.44</v>
      </c>
      <c r="Y221" s="31" t="s">
        <v>797</v>
      </c>
      <c r="Z221">
        <f t="shared" si="5"/>
        <v>-3.2681286411215733E-3</v>
      </c>
    </row>
    <row r="222" spans="19:26" ht="15" thickBot="1" x14ac:dyDescent="0.35">
      <c r="S222" s="30" t="s">
        <v>798</v>
      </c>
      <c r="T222" s="31">
        <v>215.23</v>
      </c>
      <c r="U222" s="31">
        <v>215.89</v>
      </c>
      <c r="V222" s="31">
        <v>209.87</v>
      </c>
      <c r="W222" s="31">
        <v>211.06</v>
      </c>
      <c r="X222" s="31">
        <v>211.06</v>
      </c>
      <c r="Y222" s="31" t="s">
        <v>799</v>
      </c>
      <c r="Z222">
        <f t="shared" si="5"/>
        <v>2.9462079452575772E-3</v>
      </c>
    </row>
    <row r="223" spans="19:26" ht="15" thickBot="1" x14ac:dyDescent="0.35">
      <c r="S223" s="30" t="s">
        <v>800</v>
      </c>
      <c r="T223" s="31">
        <v>212.99</v>
      </c>
      <c r="U223" s="31">
        <v>217.63</v>
      </c>
      <c r="V223" s="31">
        <v>212.63</v>
      </c>
      <c r="W223" s="31">
        <v>216.99</v>
      </c>
      <c r="X223" s="31">
        <v>216.99</v>
      </c>
      <c r="Y223" s="31" t="s">
        <v>801</v>
      </c>
      <c r="Z223">
        <f t="shared" si="5"/>
        <v>2.8096275940490887E-2</v>
      </c>
    </row>
    <row r="224" spans="19:26" ht="15" thickBot="1" x14ac:dyDescent="0.35">
      <c r="S224" s="30" t="s">
        <v>802</v>
      </c>
      <c r="T224" s="31">
        <v>211.1</v>
      </c>
      <c r="U224" s="31">
        <v>212.91</v>
      </c>
      <c r="V224" s="31">
        <v>210.12</v>
      </c>
      <c r="W224" s="31">
        <v>212.54</v>
      </c>
      <c r="X224" s="31">
        <v>212.54</v>
      </c>
      <c r="Y224" s="31" t="s">
        <v>803</v>
      </c>
      <c r="Z224">
        <f t="shared" si="5"/>
        <v>-2.0507857504954222E-2</v>
      </c>
    </row>
    <row r="225" spans="19:26" ht="15" thickBot="1" x14ac:dyDescent="0.35">
      <c r="S225" s="30" t="s">
        <v>804</v>
      </c>
      <c r="T225" s="31">
        <v>212.5</v>
      </c>
      <c r="U225" s="31">
        <v>215.17</v>
      </c>
      <c r="V225" s="31">
        <v>211.42</v>
      </c>
      <c r="W225" s="31">
        <v>213.72</v>
      </c>
      <c r="X225" s="31">
        <v>213.72</v>
      </c>
      <c r="Y225" s="31" t="s">
        <v>805</v>
      </c>
      <c r="Z225">
        <f t="shared" si="5"/>
        <v>5.5518961136727524E-3</v>
      </c>
    </row>
    <row r="226" spans="19:26" ht="15" thickBot="1" x14ac:dyDescent="0.35">
      <c r="S226" s="30" t="s">
        <v>806</v>
      </c>
      <c r="T226" s="31">
        <v>210.62</v>
      </c>
      <c r="U226" s="31">
        <v>213.15</v>
      </c>
      <c r="V226" s="31">
        <v>209.44</v>
      </c>
      <c r="W226" s="31">
        <v>211.05</v>
      </c>
      <c r="X226" s="31">
        <v>211.05</v>
      </c>
      <c r="Y226" s="31" t="s">
        <v>807</v>
      </c>
      <c r="Z226">
        <f t="shared" si="5"/>
        <v>-1.2492981471083603E-2</v>
      </c>
    </row>
    <row r="227" spans="19:26" ht="15" thickBot="1" x14ac:dyDescent="0.35">
      <c r="S227" s="30" t="s">
        <v>808</v>
      </c>
      <c r="T227" s="31">
        <v>209.92</v>
      </c>
      <c r="U227" s="31">
        <v>210.94</v>
      </c>
      <c r="V227" s="31">
        <v>206.02</v>
      </c>
      <c r="W227" s="31">
        <v>209.51</v>
      </c>
      <c r="X227" s="31">
        <v>209.51</v>
      </c>
      <c r="Y227" s="31" t="s">
        <v>809</v>
      </c>
      <c r="Z227">
        <f t="shared" si="5"/>
        <v>-7.2968490878939606E-3</v>
      </c>
    </row>
    <row r="228" spans="19:26" ht="15" thickBot="1" x14ac:dyDescent="0.35">
      <c r="S228" s="30" t="s">
        <v>810</v>
      </c>
      <c r="T228" s="31">
        <v>213.15</v>
      </c>
      <c r="U228" s="31">
        <v>215.5</v>
      </c>
      <c r="V228" s="31">
        <v>204.39</v>
      </c>
      <c r="W228" s="31">
        <v>206.08</v>
      </c>
      <c r="X228" s="31">
        <v>206.08</v>
      </c>
      <c r="Y228" s="31" t="s">
        <v>811</v>
      </c>
      <c r="Z228">
        <f t="shared" si="5"/>
        <v>-1.6371533578349379E-2</v>
      </c>
    </row>
    <row r="229" spans="19:26" ht="15" thickBot="1" x14ac:dyDescent="0.35">
      <c r="S229" s="30" t="s">
        <v>812</v>
      </c>
      <c r="T229" s="31">
        <v>224.74</v>
      </c>
      <c r="U229" s="31">
        <v>225.29</v>
      </c>
      <c r="V229" s="31">
        <v>219</v>
      </c>
      <c r="W229" s="31">
        <v>219.9</v>
      </c>
      <c r="X229" s="31">
        <v>219.9</v>
      </c>
      <c r="Y229" s="31" t="s">
        <v>813</v>
      </c>
      <c r="Z229">
        <f t="shared" si="5"/>
        <v>6.7061335403726677E-2</v>
      </c>
    </row>
    <row r="230" spans="19:26" ht="15" thickBot="1" x14ac:dyDescent="0.35">
      <c r="S230" s="30" t="s">
        <v>814</v>
      </c>
      <c r="T230" s="31">
        <v>213.71</v>
      </c>
      <c r="U230" s="31">
        <v>221.39</v>
      </c>
      <c r="V230" s="31">
        <v>213</v>
      </c>
      <c r="W230" s="31">
        <v>221.38</v>
      </c>
      <c r="X230" s="31">
        <v>221.38</v>
      </c>
      <c r="Y230" s="31" t="s">
        <v>815</v>
      </c>
      <c r="Z230">
        <f t="shared" si="5"/>
        <v>6.7303319690768066E-3</v>
      </c>
    </row>
    <row r="231" spans="19:26" ht="15" thickBot="1" x14ac:dyDescent="0.35">
      <c r="S231" s="30" t="s">
        <v>816</v>
      </c>
      <c r="T231" s="31">
        <v>222.87</v>
      </c>
      <c r="U231" s="31">
        <v>222.87</v>
      </c>
      <c r="V231" s="31">
        <v>218.56</v>
      </c>
      <c r="W231" s="31">
        <v>219.53</v>
      </c>
      <c r="X231" s="31">
        <v>219.53</v>
      </c>
      <c r="Y231" s="31" t="s">
        <v>817</v>
      </c>
      <c r="Z231">
        <f t="shared" si="5"/>
        <v>-8.3566717860691763E-3</v>
      </c>
    </row>
    <row r="232" spans="19:26" ht="15" thickBot="1" x14ac:dyDescent="0.35">
      <c r="S232" s="30" t="s">
        <v>818</v>
      </c>
      <c r="T232" s="31">
        <v>227.9</v>
      </c>
      <c r="U232" s="31">
        <v>228.79</v>
      </c>
      <c r="V232" s="31">
        <v>225.05</v>
      </c>
      <c r="W232" s="31">
        <v>225.31</v>
      </c>
      <c r="X232" s="31">
        <v>225.31</v>
      </c>
      <c r="Y232" s="31" t="s">
        <v>819</v>
      </c>
      <c r="Z232">
        <f t="shared" si="5"/>
        <v>2.632897553865076E-2</v>
      </c>
    </row>
    <row r="233" spans="19:26" ht="15" thickBot="1" x14ac:dyDescent="0.35">
      <c r="S233" s="30" t="s">
        <v>820</v>
      </c>
      <c r="T233" s="31">
        <v>227.11</v>
      </c>
      <c r="U233" s="31">
        <v>228.44</v>
      </c>
      <c r="V233" s="31">
        <v>222.88</v>
      </c>
      <c r="W233" s="31">
        <v>226.42</v>
      </c>
      <c r="X233" s="31">
        <v>226.42</v>
      </c>
      <c r="Y233" s="31" t="s">
        <v>821</v>
      </c>
      <c r="Z233">
        <f t="shared" si="5"/>
        <v>4.9265456482179455E-3</v>
      </c>
    </row>
    <row r="234" spans="19:26" ht="15" thickBot="1" x14ac:dyDescent="0.35">
      <c r="S234" s="30" t="s">
        <v>822</v>
      </c>
      <c r="T234" s="31">
        <v>228</v>
      </c>
      <c r="U234" s="31">
        <v>229.3</v>
      </c>
      <c r="V234" s="31">
        <v>226.73</v>
      </c>
      <c r="W234" s="31">
        <v>226.78</v>
      </c>
      <c r="X234" s="31">
        <v>226.78</v>
      </c>
      <c r="Y234" s="31" t="s">
        <v>823</v>
      </c>
      <c r="Z234">
        <f t="shared" si="5"/>
        <v>1.5899655507464608E-3</v>
      </c>
    </row>
    <row r="235" spans="19:26" ht="15" thickBot="1" x14ac:dyDescent="0.35">
      <c r="S235" s="30" t="s">
        <v>824</v>
      </c>
      <c r="T235" s="31">
        <v>230.25</v>
      </c>
      <c r="U235" s="31">
        <v>231.48</v>
      </c>
      <c r="V235" s="31">
        <v>225.45</v>
      </c>
      <c r="W235" s="31">
        <v>227.9</v>
      </c>
      <c r="X235" s="31">
        <v>227.9</v>
      </c>
      <c r="Y235" s="31" t="s">
        <v>825</v>
      </c>
      <c r="Z235">
        <f t="shared" si="5"/>
        <v>4.9387071170297406E-3</v>
      </c>
    </row>
    <row r="236" spans="19:26" ht="15" thickBot="1" x14ac:dyDescent="0.35">
      <c r="S236" s="30" t="s">
        <v>826</v>
      </c>
      <c r="T236" s="31">
        <v>231.27</v>
      </c>
      <c r="U236" s="31">
        <v>236.17</v>
      </c>
      <c r="V236" s="31">
        <v>230.4</v>
      </c>
      <c r="W236" s="31">
        <v>230.71</v>
      </c>
      <c r="X236" s="31">
        <v>230.71</v>
      </c>
      <c r="Y236" s="31" t="s">
        <v>827</v>
      </c>
      <c r="Z236">
        <f t="shared" si="5"/>
        <v>1.2329969284774034E-2</v>
      </c>
    </row>
    <row r="237" spans="19:26" ht="15" thickBot="1" x14ac:dyDescent="0.35">
      <c r="S237" s="30" t="s">
        <v>828</v>
      </c>
      <c r="T237" s="31">
        <v>231.77</v>
      </c>
      <c r="U237" s="31">
        <v>233.85</v>
      </c>
      <c r="V237" s="31">
        <v>230.51</v>
      </c>
      <c r="W237" s="31">
        <v>230.95</v>
      </c>
      <c r="X237" s="31">
        <v>230.95</v>
      </c>
      <c r="Y237" s="31" t="s">
        <v>829</v>
      </c>
      <c r="Z237">
        <f t="shared" si="5"/>
        <v>1.0402670018637278E-3</v>
      </c>
    </row>
    <row r="238" spans="19:26" ht="15" thickBot="1" x14ac:dyDescent="0.35">
      <c r="S238" s="30" t="s">
        <v>830</v>
      </c>
      <c r="T238" s="31">
        <v>237.79</v>
      </c>
      <c r="U238" s="31">
        <v>238.05</v>
      </c>
      <c r="V238" s="31">
        <v>232.6</v>
      </c>
      <c r="W238" s="31">
        <v>234.18</v>
      </c>
      <c r="X238" s="31">
        <v>234.18</v>
      </c>
      <c r="Y238" s="31" t="s">
        <v>831</v>
      </c>
      <c r="Z238">
        <f t="shared" si="5"/>
        <v>1.3985711192898976E-2</v>
      </c>
    </row>
    <row r="239" spans="19:26" ht="15" thickBot="1" x14ac:dyDescent="0.35">
      <c r="S239" s="30" t="s">
        <v>832</v>
      </c>
      <c r="T239" s="31">
        <v>237.57</v>
      </c>
      <c r="U239" s="31">
        <v>239.22</v>
      </c>
      <c r="V239" s="31">
        <v>236.33</v>
      </c>
      <c r="W239" s="31">
        <v>236.72</v>
      </c>
      <c r="X239" s="31">
        <v>236.72</v>
      </c>
      <c r="Y239" s="31" t="s">
        <v>833</v>
      </c>
      <c r="Z239">
        <f t="shared" si="5"/>
        <v>1.0846357502775609E-2</v>
      </c>
    </row>
    <row r="240" spans="19:26" ht="15" thickBot="1" x14ac:dyDescent="0.35">
      <c r="S240" s="30" t="s">
        <v>834</v>
      </c>
      <c r="T240" s="31">
        <v>233.44</v>
      </c>
      <c r="U240" s="31">
        <v>236.93</v>
      </c>
      <c r="V240" s="31">
        <v>232.08</v>
      </c>
      <c r="W240" s="31">
        <v>235.92</v>
      </c>
      <c r="X240" s="31">
        <v>235.92</v>
      </c>
      <c r="Y240" s="31" t="s">
        <v>835</v>
      </c>
      <c r="Z240">
        <f t="shared" si="5"/>
        <v>-3.3795201081446916E-3</v>
      </c>
    </row>
    <row r="241" spans="19:26" ht="15" thickBot="1" x14ac:dyDescent="0.35">
      <c r="S241" s="30" t="s">
        <v>836</v>
      </c>
      <c r="T241" s="31">
        <v>231.5</v>
      </c>
      <c r="U241" s="31">
        <v>233.49</v>
      </c>
      <c r="V241" s="31">
        <v>230.82</v>
      </c>
      <c r="W241" s="31">
        <v>232.7</v>
      </c>
      <c r="X241" s="31">
        <v>232.7</v>
      </c>
      <c r="Y241" s="31" t="s">
        <v>837</v>
      </c>
      <c r="Z241">
        <f t="shared" si="5"/>
        <v>-1.3648694472702607E-2</v>
      </c>
    </row>
    <row r="242" spans="19:26" ht="15" thickBot="1" x14ac:dyDescent="0.35">
      <c r="S242" s="30" t="s">
        <v>838</v>
      </c>
      <c r="T242" s="31">
        <v>230.65</v>
      </c>
      <c r="U242" s="31">
        <v>233</v>
      </c>
      <c r="V242" s="31">
        <v>230.51</v>
      </c>
      <c r="W242" s="31">
        <v>232.08</v>
      </c>
      <c r="X242" s="31">
        <v>232.08</v>
      </c>
      <c r="Y242" s="31" t="s">
        <v>839</v>
      </c>
      <c r="Z242">
        <f t="shared" si="5"/>
        <v>-2.6643747314137353E-3</v>
      </c>
    </row>
    <row r="243" spans="19:26" ht="15" thickBot="1" x14ac:dyDescent="0.35">
      <c r="S243" s="30" t="s">
        <v>840</v>
      </c>
      <c r="T243" s="31">
        <v>228.76</v>
      </c>
      <c r="U243" s="31">
        <v>234</v>
      </c>
      <c r="V243" s="31">
        <v>227.82</v>
      </c>
      <c r="W243" s="31">
        <v>229.35</v>
      </c>
      <c r="X243" s="31">
        <v>229.35</v>
      </c>
      <c r="Y243" s="31" t="s">
        <v>841</v>
      </c>
      <c r="Z243">
        <f t="shared" si="5"/>
        <v>-1.1763185108583325E-2</v>
      </c>
    </row>
    <row r="244" spans="19:26" ht="15" thickBot="1" x14ac:dyDescent="0.35">
      <c r="S244" s="30" t="s">
        <v>842</v>
      </c>
      <c r="T244" s="31">
        <v>229.33</v>
      </c>
      <c r="U244" s="31">
        <v>229.49</v>
      </c>
      <c r="V244" s="31">
        <v>226.07</v>
      </c>
      <c r="W244" s="31">
        <v>229.44</v>
      </c>
      <c r="X244" s="31">
        <v>229.44</v>
      </c>
      <c r="Y244" s="31" t="s">
        <v>843</v>
      </c>
      <c r="Z244">
        <f t="shared" si="5"/>
        <v>3.9241334205364473E-4</v>
      </c>
    </row>
    <row r="245" spans="19:26" ht="15" thickBot="1" x14ac:dyDescent="0.35">
      <c r="S245" s="30" t="s">
        <v>844</v>
      </c>
      <c r="T245" s="31">
        <v>232.87</v>
      </c>
      <c r="U245" s="31">
        <v>234.63</v>
      </c>
      <c r="V245" s="31">
        <v>228.43</v>
      </c>
      <c r="W245" s="31">
        <v>229.88</v>
      </c>
      <c r="X245" s="31">
        <v>229.88</v>
      </c>
      <c r="Y245" s="31" t="s">
        <v>845</v>
      </c>
      <c r="Z245">
        <f t="shared" si="5"/>
        <v>1.9177126917712592E-3</v>
      </c>
    </row>
    <row r="246" spans="19:26" ht="15" thickBot="1" x14ac:dyDescent="0.35">
      <c r="S246" s="30" t="s">
        <v>846</v>
      </c>
      <c r="T246" s="31">
        <v>237.44</v>
      </c>
      <c r="U246" s="31">
        <v>238.42</v>
      </c>
      <c r="V246" s="31">
        <v>232.81</v>
      </c>
      <c r="W246" s="31">
        <v>234.78</v>
      </c>
      <c r="X246" s="31">
        <v>234.78</v>
      </c>
      <c r="Y246" s="31" t="s">
        <v>847</v>
      </c>
      <c r="Z246">
        <f t="shared" si="5"/>
        <v>2.1315468940316711E-2</v>
      </c>
    </row>
    <row r="247" spans="19:26" ht="15" thickBot="1" x14ac:dyDescent="0.35">
      <c r="S247" s="30" t="s">
        <v>848</v>
      </c>
      <c r="T247" s="31">
        <v>241.89</v>
      </c>
      <c r="U247" s="31">
        <v>241.89</v>
      </c>
      <c r="V247" s="31">
        <v>237.82</v>
      </c>
      <c r="W247" s="31">
        <v>238.69</v>
      </c>
      <c r="X247" s="31">
        <v>238.69</v>
      </c>
      <c r="Y247" s="31" t="s">
        <v>849</v>
      </c>
      <c r="Z247">
        <f t="shared" si="5"/>
        <v>1.6653888746911989E-2</v>
      </c>
    </row>
    <row r="248" spans="19:26" ht="15" thickBot="1" x14ac:dyDescent="0.35">
      <c r="S248" s="30" t="s">
        <v>850</v>
      </c>
      <c r="T248" s="31">
        <v>240</v>
      </c>
      <c r="U248" s="31">
        <v>240.95</v>
      </c>
      <c r="V248" s="31">
        <v>238.13</v>
      </c>
      <c r="W248" s="31">
        <v>239.09</v>
      </c>
      <c r="X248" s="31">
        <v>239.09</v>
      </c>
      <c r="Y248" s="31" t="s">
        <v>851</v>
      </c>
      <c r="Z248">
        <f t="shared" si="5"/>
        <v>1.6758138170849457E-3</v>
      </c>
    </row>
    <row r="249" spans="19:26" ht="15" thickBot="1" x14ac:dyDescent="0.35">
      <c r="S249" s="30" t="s">
        <v>852</v>
      </c>
      <c r="T249" s="31">
        <v>244.37</v>
      </c>
      <c r="U249" s="31">
        <v>245.09</v>
      </c>
      <c r="V249" s="31">
        <v>238.65</v>
      </c>
      <c r="W249" s="31">
        <v>239.23</v>
      </c>
      <c r="X249" s="31">
        <v>239.23</v>
      </c>
      <c r="Y249" s="31" t="s">
        <v>853</v>
      </c>
      <c r="Z249">
        <f t="shared" si="5"/>
        <v>5.8555355723780315E-4</v>
      </c>
    </row>
    <row r="250" spans="19:26" ht="15" thickBot="1" x14ac:dyDescent="0.35">
      <c r="S250" s="30" t="s">
        <v>854</v>
      </c>
      <c r="T250" s="31">
        <v>243.66</v>
      </c>
      <c r="U250" s="31">
        <v>245.69</v>
      </c>
      <c r="V250" s="31">
        <v>239.69</v>
      </c>
      <c r="W250" s="31">
        <v>241.89</v>
      </c>
      <c r="X250" s="31">
        <v>241.89</v>
      </c>
      <c r="Y250" s="31" t="s">
        <v>855</v>
      </c>
      <c r="Z250">
        <f t="shared" si="5"/>
        <v>1.1119006813526717E-2</v>
      </c>
    </row>
    <row r="251" spans="19:26" ht="15" thickBot="1" x14ac:dyDescent="0.35">
      <c r="S251" s="30" t="s">
        <v>856</v>
      </c>
      <c r="T251" s="31">
        <v>237.89</v>
      </c>
      <c r="U251" s="31">
        <v>244.91</v>
      </c>
      <c r="V251" s="31">
        <v>236.65</v>
      </c>
      <c r="W251" s="31">
        <v>244.01</v>
      </c>
      <c r="X251" s="31">
        <v>244.01</v>
      </c>
      <c r="Y251" s="31" t="s">
        <v>857</v>
      </c>
      <c r="Z251">
        <f t="shared" si="5"/>
        <v>8.7643143577659458E-3</v>
      </c>
    </row>
    <row r="252" spans="19:26" ht="15" thickBot="1" x14ac:dyDescent="0.35">
      <c r="S252" s="30" t="s">
        <v>858</v>
      </c>
      <c r="T252" s="31">
        <v>224.85</v>
      </c>
      <c r="U252" s="31">
        <v>225.07</v>
      </c>
      <c r="V252" s="31">
        <v>221.32</v>
      </c>
      <c r="W252" s="31">
        <v>223.31</v>
      </c>
      <c r="X252" s="31">
        <v>223.31</v>
      </c>
      <c r="Y252" s="31" t="s">
        <v>859</v>
      </c>
      <c r="Z252">
        <f t="shared" si="5"/>
        <v>-8.4832588828326658E-2</v>
      </c>
    </row>
    <row r="253" spans="19:26" ht="15" thickBot="1" x14ac:dyDescent="0.35">
      <c r="S253" s="30" t="s">
        <v>860</v>
      </c>
      <c r="T253" s="31">
        <v>228.5</v>
      </c>
      <c r="U253" s="31">
        <v>229.42</v>
      </c>
      <c r="V253" s="31">
        <v>226.62</v>
      </c>
      <c r="W253" s="31">
        <v>228.24</v>
      </c>
      <c r="X253" s="31">
        <v>228.24</v>
      </c>
      <c r="Y253" s="31" t="s">
        <v>861</v>
      </c>
      <c r="Z253">
        <f t="shared" si="5"/>
        <v>2.2076933410953414E-2</v>
      </c>
    </row>
    <row r="254" spans="19:26" ht="15" thickBot="1" x14ac:dyDescent="0.35">
      <c r="S254" s="30" t="s">
        <v>862</v>
      </c>
      <c r="T254" s="31">
        <v>226.11</v>
      </c>
      <c r="U254" s="31">
        <v>228.19</v>
      </c>
      <c r="V254" s="31">
        <v>224.8</v>
      </c>
      <c r="W254" s="31">
        <v>225.42</v>
      </c>
      <c r="X254" s="31">
        <v>225.42</v>
      </c>
      <c r="Y254" s="31" t="s">
        <v>863</v>
      </c>
      <c r="Z254">
        <f t="shared" si="5"/>
        <v>-1.2355415352260873E-2</v>
      </c>
    </row>
    <row r="255" spans="19:26" ht="15" thickBot="1" x14ac:dyDescent="0.35">
      <c r="S255" s="30" t="s">
        <v>864</v>
      </c>
      <c r="T255" s="31">
        <v>226.03</v>
      </c>
      <c r="U255" s="31">
        <v>232</v>
      </c>
      <c r="V255" s="31">
        <v>225.74</v>
      </c>
      <c r="W255" s="31">
        <v>230.57</v>
      </c>
      <c r="X255" s="31">
        <v>230.57</v>
      </c>
      <c r="Y255" s="31" t="s">
        <v>865</v>
      </c>
      <c r="Z255">
        <f t="shared" si="5"/>
        <v>2.2846242569425988E-2</v>
      </c>
    </row>
    <row r="256" spans="19:26" ht="15" thickBot="1" x14ac:dyDescent="0.35">
      <c r="S256" s="30" t="s">
        <v>1079</v>
      </c>
      <c r="T256" s="31">
        <v>226.53</v>
      </c>
      <c r="U256" s="31">
        <v>226.57</v>
      </c>
      <c r="V256" s="31">
        <v>222.52</v>
      </c>
      <c r="W256" s="31">
        <v>225.3</v>
      </c>
      <c r="X256" s="31">
        <v>225.3</v>
      </c>
      <c r="Y256" s="31" t="s">
        <v>1080</v>
      </c>
      <c r="Z256">
        <f t="shared" si="5"/>
        <v>-2.2856399358112425E-2</v>
      </c>
    </row>
    <row r="257" spans="19:26" ht="15" thickBot="1" x14ac:dyDescent="0.35">
      <c r="S257" s="30" t="s">
        <v>1081</v>
      </c>
      <c r="T257" s="31">
        <v>230.68</v>
      </c>
      <c r="U257" s="31">
        <v>231.25</v>
      </c>
      <c r="V257" s="31">
        <v>223.5</v>
      </c>
      <c r="W257" s="31">
        <v>224.36</v>
      </c>
      <c r="X257" s="31">
        <v>224.36</v>
      </c>
      <c r="Y257" s="31" t="s">
        <v>1082</v>
      </c>
      <c r="Z257">
        <f t="shared" si="5"/>
        <v>-4.1722148246781969E-3</v>
      </c>
    </row>
    <row r="258" spans="19:26" ht="15" thickBot="1" x14ac:dyDescent="0.35">
      <c r="S258" s="30" t="s">
        <v>1083</v>
      </c>
      <c r="T258" s="31">
        <v>229.89</v>
      </c>
      <c r="U258" s="31">
        <v>231.52</v>
      </c>
      <c r="V258" s="31">
        <v>226.47</v>
      </c>
      <c r="W258" s="31">
        <v>226.73</v>
      </c>
      <c r="X258" s="31">
        <v>226.73</v>
      </c>
      <c r="Y258" s="31" t="s">
        <v>1084</v>
      </c>
      <c r="Z258">
        <f t="shared" si="5"/>
        <v>1.0563380281690033E-2</v>
      </c>
    </row>
    <row r="259" spans="19:26" ht="15" thickBot="1" x14ac:dyDescent="0.35">
      <c r="S259" s="30" t="s">
        <v>1085</v>
      </c>
      <c r="T259" s="31">
        <v>229.27</v>
      </c>
      <c r="U259" s="31">
        <v>230.45</v>
      </c>
      <c r="V259" s="31">
        <v>226.64</v>
      </c>
      <c r="W259" s="31">
        <v>229.25</v>
      </c>
      <c r="X259" s="31">
        <v>229.25</v>
      </c>
      <c r="Y259" s="31" t="s">
        <v>1086</v>
      </c>
      <c r="Z259">
        <f t="shared" si="5"/>
        <v>1.1114541525162133E-2</v>
      </c>
    </row>
    <row r="260" spans="19:26" ht="15" thickBot="1" x14ac:dyDescent="0.35">
      <c r="S260" s="30" t="s">
        <v>1087</v>
      </c>
      <c r="T260" s="31">
        <v>225.49</v>
      </c>
      <c r="U260" s="31">
        <v>232.38</v>
      </c>
      <c r="V260" s="31">
        <v>225.1</v>
      </c>
      <c r="W260" s="31">
        <v>231.86</v>
      </c>
      <c r="X260" s="31">
        <v>231.86</v>
      </c>
      <c r="Y260" s="31" t="s">
        <v>1088</v>
      </c>
      <c r="Z260">
        <f t="shared" ref="Z260:Z323" si="6">(X260-X259)/X259</f>
        <v>1.1384950926935719E-2</v>
      </c>
    </row>
    <row r="261" spans="19:26" ht="15" thickBot="1" x14ac:dyDescent="0.35">
      <c r="S261" s="30" t="s">
        <v>1089</v>
      </c>
      <c r="T261" s="31">
        <v>222</v>
      </c>
      <c r="U261" s="31">
        <v>229.24</v>
      </c>
      <c r="V261" s="31">
        <v>220.42</v>
      </c>
      <c r="W261" s="31">
        <v>227.26</v>
      </c>
      <c r="X261" s="31">
        <v>227.26</v>
      </c>
      <c r="Y261" s="31" t="s">
        <v>1090</v>
      </c>
      <c r="Z261">
        <f t="shared" si="6"/>
        <v>-1.9839558354179342E-2</v>
      </c>
    </row>
    <row r="262" spans="19:26" ht="15" thickBot="1" x14ac:dyDescent="0.35">
      <c r="S262" s="30" t="s">
        <v>1091</v>
      </c>
      <c r="T262" s="31">
        <v>225</v>
      </c>
      <c r="U262" s="31">
        <v>229.24</v>
      </c>
      <c r="V262" s="31">
        <v>222.5</v>
      </c>
      <c r="W262" s="31">
        <v>222.72</v>
      </c>
      <c r="X262" s="31">
        <v>222.72</v>
      </c>
      <c r="Y262" s="31" t="s">
        <v>1092</v>
      </c>
      <c r="Z262">
        <f t="shared" si="6"/>
        <v>-1.9977118718648209E-2</v>
      </c>
    </row>
    <row r="263" spans="19:26" ht="15" thickBot="1" x14ac:dyDescent="0.35">
      <c r="S263" s="30" t="s">
        <v>1093</v>
      </c>
      <c r="T263" s="31">
        <v>236.83</v>
      </c>
      <c r="U263" s="31">
        <v>237.3</v>
      </c>
      <c r="V263" s="31">
        <v>229.24</v>
      </c>
      <c r="W263" s="31">
        <v>229.59</v>
      </c>
      <c r="X263" s="31">
        <v>229.59</v>
      </c>
      <c r="Y263" s="31" t="s">
        <v>1094</v>
      </c>
      <c r="Z263">
        <f t="shared" si="6"/>
        <v>3.0845905172413812E-2</v>
      </c>
    </row>
    <row r="264" spans="19:26" ht="15" thickBot="1" x14ac:dyDescent="0.35">
      <c r="S264" s="30" t="s">
        <v>1095</v>
      </c>
      <c r="T264" s="31">
        <v>237.3</v>
      </c>
      <c r="U264" s="31">
        <v>241.12</v>
      </c>
      <c r="V264" s="31">
        <v>235.5</v>
      </c>
      <c r="W264" s="31">
        <v>237.67</v>
      </c>
      <c r="X264" s="31">
        <v>237.67</v>
      </c>
      <c r="Y264" s="31" t="s">
        <v>1096</v>
      </c>
      <c r="Z264">
        <f t="shared" si="6"/>
        <v>3.519317043425229E-2</v>
      </c>
    </row>
    <row r="265" spans="19:26" ht="15" thickBot="1" x14ac:dyDescent="0.35">
      <c r="S265" s="30" t="s">
        <v>1097</v>
      </c>
      <c r="T265" s="31">
        <v>235.85</v>
      </c>
      <c r="U265" s="31">
        <v>238.53</v>
      </c>
      <c r="V265" s="31">
        <v>235</v>
      </c>
      <c r="W265" s="31">
        <v>237.12</v>
      </c>
      <c r="X265" s="31">
        <v>237.12</v>
      </c>
      <c r="Y265" s="31" t="s">
        <v>1098</v>
      </c>
      <c r="Z265">
        <f t="shared" si="6"/>
        <v>-2.3141330416122478E-3</v>
      </c>
    </row>
    <row r="266" spans="19:26" ht="15" thickBot="1" x14ac:dyDescent="0.35">
      <c r="S266" s="30" t="s">
        <v>1099</v>
      </c>
      <c r="T266" s="31">
        <v>239.66</v>
      </c>
      <c r="U266" s="31">
        <v>241.6</v>
      </c>
      <c r="V266" s="31">
        <v>236.88</v>
      </c>
      <c r="W266" s="31">
        <v>239.79</v>
      </c>
      <c r="X266" s="31">
        <v>239.79</v>
      </c>
      <c r="Y266" s="31" t="s">
        <v>1100</v>
      </c>
      <c r="Z266">
        <f t="shared" si="6"/>
        <v>1.1260121457489825E-2</v>
      </c>
    </row>
    <row r="267" spans="19:26" ht="15" thickBot="1" x14ac:dyDescent="0.35">
      <c r="S267" s="30" t="s">
        <v>1101</v>
      </c>
      <c r="T267" s="31">
        <v>238.56</v>
      </c>
      <c r="U267" s="31">
        <v>239.5</v>
      </c>
      <c r="V267" s="31">
        <v>235.56</v>
      </c>
      <c r="W267" s="31">
        <v>236.43</v>
      </c>
      <c r="X267" s="31">
        <v>236.43</v>
      </c>
      <c r="Y267" s="31" t="s">
        <v>1102</v>
      </c>
      <c r="Z267">
        <f t="shared" si="6"/>
        <v>-1.401226072813706E-2</v>
      </c>
    </row>
    <row r="268" spans="19:26" ht="15" thickBot="1" x14ac:dyDescent="0.35">
      <c r="S268" s="30" t="s">
        <v>1103</v>
      </c>
      <c r="T268" s="31">
        <v>226.5</v>
      </c>
      <c r="U268" s="31">
        <v>235.63</v>
      </c>
      <c r="V268" s="31">
        <v>225.81</v>
      </c>
      <c r="W268" s="31">
        <v>233.34</v>
      </c>
      <c r="X268" s="31">
        <v>233.34</v>
      </c>
      <c r="Y268" s="31" t="s">
        <v>1104</v>
      </c>
      <c r="Z268">
        <f t="shared" si="6"/>
        <v>-1.3069407435604632E-2</v>
      </c>
    </row>
    <row r="269" spans="19:26" ht="15" thickBot="1" x14ac:dyDescent="0.35">
      <c r="S269" s="30" t="s">
        <v>1105</v>
      </c>
      <c r="T269" s="31">
        <v>228.07</v>
      </c>
      <c r="U269" s="31">
        <v>229.85</v>
      </c>
      <c r="V269" s="31">
        <v>225.53</v>
      </c>
      <c r="W269" s="31">
        <v>226.93</v>
      </c>
      <c r="X269" s="31">
        <v>226.93</v>
      </c>
      <c r="Y269" s="31" t="s">
        <v>1106</v>
      </c>
      <c r="Z269">
        <f t="shared" si="6"/>
        <v>-2.7470643695894387E-2</v>
      </c>
    </row>
    <row r="270" spans="19:26" ht="15" thickBot="1" x14ac:dyDescent="0.35">
      <c r="S270" s="30" t="s">
        <v>1107</v>
      </c>
      <c r="T270" s="31">
        <v>228.41</v>
      </c>
      <c r="U270" s="31">
        <v>230.45</v>
      </c>
      <c r="V270" s="31">
        <v>226.26</v>
      </c>
      <c r="W270" s="31">
        <v>230.28</v>
      </c>
      <c r="X270" s="31">
        <v>230.28</v>
      </c>
      <c r="Y270" s="31" t="s">
        <v>1108</v>
      </c>
      <c r="Z270">
        <f t="shared" si="6"/>
        <v>1.4762261490327389E-2</v>
      </c>
    </row>
    <row r="271" spans="19:26" ht="15" thickBot="1" x14ac:dyDescent="0.35">
      <c r="S271" s="30" t="s">
        <v>1109</v>
      </c>
      <c r="T271" s="31">
        <v>233.7</v>
      </c>
      <c r="U271" s="31">
        <v>235.45</v>
      </c>
      <c r="V271" s="31">
        <v>229.71</v>
      </c>
      <c r="W271" s="31">
        <v>231.87</v>
      </c>
      <c r="X271" s="31">
        <v>231.87</v>
      </c>
      <c r="Y271" s="31" t="s">
        <v>1110</v>
      </c>
      <c r="Z271">
        <f t="shared" si="6"/>
        <v>6.904637832204288E-3</v>
      </c>
    </row>
    <row r="272" spans="19:26" ht="15" thickBot="1" x14ac:dyDescent="0.35">
      <c r="S272" s="30" t="s">
        <v>1111</v>
      </c>
      <c r="T272" s="31">
        <v>237.2</v>
      </c>
      <c r="U272" s="31">
        <v>241.72</v>
      </c>
      <c r="V272" s="31">
        <v>235</v>
      </c>
      <c r="W272" s="31">
        <v>240.8</v>
      </c>
      <c r="X272" s="31">
        <v>240.8</v>
      </c>
      <c r="Y272" s="31" t="s">
        <v>1112</v>
      </c>
      <c r="Z272">
        <f t="shared" si="6"/>
        <v>3.8512959848190823E-2</v>
      </c>
    </row>
    <row r="273" spans="19:26" ht="15" thickBot="1" x14ac:dyDescent="0.35">
      <c r="S273" s="30" t="s">
        <v>1113</v>
      </c>
      <c r="T273" s="31">
        <v>241</v>
      </c>
      <c r="U273" s="31">
        <v>241.32</v>
      </c>
      <c r="V273" s="31">
        <v>233.64</v>
      </c>
      <c r="W273" s="31">
        <v>234.3</v>
      </c>
      <c r="X273" s="31">
        <v>234.3</v>
      </c>
      <c r="Y273" s="31" t="s">
        <v>1114</v>
      </c>
      <c r="Z273">
        <f t="shared" si="6"/>
        <v>-2.6993355481727575E-2</v>
      </c>
    </row>
    <row r="274" spans="19:26" ht="15" thickBot="1" x14ac:dyDescent="0.35">
      <c r="S274" s="30" t="s">
        <v>1115</v>
      </c>
      <c r="T274" s="31">
        <v>233.38</v>
      </c>
      <c r="U274" s="31">
        <v>238.74</v>
      </c>
      <c r="V274" s="31">
        <v>233.07</v>
      </c>
      <c r="W274" s="31">
        <v>238.14</v>
      </c>
      <c r="X274" s="31">
        <v>238.14</v>
      </c>
      <c r="Y274" s="31" t="s">
        <v>1116</v>
      </c>
      <c r="Z274">
        <f t="shared" si="6"/>
        <v>1.6389244558258534E-2</v>
      </c>
    </row>
    <row r="275" spans="19:26" ht="15" thickBot="1" x14ac:dyDescent="0.35">
      <c r="S275" s="30" t="s">
        <v>1117</v>
      </c>
      <c r="T275" s="31">
        <v>229.02</v>
      </c>
      <c r="U275" s="31">
        <v>230.81</v>
      </c>
      <c r="V275" s="31">
        <v>226.53</v>
      </c>
      <c r="W275" s="31">
        <v>226.69</v>
      </c>
      <c r="X275" s="31">
        <v>226.69</v>
      </c>
      <c r="Y275" s="31" t="s">
        <v>1118</v>
      </c>
      <c r="Z275">
        <f t="shared" si="6"/>
        <v>-4.8080960779373433E-2</v>
      </c>
    </row>
    <row r="276" spans="19:26" ht="15" thickBot="1" x14ac:dyDescent="0.35">
      <c r="S276" s="30" t="s">
        <v>1119</v>
      </c>
      <c r="T276" s="31">
        <v>235.42</v>
      </c>
      <c r="U276" s="31">
        <v>236.43</v>
      </c>
      <c r="V276" s="31">
        <v>228.34</v>
      </c>
      <c r="W276" s="31">
        <v>233.89</v>
      </c>
      <c r="X276" s="31">
        <v>233.89</v>
      </c>
      <c r="Y276" s="31" t="s">
        <v>1120</v>
      </c>
      <c r="Z276">
        <f t="shared" si="6"/>
        <v>3.1761436322731436E-2</v>
      </c>
    </row>
    <row r="277" spans="19:26" ht="15" thickBot="1" x14ac:dyDescent="0.35">
      <c r="S277" s="30" t="s">
        <v>1121</v>
      </c>
      <c r="T277" s="31">
        <v>235</v>
      </c>
      <c r="U277" s="31">
        <v>236.37</v>
      </c>
      <c r="V277" s="31">
        <v>228.36</v>
      </c>
      <c r="W277" s="31">
        <v>230.5</v>
      </c>
      <c r="X277" s="31">
        <v>230.5</v>
      </c>
      <c r="Y277" s="31" t="s">
        <v>1122</v>
      </c>
      <c r="Z277">
        <f t="shared" si="6"/>
        <v>-1.4493992902646486E-2</v>
      </c>
    </row>
    <row r="278" spans="19:26" ht="15" thickBot="1" x14ac:dyDescent="0.35">
      <c r="S278" s="30" t="s">
        <v>1123</v>
      </c>
      <c r="T278" s="31">
        <v>237.5</v>
      </c>
      <c r="U278" s="31">
        <v>239.61</v>
      </c>
      <c r="V278" s="31">
        <v>234.45</v>
      </c>
      <c r="W278" s="31">
        <v>236.27</v>
      </c>
      <c r="X278" s="31">
        <v>236.27</v>
      </c>
      <c r="Y278" s="31" t="s">
        <v>1124</v>
      </c>
      <c r="Z278">
        <f t="shared" si="6"/>
        <v>2.503253796095449E-2</v>
      </c>
    </row>
    <row r="279" spans="19:26" ht="15" thickBot="1" x14ac:dyDescent="0.35">
      <c r="S279" s="30" t="s">
        <v>1125</v>
      </c>
      <c r="T279" s="31">
        <v>238.79</v>
      </c>
      <c r="U279" s="31">
        <v>241.2</v>
      </c>
      <c r="V279" s="31">
        <v>234.27</v>
      </c>
      <c r="W279" s="31">
        <v>234.42</v>
      </c>
      <c r="X279" s="31">
        <v>234.42</v>
      </c>
      <c r="Y279" s="31" t="s">
        <v>1126</v>
      </c>
      <c r="Z279">
        <f t="shared" si="6"/>
        <v>-7.8300249714310863E-3</v>
      </c>
    </row>
    <row r="280" spans="19:26" ht="15" thickBot="1" x14ac:dyDescent="0.35">
      <c r="S280" s="30" t="s">
        <v>1127</v>
      </c>
      <c r="T280" s="31">
        <v>241.05</v>
      </c>
      <c r="U280" s="31">
        <v>242.79</v>
      </c>
      <c r="V280" s="31">
        <v>239.26</v>
      </c>
      <c r="W280" s="31">
        <v>241.69</v>
      </c>
      <c r="X280" s="31">
        <v>241.69</v>
      </c>
      <c r="Y280" s="31" t="s">
        <v>1128</v>
      </c>
      <c r="Z280">
        <f t="shared" si="6"/>
        <v>3.1012712225919337E-2</v>
      </c>
    </row>
    <row r="281" spans="19:26" ht="15" thickBot="1" x14ac:dyDescent="0.35">
      <c r="S281" s="30" t="s">
        <v>1129</v>
      </c>
      <c r="T281" s="31">
        <v>244.63</v>
      </c>
      <c r="U281" s="31">
        <v>244.9</v>
      </c>
      <c r="V281" s="31">
        <v>237.65</v>
      </c>
      <c r="W281" s="31">
        <v>237.76</v>
      </c>
      <c r="X281" s="31">
        <v>237.76</v>
      </c>
      <c r="Y281" s="31" t="s">
        <v>1130</v>
      </c>
      <c r="Z281">
        <f t="shared" si="6"/>
        <v>-1.62604989863048E-2</v>
      </c>
    </row>
    <row r="282" spans="19:26" ht="15" thickBot="1" x14ac:dyDescent="0.35">
      <c r="S282" s="30" t="s">
        <v>1131</v>
      </c>
      <c r="T282" s="31">
        <v>250</v>
      </c>
      <c r="U282" s="31">
        <v>250.34</v>
      </c>
      <c r="V282" s="31">
        <v>240.07</v>
      </c>
      <c r="W282" s="31">
        <v>240.18</v>
      </c>
      <c r="X282" s="31">
        <v>240.18</v>
      </c>
      <c r="Y282" s="31" t="s">
        <v>1132</v>
      </c>
      <c r="Z282">
        <f t="shared" si="6"/>
        <v>1.0178331090175033E-2</v>
      </c>
    </row>
    <row r="283" spans="19:26" ht="15" thickBot="1" x14ac:dyDescent="0.35">
      <c r="S283" s="30" t="s">
        <v>1133</v>
      </c>
      <c r="T283" s="31">
        <v>252</v>
      </c>
      <c r="U283" s="31">
        <v>252</v>
      </c>
      <c r="V283" s="31">
        <v>248.1</v>
      </c>
      <c r="W283" s="31">
        <v>250.34</v>
      </c>
      <c r="X283" s="31">
        <v>250.34</v>
      </c>
      <c r="Y283" s="31" t="s">
        <v>1134</v>
      </c>
      <c r="Z283">
        <f t="shared" si="6"/>
        <v>4.2301607127987327E-2</v>
      </c>
    </row>
    <row r="284" spans="19:26" ht="15" thickBot="1" x14ac:dyDescent="0.35">
      <c r="S284" s="30" t="s">
        <v>1135</v>
      </c>
      <c r="T284" s="31">
        <v>247.31</v>
      </c>
      <c r="U284" s="31">
        <v>254.9</v>
      </c>
      <c r="V284" s="31">
        <v>241.62</v>
      </c>
      <c r="W284" s="31">
        <v>252.75</v>
      </c>
      <c r="X284" s="31">
        <v>252.75</v>
      </c>
      <c r="Y284" s="31" t="s">
        <v>1136</v>
      </c>
      <c r="Z284">
        <f t="shared" si="6"/>
        <v>9.6269074059279237E-3</v>
      </c>
    </row>
    <row r="285" spans="19:26" ht="15" thickBot="1" x14ac:dyDescent="0.35">
      <c r="S285" s="30" t="s">
        <v>1137</v>
      </c>
      <c r="T285" s="31">
        <v>257.99</v>
      </c>
      <c r="U285" s="31">
        <v>259.45999999999998</v>
      </c>
      <c r="V285" s="31">
        <v>254</v>
      </c>
      <c r="W285" s="31">
        <v>254</v>
      </c>
      <c r="X285" s="31">
        <v>254</v>
      </c>
      <c r="Y285" s="31" t="s">
        <v>1138</v>
      </c>
      <c r="Z285">
        <f t="shared" si="6"/>
        <v>4.945598417408506E-3</v>
      </c>
    </row>
    <row r="286" spans="19:26" ht="15" thickBot="1" x14ac:dyDescent="0.35">
      <c r="S286" s="30" t="s">
        <v>1139</v>
      </c>
      <c r="T286" s="31">
        <v>266.05</v>
      </c>
      <c r="U286" s="31">
        <v>269.39</v>
      </c>
      <c r="V286" s="31">
        <v>262.85000000000002</v>
      </c>
      <c r="W286" s="31">
        <v>263.58999999999997</v>
      </c>
      <c r="X286" s="31">
        <v>263.58999999999997</v>
      </c>
      <c r="Y286" s="31" t="s">
        <v>1140</v>
      </c>
      <c r="Z286">
        <f t="shared" si="6"/>
        <v>3.7755905511810926E-2</v>
      </c>
    </row>
    <row r="287" spans="19:26" ht="15" thickBot="1" x14ac:dyDescent="0.35">
      <c r="S287" s="30" t="s">
        <v>1141</v>
      </c>
      <c r="T287" s="31">
        <v>265.23</v>
      </c>
      <c r="U287" s="31">
        <v>266.18</v>
      </c>
      <c r="V287" s="31">
        <v>262.33</v>
      </c>
      <c r="W287" s="31">
        <v>264.51</v>
      </c>
      <c r="X287" s="31">
        <v>264.51</v>
      </c>
      <c r="Y287" s="31" t="s">
        <v>1142</v>
      </c>
      <c r="Z287">
        <f t="shared" si="6"/>
        <v>3.4902689783376305E-3</v>
      </c>
    </row>
    <row r="288" spans="19:26" ht="15" thickBot="1" x14ac:dyDescent="0.35">
      <c r="S288" s="30" t="s">
        <v>1143</v>
      </c>
      <c r="T288" s="31">
        <v>270.89</v>
      </c>
      <c r="U288" s="31">
        <v>272.32</v>
      </c>
      <c r="V288" s="31">
        <v>267.81</v>
      </c>
      <c r="W288" s="31">
        <v>270.83</v>
      </c>
      <c r="X288" s="31">
        <v>270.83</v>
      </c>
      <c r="Y288" s="31" t="s">
        <v>1144</v>
      </c>
      <c r="Z288">
        <f t="shared" si="6"/>
        <v>2.3893236550602978E-2</v>
      </c>
    </row>
    <row r="289" spans="19:26" ht="15" thickBot="1" x14ac:dyDescent="0.35">
      <c r="S289" s="30" t="s">
        <v>1145</v>
      </c>
      <c r="T289" s="31">
        <v>271</v>
      </c>
      <c r="U289" s="31">
        <v>274.29000000000002</v>
      </c>
      <c r="V289" s="31">
        <v>270.39999999999998</v>
      </c>
      <c r="W289" s="31">
        <v>270.7</v>
      </c>
      <c r="X289" s="31">
        <v>270.7</v>
      </c>
      <c r="Y289" s="31" t="s">
        <v>1146</v>
      </c>
      <c r="Z289">
        <f t="shared" si="6"/>
        <v>-4.8000590776500188E-4</v>
      </c>
    </row>
    <row r="290" spans="19:26" ht="15" thickBot="1" x14ac:dyDescent="0.35">
      <c r="S290" s="30" t="s">
        <v>1147</v>
      </c>
      <c r="T290" s="31">
        <v>269.08999999999997</v>
      </c>
      <c r="U290" s="31">
        <v>270.25</v>
      </c>
      <c r="V290" s="31">
        <v>265.68</v>
      </c>
      <c r="W290" s="31">
        <v>267.85000000000002</v>
      </c>
      <c r="X290" s="31">
        <v>267.85000000000002</v>
      </c>
      <c r="Y290" s="31" t="s">
        <v>1148</v>
      </c>
      <c r="Z290">
        <f t="shared" si="6"/>
        <v>-1.0528260066494148E-2</v>
      </c>
    </row>
    <row r="291" spans="19:26" ht="15" thickBot="1" x14ac:dyDescent="0.35">
      <c r="S291" s="30" t="s">
        <v>1149</v>
      </c>
      <c r="T291" s="31">
        <v>268.75</v>
      </c>
      <c r="U291" s="31">
        <v>274.26</v>
      </c>
      <c r="V291" s="31">
        <v>267.2</v>
      </c>
      <c r="W291" s="31">
        <v>268.93</v>
      </c>
      <c r="X291" s="31">
        <v>268.93</v>
      </c>
      <c r="Y291" s="31" t="s">
        <v>1150</v>
      </c>
      <c r="Z291">
        <f t="shared" si="6"/>
        <v>4.0321075228672166E-3</v>
      </c>
    </row>
    <row r="292" spans="19:26" ht="15" thickBot="1" x14ac:dyDescent="0.35">
      <c r="S292" s="30" t="s">
        <v>1151</v>
      </c>
      <c r="T292" s="31">
        <v>268.7</v>
      </c>
      <c r="U292" s="31">
        <v>270.39999999999998</v>
      </c>
      <c r="V292" s="31">
        <v>264.60000000000002</v>
      </c>
      <c r="W292" s="31">
        <v>267.79000000000002</v>
      </c>
      <c r="X292" s="31">
        <v>267.79000000000002</v>
      </c>
      <c r="Y292" s="31" t="s">
        <v>1152</v>
      </c>
      <c r="Z292">
        <f t="shared" si="6"/>
        <v>-4.239021306659675E-3</v>
      </c>
    </row>
    <row r="293" spans="19:26" ht="15" thickBot="1" x14ac:dyDescent="0.35">
      <c r="S293" s="30" t="s">
        <v>1153</v>
      </c>
      <c r="T293" s="31">
        <v>263</v>
      </c>
      <c r="U293" s="31">
        <v>267.2</v>
      </c>
      <c r="V293" s="31">
        <v>262.54000000000002</v>
      </c>
      <c r="W293" s="31">
        <v>266.49</v>
      </c>
      <c r="X293" s="31">
        <v>266.49</v>
      </c>
      <c r="Y293" s="31" t="s">
        <v>1154</v>
      </c>
      <c r="Z293">
        <f t="shared" si="6"/>
        <v>-4.8545502072519934E-3</v>
      </c>
    </row>
    <row r="294" spans="19:26" ht="15" thickBot="1" x14ac:dyDescent="0.35">
      <c r="S294" s="30" t="s">
        <v>1155</v>
      </c>
      <c r="T294" s="31">
        <v>264.98</v>
      </c>
      <c r="U294" s="31">
        <v>265</v>
      </c>
      <c r="V294" s="31">
        <v>261.82</v>
      </c>
      <c r="W294" s="31">
        <v>262.58999999999997</v>
      </c>
      <c r="X294" s="31">
        <v>262.58999999999997</v>
      </c>
      <c r="Y294" s="31" t="s">
        <v>1156</v>
      </c>
      <c r="Z294">
        <f t="shared" si="6"/>
        <v>-1.4634695485759443E-2</v>
      </c>
    </row>
    <row r="295" spans="19:26" ht="15" thickBot="1" x14ac:dyDescent="0.35">
      <c r="S295" s="30" t="s">
        <v>1157</v>
      </c>
      <c r="T295" s="31">
        <v>264.61</v>
      </c>
      <c r="U295" s="31">
        <v>266.45</v>
      </c>
      <c r="V295" s="31">
        <v>263.20999999999998</v>
      </c>
      <c r="W295" s="31">
        <v>265.67</v>
      </c>
      <c r="X295" s="31">
        <v>265.67</v>
      </c>
      <c r="Y295" s="31" t="s">
        <v>1158</v>
      </c>
      <c r="Z295">
        <f t="shared" si="6"/>
        <v>1.172931185498321E-2</v>
      </c>
    </row>
    <row r="296" spans="19:26" ht="15" thickBot="1" x14ac:dyDescent="0.35">
      <c r="S296" s="30" t="s">
        <v>1159</v>
      </c>
      <c r="T296" s="31">
        <v>269.58</v>
      </c>
      <c r="U296" s="31">
        <v>269.99</v>
      </c>
      <c r="V296" s="31">
        <v>265.56</v>
      </c>
      <c r="W296" s="31">
        <v>266.95999999999998</v>
      </c>
      <c r="X296" s="31">
        <v>266.95999999999998</v>
      </c>
      <c r="Y296" s="31" t="s">
        <v>1160</v>
      </c>
      <c r="Z296">
        <f t="shared" si="6"/>
        <v>4.8556479843413387E-3</v>
      </c>
    </row>
    <row r="297" spans="19:26" ht="15" thickBot="1" x14ac:dyDescent="0.35">
      <c r="S297" s="30" t="s">
        <v>1161</v>
      </c>
      <c r="T297" s="31">
        <v>264.7</v>
      </c>
      <c r="U297" s="31">
        <v>268.27999999999997</v>
      </c>
      <c r="V297" s="31">
        <v>261.25</v>
      </c>
      <c r="W297" s="31">
        <v>263.43</v>
      </c>
      <c r="X297" s="31">
        <v>263.43</v>
      </c>
      <c r="Y297" s="31" t="s">
        <v>1162</v>
      </c>
      <c r="Z297">
        <f t="shared" si="6"/>
        <v>-1.3222954749775147E-2</v>
      </c>
    </row>
    <row r="298" spans="19:26" ht="15" thickBot="1" x14ac:dyDescent="0.35">
      <c r="S298" s="30" t="s">
        <v>1163</v>
      </c>
      <c r="T298" s="31">
        <v>264.57</v>
      </c>
      <c r="U298" s="31">
        <v>265</v>
      </c>
      <c r="V298" s="31">
        <v>254.04</v>
      </c>
      <c r="W298" s="31">
        <v>254.5</v>
      </c>
      <c r="X298" s="31">
        <v>254.5</v>
      </c>
      <c r="Y298" s="31" t="s">
        <v>1164</v>
      </c>
      <c r="Z298">
        <f t="shared" si="6"/>
        <v>-3.3898948487264192E-2</v>
      </c>
    </row>
    <row r="299" spans="19:26" ht="15" thickBot="1" x14ac:dyDescent="0.35">
      <c r="S299" s="30" t="s">
        <v>1165</v>
      </c>
      <c r="T299" s="31">
        <v>258.8</v>
      </c>
      <c r="U299" s="31">
        <v>265</v>
      </c>
      <c r="V299" s="31">
        <v>255.2</v>
      </c>
      <c r="W299" s="31">
        <v>264.69</v>
      </c>
      <c r="X299" s="31">
        <v>264.69</v>
      </c>
      <c r="Y299" s="31" t="s">
        <v>1166</v>
      </c>
      <c r="Z299">
        <f t="shared" si="6"/>
        <v>4.0039292730844785E-2</v>
      </c>
    </row>
    <row r="300" spans="19:26" ht="15" thickBot="1" x14ac:dyDescent="0.35">
      <c r="S300" s="30" t="s">
        <v>1167</v>
      </c>
      <c r="T300" s="31">
        <v>256.02999999999997</v>
      </c>
      <c r="U300" s="31">
        <v>258.89999999999998</v>
      </c>
      <c r="V300" s="31">
        <v>252.3</v>
      </c>
      <c r="W300" s="31">
        <v>253.83</v>
      </c>
      <c r="X300" s="31">
        <v>253.83</v>
      </c>
      <c r="Y300" s="31" t="s">
        <v>1168</v>
      </c>
      <c r="Z300">
        <f t="shared" si="6"/>
        <v>-4.1029128414371473E-2</v>
      </c>
    </row>
    <row r="301" spans="19:26" ht="15" thickBot="1" x14ac:dyDescent="0.35">
      <c r="S301" s="30" t="s">
        <v>1169</v>
      </c>
      <c r="T301" s="31">
        <v>259.17</v>
      </c>
      <c r="U301" s="31">
        <v>261.57</v>
      </c>
      <c r="V301" s="31">
        <v>257.33</v>
      </c>
      <c r="W301" s="31">
        <v>260.76</v>
      </c>
      <c r="X301" s="31">
        <v>260.76</v>
      </c>
      <c r="Y301" s="31" t="s">
        <v>1170</v>
      </c>
      <c r="Z301">
        <f t="shared" si="6"/>
        <v>2.7301737383287943E-2</v>
      </c>
    </row>
    <row r="302" spans="19:26" ht="15" thickBot="1" x14ac:dyDescent="0.35">
      <c r="S302" s="30" t="s">
        <v>1171</v>
      </c>
      <c r="T302" s="31">
        <v>265.13</v>
      </c>
      <c r="U302" s="31">
        <v>265.92</v>
      </c>
      <c r="V302" s="31">
        <v>259.95</v>
      </c>
      <c r="W302" s="31">
        <v>260.25</v>
      </c>
      <c r="X302" s="31">
        <v>260.25</v>
      </c>
      <c r="Y302" s="31" t="s">
        <v>1172</v>
      </c>
      <c r="Z302">
        <f t="shared" si="6"/>
        <v>-1.9558214450068681E-3</v>
      </c>
    </row>
    <row r="303" spans="19:26" ht="15" thickBot="1" x14ac:dyDescent="0.35">
      <c r="S303" s="30" t="s">
        <v>1173</v>
      </c>
      <c r="T303" s="31">
        <v>263.8</v>
      </c>
      <c r="U303" s="31">
        <v>266</v>
      </c>
      <c r="V303" s="31">
        <v>261.12</v>
      </c>
      <c r="W303" s="31">
        <v>265.92</v>
      </c>
      <c r="X303" s="31">
        <v>265.92</v>
      </c>
      <c r="Y303" s="31" t="s">
        <v>1174</v>
      </c>
      <c r="Z303">
        <f t="shared" si="6"/>
        <v>2.1786743515850204E-2</v>
      </c>
    </row>
    <row r="304" spans="19:26" ht="15" thickBot="1" x14ac:dyDescent="0.35">
      <c r="S304" s="30" t="s">
        <v>1175</v>
      </c>
      <c r="T304" s="31">
        <v>263.62</v>
      </c>
      <c r="U304" s="31">
        <v>265.2</v>
      </c>
      <c r="V304" s="31">
        <v>257.85000000000002</v>
      </c>
      <c r="W304" s="31">
        <v>261.38</v>
      </c>
      <c r="X304" s="31">
        <v>261.38</v>
      </c>
      <c r="Y304" s="31" t="s">
        <v>1176</v>
      </c>
      <c r="Z304">
        <f t="shared" si="6"/>
        <v>-1.7072803850782265E-2</v>
      </c>
    </row>
    <row r="305" spans="19:26" ht="15" thickBot="1" x14ac:dyDescent="0.35">
      <c r="S305" s="30" t="s">
        <v>1177</v>
      </c>
      <c r="T305" s="31">
        <v>256.8</v>
      </c>
      <c r="U305" s="31">
        <v>260.33</v>
      </c>
      <c r="V305" s="31">
        <v>255.5</v>
      </c>
      <c r="W305" s="31">
        <v>258.62</v>
      </c>
      <c r="X305" s="31">
        <v>258.62</v>
      </c>
      <c r="Y305" s="31" t="s">
        <v>1178</v>
      </c>
      <c r="Z305">
        <f t="shared" si="6"/>
        <v>-1.055933889356489E-2</v>
      </c>
    </row>
    <row r="306" spans="19:26" ht="15" thickBot="1" x14ac:dyDescent="0.35">
      <c r="S306" s="30" t="s">
        <v>1179</v>
      </c>
      <c r="T306" s="31">
        <v>264.13</v>
      </c>
      <c r="U306" s="31">
        <v>264.60000000000002</v>
      </c>
      <c r="V306" s="31">
        <v>257.89999999999998</v>
      </c>
      <c r="W306" s="31">
        <v>260</v>
      </c>
      <c r="X306" s="31">
        <v>260</v>
      </c>
      <c r="Y306" s="31" t="s">
        <v>1180</v>
      </c>
      <c r="Z306">
        <f t="shared" si="6"/>
        <v>5.3360142293712607E-3</v>
      </c>
    </row>
    <row r="307" spans="19:26" ht="15" thickBot="1" x14ac:dyDescent="0.35">
      <c r="S307" s="30" t="s">
        <v>1181</v>
      </c>
      <c r="T307" s="31">
        <v>267.5</v>
      </c>
      <c r="U307" s="31">
        <v>269</v>
      </c>
      <c r="V307" s="31">
        <v>262.7</v>
      </c>
      <c r="W307" s="31">
        <v>265.49</v>
      </c>
      <c r="X307" s="31">
        <v>265.49</v>
      </c>
      <c r="Y307" s="31" t="s">
        <v>1182</v>
      </c>
      <c r="Z307">
        <f t="shared" si="6"/>
        <v>2.111538461538465E-2</v>
      </c>
    </row>
    <row r="308" spans="19:26" ht="15" thickBot="1" x14ac:dyDescent="0.35">
      <c r="S308" s="30" t="s">
        <v>1183</v>
      </c>
      <c r="T308" s="31">
        <v>250</v>
      </c>
      <c r="U308" s="31">
        <v>252.88</v>
      </c>
      <c r="V308" s="31">
        <v>246.99</v>
      </c>
      <c r="W308" s="31">
        <v>251.65</v>
      </c>
      <c r="X308" s="31">
        <v>251.65</v>
      </c>
      <c r="Y308" s="31" t="s">
        <v>1184</v>
      </c>
      <c r="Z308">
        <f t="shared" si="6"/>
        <v>-5.2130023729707348E-2</v>
      </c>
    </row>
    <row r="309" spans="19:26" ht="15" thickBot="1" x14ac:dyDescent="0.35">
      <c r="S309" s="30" t="s">
        <v>1185</v>
      </c>
      <c r="T309" s="31">
        <v>246.25</v>
      </c>
      <c r="U309" s="31">
        <v>246.99</v>
      </c>
      <c r="V309" s="31">
        <v>242.15</v>
      </c>
      <c r="W309" s="31">
        <v>243.46</v>
      </c>
      <c r="X309" s="31">
        <v>243.46</v>
      </c>
      <c r="Y309" s="31" t="s">
        <v>1186</v>
      </c>
      <c r="Z309">
        <f t="shared" si="6"/>
        <v>-3.254520166898469E-2</v>
      </c>
    </row>
    <row r="310" spans="19:26" ht="15" thickBot="1" x14ac:dyDescent="0.35">
      <c r="S310" s="30" t="s">
        <v>1187</v>
      </c>
      <c r="T310" s="31">
        <v>245.31</v>
      </c>
      <c r="U310" s="31">
        <v>245.7</v>
      </c>
      <c r="V310" s="31">
        <v>241.47</v>
      </c>
      <c r="W310" s="31">
        <v>242.98</v>
      </c>
      <c r="X310" s="31">
        <v>242.98</v>
      </c>
      <c r="Y310" s="31" t="s">
        <v>1188</v>
      </c>
      <c r="Z310">
        <f t="shared" si="6"/>
        <v>-1.9715764396616205E-3</v>
      </c>
    </row>
    <row r="311" spans="19:26" ht="15" thickBot="1" x14ac:dyDescent="0.35">
      <c r="S311" s="30" t="s">
        <v>1189</v>
      </c>
      <c r="T311" s="31">
        <v>229.94</v>
      </c>
      <c r="U311" s="31">
        <v>240.49</v>
      </c>
      <c r="V311" s="31">
        <v>226.29</v>
      </c>
      <c r="W311" s="31">
        <v>235.3</v>
      </c>
      <c r="X311" s="31">
        <v>235.3</v>
      </c>
      <c r="Y311" s="31" t="s">
        <v>1190</v>
      </c>
      <c r="Z311">
        <f t="shared" si="6"/>
        <v>-3.1607539715202811E-2</v>
      </c>
    </row>
    <row r="312" spans="19:26" ht="15" thickBot="1" x14ac:dyDescent="0.35">
      <c r="S312" s="30" t="s">
        <v>1191</v>
      </c>
      <c r="T312" s="31">
        <v>228.38</v>
      </c>
      <c r="U312" s="31">
        <v>229.75</v>
      </c>
      <c r="V312" s="31">
        <v>225.14</v>
      </c>
      <c r="W312" s="31">
        <v>225.6</v>
      </c>
      <c r="X312" s="31">
        <v>225.6</v>
      </c>
      <c r="Y312" s="31" t="s">
        <v>1192</v>
      </c>
      <c r="Z312">
        <f t="shared" si="6"/>
        <v>-4.1223969400765052E-2</v>
      </c>
    </row>
    <row r="313" spans="19:26" ht="15" thickBot="1" x14ac:dyDescent="0.35">
      <c r="S313" s="30" t="s">
        <v>1193</v>
      </c>
      <c r="T313" s="31">
        <v>229.9</v>
      </c>
      <c r="U313" s="31">
        <v>230.82</v>
      </c>
      <c r="V313" s="31">
        <v>225.86</v>
      </c>
      <c r="W313" s="31">
        <v>227.37</v>
      </c>
      <c r="X313" s="31">
        <v>227.37</v>
      </c>
      <c r="Y313" s="31" t="s">
        <v>1194</v>
      </c>
      <c r="Z313">
        <f t="shared" si="6"/>
        <v>7.8457446808511098E-3</v>
      </c>
    </row>
    <row r="314" spans="19:26" ht="15" thickBot="1" x14ac:dyDescent="0.35">
      <c r="S314" s="30" t="s">
        <v>1195</v>
      </c>
      <c r="T314" s="31">
        <v>227.88</v>
      </c>
      <c r="U314" s="31">
        <v>238.6</v>
      </c>
      <c r="V314" s="31">
        <v>226.68</v>
      </c>
      <c r="W314" s="31">
        <v>236.19</v>
      </c>
      <c r="X314" s="31">
        <v>236.19</v>
      </c>
      <c r="Y314" s="31" t="s">
        <v>1196</v>
      </c>
      <c r="Z314">
        <f t="shared" si="6"/>
        <v>3.8791397281963291E-2</v>
      </c>
    </row>
    <row r="315" spans="19:26" ht="15" thickBot="1" x14ac:dyDescent="0.35">
      <c r="S315" s="30" t="s">
        <v>1197</v>
      </c>
      <c r="T315" s="31">
        <v>229.31</v>
      </c>
      <c r="U315" s="31">
        <v>229.95</v>
      </c>
      <c r="V315" s="31">
        <v>220.09</v>
      </c>
      <c r="W315" s="31">
        <v>226.9</v>
      </c>
      <c r="X315" s="31">
        <v>226.9</v>
      </c>
      <c r="Y315" s="31" t="s">
        <v>1198</v>
      </c>
      <c r="Z315">
        <f t="shared" si="6"/>
        <v>-3.9332740590202767E-2</v>
      </c>
    </row>
    <row r="316" spans="19:26" ht="15" thickBot="1" x14ac:dyDescent="0.35">
      <c r="S316" s="30" t="s">
        <v>1199</v>
      </c>
      <c r="T316" s="31">
        <v>234.95</v>
      </c>
      <c r="U316" s="31">
        <v>238.3</v>
      </c>
      <c r="V316" s="31">
        <v>225.86</v>
      </c>
      <c r="W316" s="31">
        <v>227.61</v>
      </c>
      <c r="X316" s="31">
        <v>227.61</v>
      </c>
      <c r="Y316" s="31" t="s">
        <v>1200</v>
      </c>
      <c r="Z316">
        <f t="shared" si="6"/>
        <v>3.12913177611286E-3</v>
      </c>
    </row>
    <row r="317" spans="19:26" ht="15" thickBot="1" x14ac:dyDescent="0.35">
      <c r="S317" s="30" t="s">
        <v>1201</v>
      </c>
      <c r="T317" s="31">
        <v>229.05</v>
      </c>
      <c r="U317" s="31">
        <v>240.76</v>
      </c>
      <c r="V317" s="31">
        <v>228.12</v>
      </c>
      <c r="W317" s="31">
        <v>240.4</v>
      </c>
      <c r="X317" s="31">
        <v>240.4</v>
      </c>
      <c r="Y317" s="31" t="s">
        <v>1202</v>
      </c>
      <c r="Z317">
        <f t="shared" si="6"/>
        <v>5.6192610166512856E-2</v>
      </c>
    </row>
    <row r="318" spans="19:26" ht="15" thickBot="1" x14ac:dyDescent="0.35">
      <c r="S318" s="30" t="s">
        <v>1203</v>
      </c>
      <c r="T318" s="31">
        <v>226.5</v>
      </c>
      <c r="U318" s="31">
        <v>230.38</v>
      </c>
      <c r="V318" s="31">
        <v>225.04</v>
      </c>
      <c r="W318" s="31">
        <v>227.85</v>
      </c>
      <c r="X318" s="31">
        <v>227.85</v>
      </c>
      <c r="Y318" s="31" t="s">
        <v>1204</v>
      </c>
      <c r="Z318">
        <f t="shared" si="6"/>
        <v>-5.2204658901830327E-2</v>
      </c>
    </row>
    <row r="319" spans="19:26" ht="15" thickBot="1" x14ac:dyDescent="0.35">
      <c r="S319" s="30" t="s">
        <v>1205</v>
      </c>
      <c r="T319" s="31">
        <v>237.46</v>
      </c>
      <c r="U319" s="31">
        <v>238.92</v>
      </c>
      <c r="V319" s="31">
        <v>231.03</v>
      </c>
      <c r="W319" s="31">
        <v>232.73</v>
      </c>
      <c r="X319" s="31">
        <v>232.73</v>
      </c>
      <c r="Y319" s="31" t="s">
        <v>1206</v>
      </c>
      <c r="Z319">
        <f t="shared" si="6"/>
        <v>2.1417599297783609E-2</v>
      </c>
    </row>
    <row r="320" spans="19:26" ht="15" thickBot="1" x14ac:dyDescent="0.35">
      <c r="S320" s="30" t="s">
        <v>1207</v>
      </c>
      <c r="T320" s="31">
        <v>243.35</v>
      </c>
      <c r="U320" s="31">
        <v>243.39</v>
      </c>
      <c r="V320" s="31">
        <v>234.65</v>
      </c>
      <c r="W320" s="31">
        <v>238.39</v>
      </c>
      <c r="X320" s="31">
        <v>238.39</v>
      </c>
      <c r="Y320" s="31" t="s">
        <v>1208</v>
      </c>
      <c r="Z320">
        <f t="shared" si="6"/>
        <v>2.4320027499677724E-2</v>
      </c>
    </row>
    <row r="321" spans="19:26" ht="15" thickBot="1" x14ac:dyDescent="0.35">
      <c r="S321" s="30" t="s">
        <v>1209</v>
      </c>
      <c r="T321" s="31">
        <v>231.76</v>
      </c>
      <c r="U321" s="31">
        <v>239.19</v>
      </c>
      <c r="V321" s="31">
        <v>229.6</v>
      </c>
      <c r="W321" s="31">
        <v>236.26</v>
      </c>
      <c r="X321" s="31">
        <v>236.26</v>
      </c>
      <c r="Y321" s="31" t="s">
        <v>1210</v>
      </c>
      <c r="Z321">
        <f t="shared" si="6"/>
        <v>-8.9349385460799347E-3</v>
      </c>
    </row>
    <row r="322" spans="19:26" ht="15" thickBot="1" x14ac:dyDescent="0.35">
      <c r="S322" s="30" t="s">
        <v>1211</v>
      </c>
      <c r="T322" s="31">
        <v>216.88</v>
      </c>
      <c r="U322" s="31">
        <v>224.99</v>
      </c>
      <c r="V322" s="31">
        <v>215.32</v>
      </c>
      <c r="W322" s="31">
        <v>222.36</v>
      </c>
      <c r="X322" s="31">
        <v>222.36</v>
      </c>
      <c r="Y322" s="31" t="s">
        <v>1212</v>
      </c>
      <c r="Z322">
        <f t="shared" si="6"/>
        <v>-5.8833488529585955E-2</v>
      </c>
    </row>
    <row r="323" spans="19:26" ht="15" thickBot="1" x14ac:dyDescent="0.35">
      <c r="S323" s="30" t="s">
        <v>1213</v>
      </c>
      <c r="T323" s="31">
        <v>228.24</v>
      </c>
      <c r="U323" s="31">
        <v>229.9</v>
      </c>
      <c r="V323" s="31">
        <v>211.23</v>
      </c>
      <c r="W323" s="31">
        <v>222</v>
      </c>
      <c r="X323" s="31">
        <v>222</v>
      </c>
      <c r="Y323" s="31" t="s">
        <v>1214</v>
      </c>
      <c r="Z323">
        <f t="shared" si="6"/>
        <v>-1.618996222342209E-3</v>
      </c>
    </row>
    <row r="324" spans="19:26" ht="15" thickBot="1" x14ac:dyDescent="0.35">
      <c r="S324" s="30" t="s">
        <v>1215</v>
      </c>
      <c r="T324" s="31">
        <v>255.5</v>
      </c>
      <c r="U324" s="31">
        <v>257.35000000000002</v>
      </c>
      <c r="V324" s="31">
        <v>252.53</v>
      </c>
      <c r="W324" s="31">
        <v>256.18</v>
      </c>
      <c r="X324" s="31">
        <v>256.18</v>
      </c>
      <c r="Y324" s="31" t="s">
        <v>1216</v>
      </c>
      <c r="Z324">
        <f t="shared" ref="Z324:Z387" si="7">(X324-X323)/X323</f>
        <v>0.153963963963964</v>
      </c>
    </row>
    <row r="325" spans="19:26" ht="15" thickBot="1" x14ac:dyDescent="0.35">
      <c r="S325" s="30" t="s">
        <v>1217</v>
      </c>
      <c r="T325" s="31">
        <v>257.87</v>
      </c>
      <c r="U325" s="31">
        <v>258.33999999999997</v>
      </c>
      <c r="V325" s="31">
        <v>255.41</v>
      </c>
      <c r="W325" s="31">
        <v>255.83</v>
      </c>
      <c r="X325" s="31">
        <v>255.83</v>
      </c>
      <c r="Y325" s="31" t="s">
        <v>1218</v>
      </c>
      <c r="Z325">
        <f t="shared" si="7"/>
        <v>-1.3662268717307921E-3</v>
      </c>
    </row>
    <row r="326" spans="19:26" ht="15" thickBot="1" x14ac:dyDescent="0.35">
      <c r="S326" s="30" t="s">
        <v>1219</v>
      </c>
      <c r="T326" s="31">
        <v>255.17</v>
      </c>
      <c r="U326" s="31">
        <v>260.45999999999998</v>
      </c>
      <c r="V326" s="31">
        <v>254.5</v>
      </c>
      <c r="W326" s="31">
        <v>260.43</v>
      </c>
      <c r="X326" s="31">
        <v>260.43</v>
      </c>
      <c r="Y326" s="31" t="s">
        <v>1220</v>
      </c>
      <c r="Z326">
        <f t="shared" si="7"/>
        <v>1.798069030215375E-2</v>
      </c>
    </row>
    <row r="327" spans="19:26" ht="15" thickBot="1" x14ac:dyDescent="0.35">
      <c r="S327" s="30" t="s">
        <v>1221</v>
      </c>
      <c r="T327" s="31">
        <v>263.89999999999998</v>
      </c>
      <c r="U327" s="31">
        <v>264.89999999999998</v>
      </c>
      <c r="V327" s="31">
        <v>259.2</v>
      </c>
      <c r="W327" s="31">
        <v>260</v>
      </c>
      <c r="X327" s="31">
        <v>260</v>
      </c>
      <c r="Y327" s="31" t="s">
        <v>1222</v>
      </c>
      <c r="Z327">
        <f t="shared" si="7"/>
        <v>-1.6511154628883263E-3</v>
      </c>
    </row>
    <row r="328" spans="19:26" ht="15" thickBot="1" x14ac:dyDescent="0.35">
      <c r="S328" s="30" t="s">
        <v>1223</v>
      </c>
      <c r="T328" s="31">
        <v>264.7</v>
      </c>
      <c r="U328" s="31">
        <v>264.85000000000002</v>
      </c>
      <c r="V328" s="31">
        <v>260.2</v>
      </c>
      <c r="W328" s="31">
        <v>264.43</v>
      </c>
      <c r="X328" s="31">
        <v>264.43</v>
      </c>
      <c r="Y328" s="31" t="s">
        <v>1224</v>
      </c>
      <c r="Z328">
        <f t="shared" si="7"/>
        <v>1.7038461538461565E-2</v>
      </c>
    </row>
    <row r="329" spans="19:26" ht="15" thickBot="1" x14ac:dyDescent="0.35">
      <c r="S329" s="30" t="s">
        <v>1225</v>
      </c>
      <c r="T329" s="31">
        <v>257.74</v>
      </c>
      <c r="U329" s="31">
        <v>263.18</v>
      </c>
      <c r="V329" s="31">
        <v>257.04000000000002</v>
      </c>
      <c r="W329" s="31">
        <v>261.89</v>
      </c>
      <c r="X329" s="31">
        <v>261.89</v>
      </c>
      <c r="Y329" s="31" t="s">
        <v>1226</v>
      </c>
      <c r="Z329">
        <f t="shared" si="7"/>
        <v>-9.6055666906176319E-3</v>
      </c>
    </row>
    <row r="330" spans="19:26" ht="15" thickBot="1" x14ac:dyDescent="0.35">
      <c r="S330" s="30" t="s">
        <v>1227</v>
      </c>
      <c r="T330" s="31">
        <v>255.34</v>
      </c>
      <c r="U330" s="31">
        <v>255.68</v>
      </c>
      <c r="V330" s="31">
        <v>252.3</v>
      </c>
      <c r="W330" s="31">
        <v>255.11</v>
      </c>
      <c r="X330" s="31">
        <v>255.11</v>
      </c>
      <c r="Y330" s="31" t="s">
        <v>1228</v>
      </c>
      <c r="Z330">
        <f t="shared" si="7"/>
        <v>-2.5888731910343934E-2</v>
      </c>
    </row>
    <row r="331" spans="19:26" ht="15" thickBot="1" x14ac:dyDescent="0.35">
      <c r="S331" s="30" t="s">
        <v>1229</v>
      </c>
      <c r="T331" s="31">
        <v>260.32</v>
      </c>
      <c r="U331" s="31">
        <v>260.86</v>
      </c>
      <c r="V331" s="31">
        <v>256.02999999999997</v>
      </c>
      <c r="W331" s="31">
        <v>256.02999999999997</v>
      </c>
      <c r="X331" s="31">
        <v>256.02999999999997</v>
      </c>
      <c r="Y331" s="31" t="s">
        <v>1230</v>
      </c>
      <c r="Z331">
        <f t="shared" si="7"/>
        <v>3.606287483830344E-3</v>
      </c>
    </row>
    <row r="332" spans="19:26" ht="15" thickBot="1" x14ac:dyDescent="0.35">
      <c r="S332" s="30" t="s">
        <v>1231</v>
      </c>
      <c r="T332" s="31">
        <v>264.29000000000002</v>
      </c>
      <c r="U332" s="31">
        <v>265.32</v>
      </c>
      <c r="V332" s="31">
        <v>262.5</v>
      </c>
      <c r="W332" s="31">
        <v>264.54000000000002</v>
      </c>
      <c r="X332" s="31">
        <v>264.54000000000002</v>
      </c>
      <c r="Y332" s="31" t="s">
        <v>1232</v>
      </c>
      <c r="Z332">
        <f t="shared" si="7"/>
        <v>3.3238292387611015E-2</v>
      </c>
    </row>
    <row r="333" spans="19:26" ht="15" thickBot="1" x14ac:dyDescent="0.35">
      <c r="S333" s="30" t="s">
        <v>1233</v>
      </c>
      <c r="T333" s="31">
        <v>261.99</v>
      </c>
      <c r="U333" s="31">
        <v>266.08999999999997</v>
      </c>
      <c r="V333" s="31">
        <v>261.2</v>
      </c>
      <c r="W333" s="31">
        <v>264.87</v>
      </c>
      <c r="X333" s="31">
        <v>264.87</v>
      </c>
      <c r="Y333" s="31" t="s">
        <v>1234</v>
      </c>
      <c r="Z333">
        <f t="shared" si="7"/>
        <v>1.2474484009978985E-3</v>
      </c>
    </row>
    <row r="334" spans="19:26" ht="15" thickBot="1" x14ac:dyDescent="0.35">
      <c r="S334" s="30" t="s">
        <v>1235</v>
      </c>
      <c r="T334" s="31">
        <v>267.56</v>
      </c>
      <c r="U334" s="31">
        <v>267.91000000000003</v>
      </c>
      <c r="V334" s="31">
        <v>263.10000000000002</v>
      </c>
      <c r="W334" s="31">
        <v>263.8</v>
      </c>
      <c r="X334" s="31">
        <v>263.8</v>
      </c>
      <c r="Y334" s="31" t="s">
        <v>1236</v>
      </c>
      <c r="Z334">
        <f t="shared" si="7"/>
        <v>-4.0397175973118631E-3</v>
      </c>
    </row>
    <row r="335" spans="19:26" ht="15" thickBot="1" x14ac:dyDescent="0.35">
      <c r="S335" s="30" t="s">
        <v>1237</v>
      </c>
      <c r="T335" s="31">
        <v>265.2</v>
      </c>
      <c r="U335" s="31">
        <v>268.39999999999998</v>
      </c>
      <c r="V335" s="31">
        <v>263.87</v>
      </c>
      <c r="W335" s="31">
        <v>266.08999999999997</v>
      </c>
      <c r="X335" s="31">
        <v>266.08999999999997</v>
      </c>
      <c r="Y335" s="31" t="s">
        <v>1238</v>
      </c>
      <c r="Z335">
        <f t="shared" si="7"/>
        <v>8.6808188021226824E-3</v>
      </c>
    </row>
    <row r="336" spans="19:26" ht="15" thickBot="1" x14ac:dyDescent="0.35">
      <c r="S336" s="30" t="s">
        <v>1239</v>
      </c>
      <c r="T336" s="31">
        <v>265.7</v>
      </c>
      <c r="U336" s="31">
        <v>265.97000000000003</v>
      </c>
      <c r="V336" s="31">
        <v>262.60000000000002</v>
      </c>
      <c r="W336" s="31">
        <v>264</v>
      </c>
      <c r="X336" s="31">
        <v>264</v>
      </c>
      <c r="Y336" s="31" t="s">
        <v>1240</v>
      </c>
      <c r="Z336">
        <f t="shared" si="7"/>
        <v>-7.8544853245141686E-3</v>
      </c>
    </row>
    <row r="337" spans="19:26" ht="15" thickBot="1" x14ac:dyDescent="0.35">
      <c r="S337" s="30" t="s">
        <v>1241</v>
      </c>
      <c r="T337" s="31">
        <v>271.02</v>
      </c>
      <c r="U337" s="31">
        <v>271.3</v>
      </c>
      <c r="V337" s="31">
        <v>266.27</v>
      </c>
      <c r="W337" s="31">
        <v>267.25</v>
      </c>
      <c r="X337" s="31">
        <v>267.25</v>
      </c>
      <c r="Y337" s="31" t="s">
        <v>1242</v>
      </c>
      <c r="Z337">
        <f t="shared" si="7"/>
        <v>1.231060606060606E-2</v>
      </c>
    </row>
    <row r="338" spans="19:26" ht="15" thickBot="1" x14ac:dyDescent="0.35">
      <c r="S338" s="30" t="s">
        <v>1243</v>
      </c>
      <c r="T338" s="31">
        <v>263.77999999999997</v>
      </c>
      <c r="U338" s="31">
        <v>268.60000000000002</v>
      </c>
      <c r="V338" s="31">
        <v>263.14</v>
      </c>
      <c r="W338" s="31">
        <v>266.91000000000003</v>
      </c>
      <c r="X338" s="31">
        <v>266.91000000000003</v>
      </c>
      <c r="Y338" s="31" t="s">
        <v>1244</v>
      </c>
      <c r="Z338">
        <f t="shared" si="7"/>
        <v>-1.2722170252571561E-3</v>
      </c>
    </row>
    <row r="339" spans="19:26" ht="15" thickBot="1" x14ac:dyDescent="0.35">
      <c r="S339" s="30" t="s">
        <v>1245</v>
      </c>
      <c r="T339" s="31">
        <v>262</v>
      </c>
      <c r="U339" s="31">
        <v>263.10000000000002</v>
      </c>
      <c r="V339" s="31">
        <v>260.11</v>
      </c>
      <c r="W339" s="31">
        <v>261.32</v>
      </c>
      <c r="X339" s="31">
        <v>261.32</v>
      </c>
      <c r="Y339" s="31" t="s">
        <v>1246</v>
      </c>
      <c r="Z339">
        <f t="shared" si="7"/>
        <v>-2.0943389157393997E-2</v>
      </c>
    </row>
    <row r="340" spans="19:26" ht="15" thickBot="1" x14ac:dyDescent="0.35">
      <c r="S340" s="30" t="s">
        <v>1247</v>
      </c>
      <c r="T340" s="31">
        <v>265.47000000000003</v>
      </c>
      <c r="U340" s="31">
        <v>265.67</v>
      </c>
      <c r="V340" s="31">
        <v>261.57</v>
      </c>
      <c r="W340" s="31">
        <v>264.01</v>
      </c>
      <c r="X340" s="31">
        <v>264.01</v>
      </c>
      <c r="Y340" s="31" t="s">
        <v>1248</v>
      </c>
      <c r="Z340">
        <f t="shared" si="7"/>
        <v>1.0293892545538029E-2</v>
      </c>
    </row>
    <row r="341" spans="19:26" ht="15" thickBot="1" x14ac:dyDescent="0.35">
      <c r="S341" s="30" t="s">
        <v>1249</v>
      </c>
      <c r="T341" s="31">
        <v>268.97000000000003</v>
      </c>
      <c r="U341" s="31">
        <v>268.97000000000003</v>
      </c>
      <c r="V341" s="31">
        <v>262.52</v>
      </c>
      <c r="W341" s="31">
        <v>263.36</v>
      </c>
      <c r="X341" s="31">
        <v>263.36</v>
      </c>
      <c r="Y341" s="31" t="s">
        <v>1250</v>
      </c>
      <c r="Z341">
        <f t="shared" si="7"/>
        <v>-2.4620279534865244E-3</v>
      </c>
    </row>
    <row r="342" spans="19:26" ht="15" thickBot="1" x14ac:dyDescent="0.35">
      <c r="S342" s="30" t="s">
        <v>1251</v>
      </c>
      <c r="T342" s="31">
        <v>278.8</v>
      </c>
      <c r="U342" s="31">
        <v>278.92</v>
      </c>
      <c r="V342" s="31">
        <v>275.67</v>
      </c>
      <c r="W342" s="31">
        <v>276.48</v>
      </c>
      <c r="X342" s="31">
        <v>276.48</v>
      </c>
      <c r="Y342" s="31" t="s">
        <v>1252</v>
      </c>
      <c r="Z342">
        <f t="shared" si="7"/>
        <v>4.9817739975698681E-2</v>
      </c>
    </row>
    <row r="343" spans="19:26" ht="15" thickBot="1" x14ac:dyDescent="0.35">
      <c r="S343" s="30" t="s">
        <v>1253</v>
      </c>
      <c r="T343" s="31">
        <v>275.7</v>
      </c>
      <c r="U343" s="31">
        <v>279.33</v>
      </c>
      <c r="V343" s="31">
        <v>274.05</v>
      </c>
      <c r="W343" s="31">
        <v>277.72000000000003</v>
      </c>
      <c r="X343" s="31">
        <v>277.72000000000003</v>
      </c>
      <c r="Y343" s="31" t="s">
        <v>1254</v>
      </c>
      <c r="Z343">
        <f t="shared" si="7"/>
        <v>4.4849537037037366E-3</v>
      </c>
    </row>
    <row r="344" spans="19:26" ht="15" thickBot="1" x14ac:dyDescent="0.35">
      <c r="S344" s="30" t="s">
        <v>1255</v>
      </c>
      <c r="T344" s="31">
        <v>276.23</v>
      </c>
      <c r="U344" s="31">
        <v>280.61</v>
      </c>
      <c r="V344" s="31">
        <v>272.8</v>
      </c>
      <c r="W344" s="31">
        <v>279.95999999999998</v>
      </c>
      <c r="X344" s="31">
        <v>279.95999999999998</v>
      </c>
      <c r="Y344" s="31" t="s">
        <v>1256</v>
      </c>
      <c r="Z344">
        <f t="shared" si="7"/>
        <v>8.0656776609533062E-3</v>
      </c>
    </row>
    <row r="345" spans="19:26" ht="15" thickBot="1" x14ac:dyDescent="0.35">
      <c r="S345" s="30" t="s">
        <v>1257</v>
      </c>
      <c r="T345" s="31">
        <v>274.75</v>
      </c>
      <c r="U345" s="31">
        <v>275.73</v>
      </c>
      <c r="V345" s="31">
        <v>266.41000000000003</v>
      </c>
      <c r="W345" s="31">
        <v>270.11</v>
      </c>
      <c r="X345" s="31">
        <v>270.11</v>
      </c>
      <c r="Y345" s="31" t="s">
        <v>1258</v>
      </c>
      <c r="Z345">
        <f t="shared" si="7"/>
        <v>-3.5183597656807994E-2</v>
      </c>
    </row>
    <row r="346" spans="19:26" ht="15" thickBot="1" x14ac:dyDescent="0.35">
      <c r="S346" s="30" t="s">
        <v>1259</v>
      </c>
      <c r="T346" s="31">
        <v>263.97000000000003</v>
      </c>
      <c r="U346" s="31">
        <v>272.37</v>
      </c>
      <c r="V346" s="31">
        <v>261.89999999999998</v>
      </c>
      <c r="W346" s="31">
        <v>270.74</v>
      </c>
      <c r="X346" s="31">
        <v>270.74</v>
      </c>
      <c r="Y346" s="31" t="s">
        <v>1260</v>
      </c>
      <c r="Z346">
        <f t="shared" si="7"/>
        <v>2.3323831031801688E-3</v>
      </c>
    </row>
    <row r="347" spans="19:26" ht="15" thickBot="1" x14ac:dyDescent="0.35">
      <c r="S347" s="30" t="s">
        <v>1261</v>
      </c>
      <c r="T347" s="31">
        <v>255</v>
      </c>
      <c r="U347" s="31">
        <v>261.39999999999998</v>
      </c>
      <c r="V347" s="31">
        <v>253.56</v>
      </c>
      <c r="W347" s="31">
        <v>259.89</v>
      </c>
      <c r="X347" s="31">
        <v>259.89</v>
      </c>
      <c r="Y347" s="31" t="s">
        <v>1262</v>
      </c>
      <c r="Z347">
        <f t="shared" si="7"/>
        <v>-4.0075349043362719E-2</v>
      </c>
    </row>
    <row r="348" spans="19:26" ht="15" thickBot="1" x14ac:dyDescent="0.35">
      <c r="S348" s="30" t="s">
        <v>1263</v>
      </c>
      <c r="T348" s="31">
        <v>257.76</v>
      </c>
      <c r="U348" s="31">
        <v>258.31</v>
      </c>
      <c r="V348" s="31">
        <v>252.55</v>
      </c>
      <c r="W348" s="31">
        <v>255.83</v>
      </c>
      <c r="X348" s="31">
        <v>255.83</v>
      </c>
      <c r="Y348" s="31" t="s">
        <v>1264</v>
      </c>
      <c r="Z348">
        <f t="shared" si="7"/>
        <v>-1.5621993920504729E-2</v>
      </c>
    </row>
    <row r="349" spans="19:26" ht="15" thickBot="1" x14ac:dyDescent="0.35">
      <c r="S349" s="30" t="s">
        <v>1265</v>
      </c>
      <c r="T349" s="31">
        <v>260.27999999999997</v>
      </c>
      <c r="U349" s="31">
        <v>260.27999999999997</v>
      </c>
      <c r="V349" s="31">
        <v>256.54000000000002</v>
      </c>
      <c r="W349" s="31">
        <v>256.8</v>
      </c>
      <c r="X349" s="31">
        <v>256.8</v>
      </c>
      <c r="Y349" s="31" t="s">
        <v>1266</v>
      </c>
      <c r="Z349">
        <f t="shared" si="7"/>
        <v>3.7915803463237259E-3</v>
      </c>
    </row>
    <row r="350" spans="19:26" ht="15" thickBot="1" x14ac:dyDescent="0.35">
      <c r="S350" s="30" t="s">
        <v>1267</v>
      </c>
      <c r="T350" s="31">
        <v>260.42</v>
      </c>
      <c r="U350" s="31">
        <v>262.57</v>
      </c>
      <c r="V350" s="31">
        <v>257.02999999999997</v>
      </c>
      <c r="W350" s="31">
        <v>258.31</v>
      </c>
      <c r="X350" s="31">
        <v>258.31</v>
      </c>
      <c r="Y350" s="31" t="s">
        <v>1268</v>
      </c>
      <c r="Z350">
        <f t="shared" si="7"/>
        <v>5.8800623052959146E-3</v>
      </c>
    </row>
    <row r="351" spans="19:26" ht="15" thickBot="1" x14ac:dyDescent="0.35">
      <c r="S351" s="30" t="s">
        <v>1269</v>
      </c>
      <c r="T351" s="31">
        <v>264.72000000000003</v>
      </c>
      <c r="U351" s="31">
        <v>265.44</v>
      </c>
      <c r="V351" s="31">
        <v>257.17</v>
      </c>
      <c r="W351" s="31">
        <v>260.83999999999997</v>
      </c>
      <c r="X351" s="31">
        <v>260.83999999999997</v>
      </c>
      <c r="Y351" s="31" t="s">
        <v>1270</v>
      </c>
      <c r="Z351">
        <f t="shared" si="7"/>
        <v>9.7944330455652998E-3</v>
      </c>
    </row>
    <row r="352" spans="19:26" ht="15" thickBot="1" x14ac:dyDescent="0.35">
      <c r="S352" s="30" t="s">
        <v>1271</v>
      </c>
      <c r="T352" s="31">
        <v>271.04000000000002</v>
      </c>
      <c r="U352" s="31">
        <v>271.2</v>
      </c>
      <c r="V352" s="31">
        <v>263.04000000000002</v>
      </c>
      <c r="W352" s="31">
        <v>264.31</v>
      </c>
      <c r="X352" s="31">
        <v>264.31</v>
      </c>
      <c r="Y352" s="31" t="s">
        <v>1272</v>
      </c>
      <c r="Z352">
        <f t="shared" si="7"/>
        <v>1.3303174359760878E-2</v>
      </c>
    </row>
    <row r="353" spans="19:26" ht="15" thickBot="1" x14ac:dyDescent="0.35">
      <c r="S353" s="30" t="s">
        <v>1273</v>
      </c>
      <c r="T353" s="31">
        <v>261.92</v>
      </c>
      <c r="U353" s="31">
        <v>271.92</v>
      </c>
      <c r="V353" s="31">
        <v>261.2</v>
      </c>
      <c r="W353" s="31">
        <v>265.64999999999998</v>
      </c>
      <c r="X353" s="31">
        <v>265.64999999999998</v>
      </c>
      <c r="Y353" s="31" t="s">
        <v>1274</v>
      </c>
      <c r="Z353">
        <f t="shared" si="7"/>
        <v>5.0698043963526727E-3</v>
      </c>
    </row>
    <row r="354" spans="19:26" ht="15" thickBot="1" x14ac:dyDescent="0.35">
      <c r="S354" s="30" t="s">
        <v>1275</v>
      </c>
      <c r="T354" s="31">
        <v>279.97000000000003</v>
      </c>
      <c r="U354" s="31">
        <v>280</v>
      </c>
      <c r="V354" s="31">
        <v>264.33</v>
      </c>
      <c r="W354" s="31">
        <v>266.54000000000002</v>
      </c>
      <c r="X354" s="31">
        <v>266.54000000000002</v>
      </c>
      <c r="Y354" s="31" t="s">
        <v>1276</v>
      </c>
      <c r="Z354">
        <f t="shared" si="7"/>
        <v>3.3502729154904695E-3</v>
      </c>
    </row>
    <row r="355" spans="19:26" ht="15" thickBot="1" x14ac:dyDescent="0.35">
      <c r="S355" s="30" t="s">
        <v>1277</v>
      </c>
      <c r="T355" s="31">
        <v>303.77</v>
      </c>
      <c r="U355" s="31">
        <v>304</v>
      </c>
      <c r="V355" s="31">
        <v>290.5</v>
      </c>
      <c r="W355" s="31">
        <v>290.52999999999997</v>
      </c>
      <c r="X355" s="31">
        <v>290.52999999999997</v>
      </c>
      <c r="Y355" s="31" t="s">
        <v>1278</v>
      </c>
      <c r="Z355">
        <f t="shared" si="7"/>
        <v>9.0005252494934906E-2</v>
      </c>
    </row>
    <row r="356" spans="19:26" ht="15" thickBot="1" x14ac:dyDescent="0.35">
      <c r="S356" s="30" t="s">
        <v>1279</v>
      </c>
      <c r="T356" s="31">
        <v>291.49</v>
      </c>
      <c r="U356" s="31">
        <v>300.89</v>
      </c>
      <c r="V356" s="31">
        <v>289.79000000000002</v>
      </c>
      <c r="W356" s="31">
        <v>299.95</v>
      </c>
      <c r="X356" s="31">
        <v>299.95</v>
      </c>
      <c r="Y356" s="31" t="s">
        <v>1280</v>
      </c>
      <c r="Z356">
        <f t="shared" si="7"/>
        <v>3.2423501875882069E-2</v>
      </c>
    </row>
    <row r="357" spans="19:26" ht="15" thickBot="1" x14ac:dyDescent="0.35">
      <c r="S357" s="30" t="s">
        <v>1281</v>
      </c>
      <c r="T357" s="31">
        <v>289.08999999999997</v>
      </c>
      <c r="U357" s="31">
        <v>291.25</v>
      </c>
      <c r="V357" s="31">
        <v>279.60000000000002</v>
      </c>
      <c r="W357" s="31">
        <v>287.75</v>
      </c>
      <c r="X357" s="31">
        <v>287.75</v>
      </c>
      <c r="Y357" s="31" t="s">
        <v>1282</v>
      </c>
      <c r="Z357">
        <f t="shared" si="7"/>
        <v>-4.0673445574262342E-2</v>
      </c>
    </row>
    <row r="358" spans="19:26" ht="15" thickBot="1" x14ac:dyDescent="0.35">
      <c r="S358" s="30" t="s">
        <v>1283</v>
      </c>
      <c r="T358" s="31">
        <v>287.79000000000002</v>
      </c>
      <c r="U358" s="31">
        <v>299.17</v>
      </c>
      <c r="V358" s="31">
        <v>285.3</v>
      </c>
      <c r="W358" s="31">
        <v>295.70999999999998</v>
      </c>
      <c r="X358" s="31">
        <v>295.70999999999998</v>
      </c>
      <c r="Y358" s="31" t="s">
        <v>1284</v>
      </c>
      <c r="Z358">
        <f t="shared" si="7"/>
        <v>2.7662901824500364E-2</v>
      </c>
    </row>
    <row r="359" spans="19:26" ht="15" thickBot="1" x14ac:dyDescent="0.35">
      <c r="S359" s="30" t="s">
        <v>1285</v>
      </c>
      <c r="T359" s="31">
        <v>286.2</v>
      </c>
      <c r="U359" s="31">
        <v>294.27999999999997</v>
      </c>
      <c r="V359" s="31">
        <v>280.77999999999997</v>
      </c>
      <c r="W359" s="31">
        <v>285.57</v>
      </c>
      <c r="X359" s="31">
        <v>285.57</v>
      </c>
      <c r="Y359" s="31" t="s">
        <v>1286</v>
      </c>
      <c r="Z359">
        <f t="shared" si="7"/>
        <v>-3.429035203408741E-2</v>
      </c>
    </row>
    <row r="360" spans="19:26" ht="15" thickBot="1" x14ac:dyDescent="0.35">
      <c r="S360" s="30" t="s">
        <v>1287</v>
      </c>
      <c r="T360" s="31">
        <v>310.95</v>
      </c>
      <c r="U360" s="31">
        <v>311.44</v>
      </c>
      <c r="V360" s="31">
        <v>305.39</v>
      </c>
      <c r="W360" s="31">
        <v>310.83999999999997</v>
      </c>
      <c r="X360" s="31">
        <v>310.83999999999997</v>
      </c>
      <c r="Y360" s="31" t="s">
        <v>1288</v>
      </c>
      <c r="Z360">
        <f t="shared" si="7"/>
        <v>8.8489687292082439E-2</v>
      </c>
    </row>
    <row r="361" spans="19:26" ht="15" thickBot="1" x14ac:dyDescent="0.35">
      <c r="S361" s="30" t="s">
        <v>1289</v>
      </c>
      <c r="T361" s="31">
        <v>308.55</v>
      </c>
      <c r="U361" s="31">
        <v>310.83</v>
      </c>
      <c r="V361" s="31">
        <v>300.19</v>
      </c>
      <c r="W361" s="31">
        <v>304.69</v>
      </c>
      <c r="X361" s="31">
        <v>304.69</v>
      </c>
      <c r="Y361" s="31" t="s">
        <v>1290</v>
      </c>
      <c r="Z361">
        <f t="shared" si="7"/>
        <v>-1.9785098442928768E-2</v>
      </c>
    </row>
    <row r="362" spans="19:26" ht="15" thickBot="1" x14ac:dyDescent="0.35">
      <c r="S362" s="30" t="s">
        <v>1291</v>
      </c>
      <c r="T362" s="31">
        <v>309.44</v>
      </c>
      <c r="U362" s="31">
        <v>315.58</v>
      </c>
      <c r="V362" s="31">
        <v>308.91000000000003</v>
      </c>
      <c r="W362" s="31">
        <v>312.56</v>
      </c>
      <c r="X362" s="31">
        <v>312.56</v>
      </c>
      <c r="Y362" s="31" t="s">
        <v>1292</v>
      </c>
      <c r="Z362">
        <f t="shared" si="7"/>
        <v>2.5829531655124895E-2</v>
      </c>
    </row>
    <row r="363" spans="19:26" ht="15" thickBot="1" x14ac:dyDescent="0.35">
      <c r="S363" s="30" t="s">
        <v>1293</v>
      </c>
      <c r="T363" s="31">
        <v>313.5</v>
      </c>
      <c r="U363" s="31">
        <v>313.5</v>
      </c>
      <c r="V363" s="31">
        <v>306</v>
      </c>
      <c r="W363" s="31">
        <v>307.94</v>
      </c>
      <c r="X363" s="31">
        <v>307.94</v>
      </c>
      <c r="Y363" s="31" t="s">
        <v>1294</v>
      </c>
      <c r="Z363">
        <f t="shared" si="7"/>
        <v>-1.4781162016892771E-2</v>
      </c>
    </row>
    <row r="364" spans="19:26" ht="15" thickBot="1" x14ac:dyDescent="0.35">
      <c r="S364" s="30" t="s">
        <v>1295</v>
      </c>
      <c r="T364" s="31">
        <v>307.75</v>
      </c>
      <c r="U364" s="31">
        <v>319.32</v>
      </c>
      <c r="V364" s="31">
        <v>305.61</v>
      </c>
      <c r="W364" s="31">
        <v>317.14</v>
      </c>
      <c r="X364" s="31">
        <v>317.14</v>
      </c>
      <c r="Y364" s="31" t="s">
        <v>1296</v>
      </c>
      <c r="Z364">
        <f t="shared" si="7"/>
        <v>2.987594986036237E-2</v>
      </c>
    </row>
    <row r="365" spans="19:26" ht="15" thickBot="1" x14ac:dyDescent="0.35">
      <c r="S365" s="30" t="s">
        <v>1297</v>
      </c>
      <c r="T365" s="31">
        <v>309.92</v>
      </c>
      <c r="U365" s="31">
        <v>315.45999999999998</v>
      </c>
      <c r="V365" s="31">
        <v>303.2</v>
      </c>
      <c r="W365" s="31">
        <v>306.87</v>
      </c>
      <c r="X365" s="31">
        <v>306.87</v>
      </c>
      <c r="Y365" s="31" t="s">
        <v>1298</v>
      </c>
      <c r="Z365">
        <f t="shared" si="7"/>
        <v>-3.2383174623194746E-2</v>
      </c>
    </row>
    <row r="366" spans="19:26" ht="15" thickBot="1" x14ac:dyDescent="0.35">
      <c r="S366" s="30" t="s">
        <v>1299</v>
      </c>
      <c r="T366" s="31">
        <v>307.27</v>
      </c>
      <c r="U366" s="31">
        <v>310.33</v>
      </c>
      <c r="V366" s="31">
        <v>304.06</v>
      </c>
      <c r="W366" s="31">
        <v>309.92</v>
      </c>
      <c r="X366" s="31">
        <v>309.92</v>
      </c>
      <c r="Y366" s="31" t="s">
        <v>1300</v>
      </c>
      <c r="Z366">
        <f t="shared" si="7"/>
        <v>9.9390621435787516E-3</v>
      </c>
    </row>
    <row r="367" spans="19:26" ht="15" thickBot="1" x14ac:dyDescent="0.35">
      <c r="S367" s="30" t="s">
        <v>1301</v>
      </c>
      <c r="T367" s="31">
        <v>311.45999999999998</v>
      </c>
      <c r="U367" s="31">
        <v>311.85000000000002</v>
      </c>
      <c r="V367" s="31">
        <v>304.20999999999998</v>
      </c>
      <c r="W367" s="31">
        <v>306.27999999999997</v>
      </c>
      <c r="X367" s="31">
        <v>306.27999999999997</v>
      </c>
      <c r="Y367" s="31" t="s">
        <v>1302</v>
      </c>
      <c r="Z367">
        <f t="shared" si="7"/>
        <v>-1.1744966442953159E-2</v>
      </c>
    </row>
    <row r="368" spans="19:26" ht="15" thickBot="1" x14ac:dyDescent="0.35">
      <c r="S368" s="30" t="s">
        <v>1303</v>
      </c>
      <c r="T368" s="31">
        <v>311.75</v>
      </c>
      <c r="U368" s="31">
        <v>314</v>
      </c>
      <c r="V368" s="31">
        <v>307.7</v>
      </c>
      <c r="W368" s="31">
        <v>307.97000000000003</v>
      </c>
      <c r="X368" s="31">
        <v>307.97000000000003</v>
      </c>
      <c r="Y368" s="31" t="s">
        <v>1304</v>
      </c>
      <c r="Z368">
        <f t="shared" si="7"/>
        <v>5.5178268251275132E-3</v>
      </c>
    </row>
    <row r="369" spans="19:26" ht="15" thickBot="1" x14ac:dyDescent="0.35">
      <c r="S369" s="30" t="s">
        <v>1305</v>
      </c>
      <c r="T369" s="31">
        <v>307.60000000000002</v>
      </c>
      <c r="U369" s="31">
        <v>311.8</v>
      </c>
      <c r="V369" s="31">
        <v>307.06</v>
      </c>
      <c r="W369" s="31">
        <v>309.81</v>
      </c>
      <c r="X369" s="31">
        <v>309.81</v>
      </c>
      <c r="Y369" s="31" t="s">
        <v>1306</v>
      </c>
      <c r="Z369">
        <f t="shared" si="7"/>
        <v>5.9746079163554072E-3</v>
      </c>
    </row>
    <row r="370" spans="19:26" ht="15" thickBot="1" x14ac:dyDescent="0.35">
      <c r="S370" s="30" t="s">
        <v>1307</v>
      </c>
      <c r="T370" s="31">
        <v>309.89</v>
      </c>
      <c r="U370" s="31">
        <v>313.81</v>
      </c>
      <c r="V370" s="31">
        <v>303.41000000000003</v>
      </c>
      <c r="W370" s="31">
        <v>305.29000000000002</v>
      </c>
      <c r="X370" s="31">
        <v>305.29000000000002</v>
      </c>
      <c r="Y370" s="31" t="s">
        <v>1308</v>
      </c>
      <c r="Z370">
        <f t="shared" si="7"/>
        <v>-1.4589587166327691E-2</v>
      </c>
    </row>
    <row r="371" spans="19:26" ht="15" thickBot="1" x14ac:dyDescent="0.35">
      <c r="S371" s="30" t="s">
        <v>1309</v>
      </c>
      <c r="T371" s="31">
        <v>303.99</v>
      </c>
      <c r="U371" s="31">
        <v>310</v>
      </c>
      <c r="V371" s="31">
        <v>302.95</v>
      </c>
      <c r="W371" s="31">
        <v>307.31</v>
      </c>
      <c r="X371" s="31">
        <v>307.31</v>
      </c>
      <c r="Y371" s="31" t="s">
        <v>1310</v>
      </c>
      <c r="Z371">
        <f t="shared" si="7"/>
        <v>6.6166595695895105E-3</v>
      </c>
    </row>
    <row r="372" spans="19:26" ht="15" thickBot="1" x14ac:dyDescent="0.35">
      <c r="S372" s="30" t="s">
        <v>1311</v>
      </c>
      <c r="T372" s="31">
        <v>293.8</v>
      </c>
      <c r="U372" s="31">
        <v>299.86</v>
      </c>
      <c r="V372" s="31">
        <v>292.61</v>
      </c>
      <c r="W372" s="31">
        <v>299.45999999999998</v>
      </c>
      <c r="X372" s="31">
        <v>299.45999999999998</v>
      </c>
      <c r="Y372" s="31" t="s">
        <v>1312</v>
      </c>
      <c r="Z372">
        <f t="shared" si="7"/>
        <v>-2.5544238716605456E-2</v>
      </c>
    </row>
    <row r="373" spans="19:26" ht="15" thickBot="1" x14ac:dyDescent="0.35">
      <c r="S373" s="30" t="s">
        <v>1313</v>
      </c>
      <c r="T373" s="31">
        <v>309</v>
      </c>
      <c r="U373" s="31">
        <v>309.95999999999998</v>
      </c>
      <c r="V373" s="31">
        <v>300.8</v>
      </c>
      <c r="W373" s="31">
        <v>301.04000000000002</v>
      </c>
      <c r="X373" s="31">
        <v>301.04000000000002</v>
      </c>
      <c r="Y373" s="31" t="s">
        <v>1314</v>
      </c>
      <c r="Z373">
        <f t="shared" si="7"/>
        <v>5.276163761437391E-3</v>
      </c>
    </row>
    <row r="374" spans="19:26" ht="15" thickBot="1" x14ac:dyDescent="0.35">
      <c r="S374" s="30" t="s">
        <v>1315</v>
      </c>
      <c r="T374" s="31">
        <v>306.36</v>
      </c>
      <c r="U374" s="31">
        <v>310.01</v>
      </c>
      <c r="V374" s="31">
        <v>303.02999999999997</v>
      </c>
      <c r="W374" s="31">
        <v>308.77999999999997</v>
      </c>
      <c r="X374" s="31">
        <v>308.77999999999997</v>
      </c>
      <c r="Y374" s="31" t="s">
        <v>1316</v>
      </c>
      <c r="Z374">
        <f t="shared" si="7"/>
        <v>2.5710868987509804E-2</v>
      </c>
    </row>
    <row r="375" spans="19:26" ht="15" thickBot="1" x14ac:dyDescent="0.35">
      <c r="S375" s="30" t="s">
        <v>1317</v>
      </c>
      <c r="T375" s="31">
        <v>303.95</v>
      </c>
      <c r="U375" s="31">
        <v>309.64</v>
      </c>
      <c r="V375" s="31">
        <v>301.29000000000002</v>
      </c>
      <c r="W375" s="31">
        <v>306.33999999999997</v>
      </c>
      <c r="X375" s="31">
        <v>306.33999999999997</v>
      </c>
      <c r="Y375" s="31" t="s">
        <v>1318</v>
      </c>
      <c r="Z375">
        <f t="shared" si="7"/>
        <v>-7.9020661959971431E-3</v>
      </c>
    </row>
    <row r="376" spans="19:26" ht="15" thickBot="1" x14ac:dyDescent="0.35">
      <c r="S376" s="30" t="s">
        <v>1319</v>
      </c>
      <c r="T376" s="31">
        <v>298.55</v>
      </c>
      <c r="U376" s="31">
        <v>302.61</v>
      </c>
      <c r="V376" s="31">
        <v>297.74</v>
      </c>
      <c r="W376" s="31">
        <v>299.74</v>
      </c>
      <c r="X376" s="31">
        <v>299.74</v>
      </c>
      <c r="Y376" s="31" t="s">
        <v>1320</v>
      </c>
      <c r="Z376">
        <f t="shared" si="7"/>
        <v>-2.1544688907749451E-2</v>
      </c>
    </row>
    <row r="377" spans="19:26" ht="15" thickBot="1" x14ac:dyDescent="0.35">
      <c r="S377" s="30" t="s">
        <v>1321</v>
      </c>
      <c r="T377" s="31">
        <v>298.11</v>
      </c>
      <c r="U377" s="31">
        <v>302.3</v>
      </c>
      <c r="V377" s="31">
        <v>295.44</v>
      </c>
      <c r="W377" s="31">
        <v>300.54000000000002</v>
      </c>
      <c r="X377" s="31">
        <v>300.54000000000002</v>
      </c>
      <c r="Y377" s="31" t="s">
        <v>1322</v>
      </c>
      <c r="Z377">
        <f t="shared" si="7"/>
        <v>2.6689797824781857E-3</v>
      </c>
    </row>
    <row r="378" spans="19:26" ht="15" thickBot="1" x14ac:dyDescent="0.35">
      <c r="S378" s="30" t="s">
        <v>1323</v>
      </c>
      <c r="T378" s="31">
        <v>297.99</v>
      </c>
      <c r="U378" s="31">
        <v>299.51</v>
      </c>
      <c r="V378" s="31">
        <v>292.87</v>
      </c>
      <c r="W378" s="31">
        <v>296.5</v>
      </c>
      <c r="X378" s="31">
        <v>296.5</v>
      </c>
      <c r="Y378" s="31" t="s">
        <v>1324</v>
      </c>
      <c r="Z378">
        <f t="shared" si="7"/>
        <v>-1.3442470220270248E-2</v>
      </c>
    </row>
    <row r="379" spans="19:26" ht="15" thickBot="1" x14ac:dyDescent="0.35">
      <c r="S379" s="30" t="s">
        <v>1325</v>
      </c>
      <c r="T379" s="31">
        <v>287.41000000000003</v>
      </c>
      <c r="U379" s="31">
        <v>296.83999999999997</v>
      </c>
      <c r="V379" s="31">
        <v>286.91000000000003</v>
      </c>
      <c r="W379" s="31">
        <v>292.39</v>
      </c>
      <c r="X379" s="31">
        <v>292.39</v>
      </c>
      <c r="Y379" s="31" t="s">
        <v>1326</v>
      </c>
      <c r="Z379">
        <f t="shared" si="7"/>
        <v>-1.3861720067453672E-2</v>
      </c>
    </row>
    <row r="380" spans="19:26" ht="15" thickBot="1" x14ac:dyDescent="0.35">
      <c r="S380" s="30" t="s">
        <v>1327</v>
      </c>
      <c r="T380" s="31">
        <v>289.06</v>
      </c>
      <c r="U380" s="31">
        <v>290</v>
      </c>
      <c r="V380" s="31">
        <v>284.88</v>
      </c>
      <c r="W380" s="31">
        <v>288.27</v>
      </c>
      <c r="X380" s="31">
        <v>288.27</v>
      </c>
      <c r="Y380" s="31" t="s">
        <v>1328</v>
      </c>
      <c r="Z380">
        <f t="shared" si="7"/>
        <v>-1.4090769178152484E-2</v>
      </c>
    </row>
    <row r="381" spans="19:26" ht="15" thickBot="1" x14ac:dyDescent="0.35">
      <c r="S381" s="30" t="s">
        <v>1329</v>
      </c>
      <c r="T381" s="31">
        <v>286.62</v>
      </c>
      <c r="U381" s="31">
        <v>291.98</v>
      </c>
      <c r="V381" s="31">
        <v>286.51</v>
      </c>
      <c r="W381" s="31">
        <v>288.17</v>
      </c>
      <c r="X381" s="31">
        <v>288.17</v>
      </c>
      <c r="Y381" s="31" t="s">
        <v>1330</v>
      </c>
      <c r="Z381">
        <f t="shared" si="7"/>
        <v>-3.4689700627871755E-4</v>
      </c>
    </row>
    <row r="382" spans="19:26" ht="15" thickBot="1" x14ac:dyDescent="0.35">
      <c r="S382" s="30" t="s">
        <v>1331</v>
      </c>
      <c r="T382" s="31">
        <v>295.26</v>
      </c>
      <c r="U382" s="31">
        <v>295.58999999999997</v>
      </c>
      <c r="V382" s="31">
        <v>288.25</v>
      </c>
      <c r="W382" s="31">
        <v>290.05</v>
      </c>
      <c r="X382" s="31">
        <v>290.05</v>
      </c>
      <c r="Y382" s="31" t="s">
        <v>1332</v>
      </c>
      <c r="Z382">
        <f t="shared" si="7"/>
        <v>6.5239268487351058E-3</v>
      </c>
    </row>
    <row r="383" spans="19:26" ht="15" thickBot="1" x14ac:dyDescent="0.35">
      <c r="S383" s="30" t="s">
        <v>1333</v>
      </c>
      <c r="T383" s="31">
        <v>284.01</v>
      </c>
      <c r="U383" s="31">
        <v>295</v>
      </c>
      <c r="V383" s="31">
        <v>283.70999999999998</v>
      </c>
      <c r="W383" s="31">
        <v>293.98</v>
      </c>
      <c r="X383" s="31">
        <v>293.98</v>
      </c>
      <c r="Y383" s="31" t="s">
        <v>1334</v>
      </c>
      <c r="Z383">
        <f t="shared" si="7"/>
        <v>1.3549388036545446E-2</v>
      </c>
    </row>
    <row r="384" spans="19:26" ht="15" thickBot="1" x14ac:dyDescent="0.35">
      <c r="S384" s="30" t="s">
        <v>1335</v>
      </c>
      <c r="T384" s="31">
        <v>275.43</v>
      </c>
      <c r="U384" s="31">
        <v>279.3</v>
      </c>
      <c r="V384" s="31">
        <v>274.89999999999998</v>
      </c>
      <c r="W384" s="31">
        <v>276.93</v>
      </c>
      <c r="X384" s="31">
        <v>276.93</v>
      </c>
      <c r="Y384" s="31" t="s">
        <v>1336</v>
      </c>
      <c r="Z384">
        <f t="shared" si="7"/>
        <v>-5.7997142662766211E-2</v>
      </c>
    </row>
    <row r="385" spans="19:26" ht="15" thickBot="1" x14ac:dyDescent="0.35">
      <c r="S385" s="30" t="s">
        <v>1337</v>
      </c>
      <c r="T385" s="31">
        <v>275.52999999999997</v>
      </c>
      <c r="U385" s="31">
        <v>278.83999999999997</v>
      </c>
      <c r="V385" s="31">
        <v>274.2</v>
      </c>
      <c r="W385" s="31">
        <v>276.01</v>
      </c>
      <c r="X385" s="31">
        <v>276.01</v>
      </c>
      <c r="Y385" s="31" t="s">
        <v>1338</v>
      </c>
      <c r="Z385">
        <f t="shared" si="7"/>
        <v>-3.3221391687430612E-3</v>
      </c>
    </row>
    <row r="386" spans="19:26" ht="15" thickBot="1" x14ac:dyDescent="0.35">
      <c r="S386" s="30" t="s">
        <v>1339</v>
      </c>
      <c r="T386" s="31">
        <v>267.57</v>
      </c>
      <c r="U386" s="31">
        <v>271.81</v>
      </c>
      <c r="V386" s="31">
        <v>264.56</v>
      </c>
      <c r="W386" s="31">
        <v>271.08999999999997</v>
      </c>
      <c r="X386" s="31">
        <v>271.08999999999997</v>
      </c>
      <c r="Y386" s="31" t="s">
        <v>1340</v>
      </c>
      <c r="Z386">
        <f t="shared" si="7"/>
        <v>-1.7825441107206318E-2</v>
      </c>
    </row>
    <row r="387" spans="19:26" ht="15" thickBot="1" x14ac:dyDescent="0.35">
      <c r="S387" s="30" t="s">
        <v>1341</v>
      </c>
      <c r="T387" s="31">
        <v>267.93</v>
      </c>
      <c r="U387" s="31">
        <v>271.25</v>
      </c>
      <c r="V387" s="31">
        <v>267.33</v>
      </c>
      <c r="W387" s="31">
        <v>269.73</v>
      </c>
      <c r="X387" s="31">
        <v>269.73</v>
      </c>
      <c r="Y387" s="31" t="s">
        <v>1342</v>
      </c>
      <c r="Z387">
        <f t="shared" si="7"/>
        <v>-5.0167840938432143E-3</v>
      </c>
    </row>
    <row r="388" spans="19:26" ht="15" thickBot="1" x14ac:dyDescent="0.35">
      <c r="S388" s="30" t="s">
        <v>1343</v>
      </c>
      <c r="T388" s="31">
        <v>275.39999999999998</v>
      </c>
      <c r="U388" s="31">
        <v>277.83</v>
      </c>
      <c r="V388" s="31">
        <v>271.5</v>
      </c>
      <c r="W388" s="31">
        <v>272.95</v>
      </c>
      <c r="X388" s="31">
        <v>272.95</v>
      </c>
      <c r="Y388" s="31" t="s">
        <v>1344</v>
      </c>
      <c r="Z388">
        <f t="shared" ref="Z388:Z451" si="8">(X388-X387)/X387</f>
        <v>1.1937863789715531E-2</v>
      </c>
    </row>
    <row r="389" spans="19:26" ht="15" thickBot="1" x14ac:dyDescent="0.35">
      <c r="S389" s="30" t="s">
        <v>1345</v>
      </c>
      <c r="T389" s="31">
        <v>276.02</v>
      </c>
      <c r="U389" s="31">
        <v>276.32</v>
      </c>
      <c r="V389" s="31">
        <v>270.05</v>
      </c>
      <c r="W389" s="31">
        <v>275.29000000000002</v>
      </c>
      <c r="X389" s="31">
        <v>275.29000000000002</v>
      </c>
      <c r="Y389" s="31" t="s">
        <v>1346</v>
      </c>
      <c r="Z389">
        <f t="shared" si="8"/>
        <v>8.5729987177139838E-3</v>
      </c>
    </row>
    <row r="390" spans="19:26" ht="15" thickBot="1" x14ac:dyDescent="0.35">
      <c r="S390" s="30" t="s">
        <v>1347</v>
      </c>
      <c r="T390" s="31">
        <v>269.10000000000002</v>
      </c>
      <c r="U390" s="31">
        <v>274.22000000000003</v>
      </c>
      <c r="V390" s="31">
        <v>266.39999999999998</v>
      </c>
      <c r="W390" s="31">
        <v>273.82</v>
      </c>
      <c r="X390" s="31">
        <v>273.82</v>
      </c>
      <c r="Y390" s="31" t="s">
        <v>1348</v>
      </c>
      <c r="Z390">
        <f t="shared" si="8"/>
        <v>-5.3398234588979878E-3</v>
      </c>
    </row>
    <row r="391" spans="19:26" ht="15" thickBot="1" x14ac:dyDescent="0.35">
      <c r="S391" s="30" t="s">
        <v>1349</v>
      </c>
      <c r="T391" s="31">
        <v>275.98</v>
      </c>
      <c r="U391" s="31">
        <v>277.27</v>
      </c>
      <c r="V391" s="31">
        <v>270.55</v>
      </c>
      <c r="W391" s="31">
        <v>272.41000000000003</v>
      </c>
      <c r="X391" s="31">
        <v>272.41000000000003</v>
      </c>
      <c r="Y391" s="31" t="s">
        <v>1350</v>
      </c>
      <c r="Z391">
        <f t="shared" si="8"/>
        <v>-5.1493681980862181E-3</v>
      </c>
    </row>
    <row r="392" spans="19:26" ht="15" thickBot="1" x14ac:dyDescent="0.35">
      <c r="S392" s="30" t="s">
        <v>1351</v>
      </c>
      <c r="T392" s="31">
        <v>273.11</v>
      </c>
      <c r="U392" s="31">
        <v>275.89999999999998</v>
      </c>
      <c r="V392" s="31">
        <v>272.32</v>
      </c>
      <c r="W392" s="31">
        <v>275.72000000000003</v>
      </c>
      <c r="X392" s="31">
        <v>275.72000000000003</v>
      </c>
      <c r="Y392" s="31" t="s">
        <v>1352</v>
      </c>
      <c r="Z392">
        <f t="shared" si="8"/>
        <v>1.215080209977608E-2</v>
      </c>
    </row>
    <row r="393" spans="19:26" ht="15" thickBot="1" x14ac:dyDescent="0.35">
      <c r="S393" s="30" t="s">
        <v>1353</v>
      </c>
      <c r="T393" s="31">
        <v>281.02999999999997</v>
      </c>
      <c r="U393" s="31">
        <v>283.61</v>
      </c>
      <c r="V393" s="31">
        <v>278</v>
      </c>
      <c r="W393" s="31">
        <v>278.14</v>
      </c>
      <c r="X393" s="31">
        <v>278.14</v>
      </c>
      <c r="Y393" s="31" t="s">
        <v>1354</v>
      </c>
      <c r="Z393">
        <f t="shared" si="8"/>
        <v>8.7770201653850233E-3</v>
      </c>
    </row>
    <row r="394" spans="19:26" ht="15" thickBot="1" x14ac:dyDescent="0.35">
      <c r="S394" s="30" t="s">
        <v>1355</v>
      </c>
      <c r="T394" s="31">
        <v>278</v>
      </c>
      <c r="U394" s="31">
        <v>279.10000000000002</v>
      </c>
      <c r="V394" s="31">
        <v>274.8</v>
      </c>
      <c r="W394" s="31">
        <v>277.95999999999998</v>
      </c>
      <c r="X394" s="31">
        <v>277.95999999999998</v>
      </c>
      <c r="Y394" s="31" t="s">
        <v>1356</v>
      </c>
      <c r="Z394">
        <f t="shared" si="8"/>
        <v>-6.4715610843462583E-4</v>
      </c>
    </row>
    <row r="395" spans="19:26" ht="15" thickBot="1" x14ac:dyDescent="0.35">
      <c r="S395" s="30" t="s">
        <v>1357</v>
      </c>
      <c r="T395" s="31">
        <v>275.36</v>
      </c>
      <c r="U395" s="31">
        <v>276.29000000000002</v>
      </c>
      <c r="V395" s="31">
        <v>271.76</v>
      </c>
      <c r="W395" s="31">
        <v>274.10000000000002</v>
      </c>
      <c r="X395" s="31">
        <v>274.10000000000002</v>
      </c>
      <c r="Y395" s="31" t="s">
        <v>1358</v>
      </c>
      <c r="Z395">
        <f t="shared" si="8"/>
        <v>-1.3886890200028626E-2</v>
      </c>
    </row>
    <row r="396" spans="19:26" ht="15" thickBot="1" x14ac:dyDescent="0.35">
      <c r="S396" s="30" t="s">
        <v>1359</v>
      </c>
      <c r="T396" s="31">
        <v>272.63</v>
      </c>
      <c r="U396" s="31">
        <v>274.52999999999997</v>
      </c>
      <c r="V396" s="31">
        <v>268.12</v>
      </c>
      <c r="W396" s="31">
        <v>271.61</v>
      </c>
      <c r="X396" s="31">
        <v>271.61</v>
      </c>
      <c r="Y396" s="31" t="s">
        <v>1360</v>
      </c>
      <c r="Z396">
        <f t="shared" si="8"/>
        <v>-9.0842758117475695E-3</v>
      </c>
    </row>
    <row r="397" spans="19:26" ht="15" thickBot="1" x14ac:dyDescent="0.35">
      <c r="S397" s="30" t="s">
        <v>1361</v>
      </c>
      <c r="T397" s="31">
        <v>274.89999999999998</v>
      </c>
      <c r="U397" s="31">
        <v>277.10000000000002</v>
      </c>
      <c r="V397" s="31">
        <v>267.39999999999998</v>
      </c>
      <c r="W397" s="31">
        <v>267.55</v>
      </c>
      <c r="X397" s="31">
        <v>267.55</v>
      </c>
      <c r="Y397" s="31" t="s">
        <v>1362</v>
      </c>
      <c r="Z397">
        <f t="shared" si="8"/>
        <v>-1.4947903243621377E-2</v>
      </c>
    </row>
    <row r="398" spans="19:26" ht="15" thickBot="1" x14ac:dyDescent="0.35">
      <c r="S398" s="30" t="s">
        <v>1363</v>
      </c>
      <c r="T398" s="31">
        <v>274.45</v>
      </c>
      <c r="U398" s="31">
        <v>275.64</v>
      </c>
      <c r="V398" s="31">
        <v>270.88</v>
      </c>
      <c r="W398" s="31">
        <v>273.14999999999998</v>
      </c>
      <c r="X398" s="31">
        <v>273.14999999999998</v>
      </c>
      <c r="Y398" s="31" t="s">
        <v>1364</v>
      </c>
      <c r="Z398">
        <f t="shared" si="8"/>
        <v>2.0930667165015758E-2</v>
      </c>
    </row>
    <row r="399" spans="19:26" ht="15" thickBot="1" x14ac:dyDescent="0.35">
      <c r="S399" s="30" t="s">
        <v>1365</v>
      </c>
      <c r="T399" s="31">
        <v>270.23</v>
      </c>
      <c r="U399" s="31">
        <v>273.97000000000003</v>
      </c>
      <c r="V399" s="31">
        <v>266.58999999999997</v>
      </c>
      <c r="W399" s="31">
        <v>270.02</v>
      </c>
      <c r="X399" s="31">
        <v>270.02</v>
      </c>
      <c r="Y399" s="31" t="s">
        <v>1366</v>
      </c>
      <c r="Z399">
        <f t="shared" si="8"/>
        <v>-1.1458905363353453E-2</v>
      </c>
    </row>
    <row r="400" spans="19:26" ht="15" thickBot="1" x14ac:dyDescent="0.35">
      <c r="S400" s="30" t="s">
        <v>1367</v>
      </c>
      <c r="T400" s="31">
        <v>279.60000000000002</v>
      </c>
      <c r="U400" s="31">
        <v>283.77999999999997</v>
      </c>
      <c r="V400" s="31">
        <v>267.39</v>
      </c>
      <c r="W400" s="31">
        <v>281.39</v>
      </c>
      <c r="X400" s="31">
        <v>281.39</v>
      </c>
      <c r="Y400" s="31" t="s">
        <v>1368</v>
      </c>
      <c r="Z400">
        <f t="shared" si="8"/>
        <v>4.2107992000592571E-2</v>
      </c>
    </row>
    <row r="401" spans="19:26" ht="15" thickBot="1" x14ac:dyDescent="0.35">
      <c r="S401" s="30" t="s">
        <v>1369</v>
      </c>
      <c r="T401" s="31">
        <v>289</v>
      </c>
      <c r="U401" s="31">
        <v>290.73</v>
      </c>
      <c r="V401" s="31">
        <v>278.16000000000003</v>
      </c>
      <c r="W401" s="31">
        <v>282.5</v>
      </c>
      <c r="X401" s="31">
        <v>282.5</v>
      </c>
      <c r="Y401" s="31" t="s">
        <v>1370</v>
      </c>
      <c r="Z401">
        <f t="shared" si="8"/>
        <v>3.9447030811329961E-3</v>
      </c>
    </row>
    <row r="402" spans="19:26" ht="15" thickBot="1" x14ac:dyDescent="0.35">
      <c r="S402" s="30" t="s">
        <v>1371</v>
      </c>
      <c r="T402" s="31">
        <v>299</v>
      </c>
      <c r="U402" s="31">
        <v>299</v>
      </c>
      <c r="V402" s="31">
        <v>289.79000000000002</v>
      </c>
      <c r="W402" s="31">
        <v>296.07</v>
      </c>
      <c r="X402" s="31">
        <v>296.07</v>
      </c>
      <c r="Y402" s="31" t="s">
        <v>1372</v>
      </c>
      <c r="Z402">
        <f t="shared" si="8"/>
        <v>4.8035398230088469E-2</v>
      </c>
    </row>
    <row r="403" spans="19:26" ht="15" thickBot="1" x14ac:dyDescent="0.35">
      <c r="S403" s="30" t="s">
        <v>1373</v>
      </c>
      <c r="T403" s="31">
        <v>289.2</v>
      </c>
      <c r="U403" s="31">
        <v>298</v>
      </c>
      <c r="V403" s="31">
        <v>288.87</v>
      </c>
      <c r="W403" s="31">
        <v>298</v>
      </c>
      <c r="X403" s="31">
        <v>298</v>
      </c>
      <c r="Y403" s="31" t="s">
        <v>1374</v>
      </c>
      <c r="Z403">
        <f t="shared" si="8"/>
        <v>6.5187286790286316E-3</v>
      </c>
    </row>
    <row r="404" spans="19:26" ht="15" thickBot="1" x14ac:dyDescent="0.35">
      <c r="S404" s="30" t="s">
        <v>1375</v>
      </c>
      <c r="T404" s="31">
        <v>288.62</v>
      </c>
      <c r="U404" s="31">
        <v>289.19</v>
      </c>
      <c r="V404" s="31">
        <v>283.61</v>
      </c>
      <c r="W404" s="31">
        <v>287.02999999999997</v>
      </c>
      <c r="X404" s="31">
        <v>287.02999999999997</v>
      </c>
      <c r="Y404" s="31" t="s">
        <v>1376</v>
      </c>
      <c r="Z404">
        <f t="shared" si="8"/>
        <v>-3.6812080536912845E-2</v>
      </c>
    </row>
    <row r="405" spans="19:26" ht="15" thickBot="1" x14ac:dyDescent="0.35">
      <c r="S405" s="30" t="s">
        <v>1377</v>
      </c>
      <c r="T405" s="31">
        <v>285.08999999999997</v>
      </c>
      <c r="U405" s="31">
        <v>289.5</v>
      </c>
      <c r="V405" s="31">
        <v>283.57</v>
      </c>
      <c r="W405" s="31">
        <v>289</v>
      </c>
      <c r="X405" s="31">
        <v>289</v>
      </c>
      <c r="Y405" s="31" t="s">
        <v>1378</v>
      </c>
      <c r="Z405">
        <f t="shared" si="8"/>
        <v>6.8633940703063355E-3</v>
      </c>
    </row>
    <row r="406" spans="19:26" ht="15" thickBot="1" x14ac:dyDescent="0.35">
      <c r="S406" s="30" t="s">
        <v>1379</v>
      </c>
      <c r="T406" s="31">
        <v>290.17</v>
      </c>
      <c r="U406" s="31">
        <v>290.25</v>
      </c>
      <c r="V406" s="31">
        <v>282.10000000000002</v>
      </c>
      <c r="W406" s="31">
        <v>284.17</v>
      </c>
      <c r="X406" s="31">
        <v>284.17</v>
      </c>
      <c r="Y406" s="31" t="s">
        <v>1380</v>
      </c>
      <c r="Z406">
        <f t="shared" si="8"/>
        <v>-1.6712802768166037E-2</v>
      </c>
    </row>
    <row r="407" spans="19:26" ht="15" thickBot="1" x14ac:dyDescent="0.35">
      <c r="S407" s="30" t="s">
        <v>1381</v>
      </c>
      <c r="T407" s="31">
        <v>289.26</v>
      </c>
      <c r="U407" s="31">
        <v>292.48</v>
      </c>
      <c r="V407" s="31">
        <v>284.10000000000002</v>
      </c>
      <c r="W407" s="31">
        <v>291.95999999999998</v>
      </c>
      <c r="X407" s="31">
        <v>291.95999999999998</v>
      </c>
      <c r="Y407" s="31" t="s">
        <v>1382</v>
      </c>
      <c r="Z407">
        <f t="shared" si="8"/>
        <v>2.7413168173980235E-2</v>
      </c>
    </row>
    <row r="408" spans="19:26" ht="15" thickBot="1" x14ac:dyDescent="0.35">
      <c r="S408" s="30" t="s">
        <v>1383</v>
      </c>
      <c r="T408" s="31">
        <v>278.06</v>
      </c>
      <c r="U408" s="31">
        <v>289.12</v>
      </c>
      <c r="V408" s="31">
        <v>276.04000000000002</v>
      </c>
      <c r="W408" s="31">
        <v>286</v>
      </c>
      <c r="X408" s="31">
        <v>286</v>
      </c>
      <c r="Y408" s="31" t="s">
        <v>1384</v>
      </c>
      <c r="Z408">
        <f t="shared" si="8"/>
        <v>-2.0413755308946364E-2</v>
      </c>
    </row>
    <row r="409" spans="19:26" ht="15" thickBot="1" x14ac:dyDescent="0.35">
      <c r="S409" s="30" t="s">
        <v>1385</v>
      </c>
      <c r="T409" s="31">
        <v>273.24</v>
      </c>
      <c r="U409" s="31">
        <v>276.97000000000003</v>
      </c>
      <c r="V409" s="31">
        <v>271.62</v>
      </c>
      <c r="W409" s="31">
        <v>276.02</v>
      </c>
      <c r="X409" s="31">
        <v>276.02</v>
      </c>
      <c r="Y409" s="31" t="s">
        <v>1386</v>
      </c>
      <c r="Z409">
        <f t="shared" si="8"/>
        <v>-3.4895104895104959E-2</v>
      </c>
    </row>
    <row r="410" spans="19:26" ht="15" thickBot="1" x14ac:dyDescent="0.35">
      <c r="S410" s="30" t="s">
        <v>1387</v>
      </c>
      <c r="T410" s="31">
        <v>259.02999999999997</v>
      </c>
      <c r="U410" s="31">
        <v>267.43</v>
      </c>
      <c r="V410" s="31">
        <v>258.31</v>
      </c>
      <c r="W410" s="31">
        <v>265.8</v>
      </c>
      <c r="X410" s="31">
        <v>265.8</v>
      </c>
      <c r="Y410" s="31" t="s">
        <v>1388</v>
      </c>
      <c r="Z410">
        <f t="shared" si="8"/>
        <v>-3.7026302441851934E-2</v>
      </c>
    </row>
    <row r="411" spans="19:26" ht="15" thickBot="1" x14ac:dyDescent="0.35">
      <c r="S411" s="30" t="s">
        <v>1389</v>
      </c>
      <c r="T411" s="31">
        <v>256.89</v>
      </c>
      <c r="U411" s="31">
        <v>258.88</v>
      </c>
      <c r="V411" s="31">
        <v>254.18</v>
      </c>
      <c r="W411" s="31">
        <v>257.97000000000003</v>
      </c>
      <c r="X411" s="31">
        <v>257.97000000000003</v>
      </c>
      <c r="Y411" s="31" t="s">
        <v>1390</v>
      </c>
      <c r="Z411">
        <f t="shared" si="8"/>
        <v>-2.9458239277652308E-2</v>
      </c>
    </row>
    <row r="412" spans="19:26" ht="15" thickBot="1" x14ac:dyDescent="0.35">
      <c r="S412" s="30" t="s">
        <v>1391</v>
      </c>
      <c r="T412" s="31">
        <v>260.89</v>
      </c>
      <c r="U412" s="31">
        <v>261.29000000000002</v>
      </c>
      <c r="V412" s="31">
        <v>257.38</v>
      </c>
      <c r="W412" s="31">
        <v>260.58999999999997</v>
      </c>
      <c r="X412" s="31">
        <v>260.58999999999997</v>
      </c>
      <c r="Y412" s="31" t="s">
        <v>1392</v>
      </c>
      <c r="Z412">
        <f t="shared" si="8"/>
        <v>1.0156219715470587E-2</v>
      </c>
    </row>
    <row r="413" spans="19:26" ht="15" thickBot="1" x14ac:dyDescent="0.35">
      <c r="S413" s="30" t="s">
        <v>1393</v>
      </c>
      <c r="T413" s="31">
        <v>258.70999999999998</v>
      </c>
      <c r="U413" s="31">
        <v>261.42</v>
      </c>
      <c r="V413" s="31">
        <v>256.06</v>
      </c>
      <c r="W413" s="31">
        <v>259.2</v>
      </c>
      <c r="X413" s="31">
        <v>259.2</v>
      </c>
      <c r="Y413" s="31" t="s">
        <v>1394</v>
      </c>
      <c r="Z413">
        <f t="shared" si="8"/>
        <v>-5.3340496565485495E-3</v>
      </c>
    </row>
    <row r="414" spans="19:26" ht="15" thickBot="1" x14ac:dyDescent="0.35">
      <c r="S414" s="30" t="s">
        <v>1395</v>
      </c>
      <c r="T414" s="31">
        <v>253</v>
      </c>
      <c r="U414" s="31">
        <v>257.38</v>
      </c>
      <c r="V414" s="31">
        <v>250.09</v>
      </c>
      <c r="W414" s="31">
        <v>256.95999999999998</v>
      </c>
      <c r="X414" s="31">
        <v>256.95999999999998</v>
      </c>
      <c r="Y414" s="31" t="s">
        <v>1396</v>
      </c>
      <c r="Z414">
        <f t="shared" si="8"/>
        <v>-8.6419753086420109E-3</v>
      </c>
    </row>
    <row r="415" spans="19:26" ht="15" thickBot="1" x14ac:dyDescent="0.35">
      <c r="S415" s="30" t="s">
        <v>1397</v>
      </c>
      <c r="T415" s="31">
        <v>255.49</v>
      </c>
      <c r="U415" s="31">
        <v>255.77</v>
      </c>
      <c r="V415" s="31">
        <v>251.64</v>
      </c>
      <c r="W415" s="31">
        <v>253.97</v>
      </c>
      <c r="X415" s="31">
        <v>253.97</v>
      </c>
      <c r="Y415" s="31" t="s">
        <v>1398</v>
      </c>
      <c r="Z415">
        <f t="shared" si="8"/>
        <v>-1.1636052303860448E-2</v>
      </c>
    </row>
    <row r="416" spans="19:26" ht="15" thickBot="1" x14ac:dyDescent="0.35">
      <c r="S416" s="30" t="s">
        <v>1399</v>
      </c>
      <c r="T416" s="31">
        <v>256.39</v>
      </c>
      <c r="U416" s="31">
        <v>256.97000000000003</v>
      </c>
      <c r="V416" s="31">
        <v>252.88</v>
      </c>
      <c r="W416" s="31">
        <v>253.72</v>
      </c>
      <c r="X416" s="31">
        <v>253.72</v>
      </c>
      <c r="Y416" s="31" t="s">
        <v>1400</v>
      </c>
      <c r="Z416">
        <f t="shared" si="8"/>
        <v>-9.8436823246840174E-4</v>
      </c>
    </row>
    <row r="417" spans="19:26" ht="15" thickBot="1" x14ac:dyDescent="0.35">
      <c r="S417" s="30" t="s">
        <v>1401</v>
      </c>
      <c r="T417" s="31">
        <v>249.25</v>
      </c>
      <c r="U417" s="31">
        <v>256.08</v>
      </c>
      <c r="V417" s="31">
        <v>248.68</v>
      </c>
      <c r="W417" s="31">
        <v>255.19</v>
      </c>
      <c r="X417" s="31">
        <v>255.19</v>
      </c>
      <c r="Y417" s="31" t="s">
        <v>1402</v>
      </c>
      <c r="Z417">
        <f t="shared" si="8"/>
        <v>5.79378842818855E-3</v>
      </c>
    </row>
    <row r="418" spans="19:26" ht="15" thickBot="1" x14ac:dyDescent="0.35">
      <c r="S418" s="30" t="s">
        <v>1403</v>
      </c>
      <c r="T418" s="31">
        <v>251.29</v>
      </c>
      <c r="U418" s="31">
        <v>252.88</v>
      </c>
      <c r="V418" s="31">
        <v>247.83</v>
      </c>
      <c r="W418" s="31">
        <v>248.42</v>
      </c>
      <c r="X418" s="31">
        <v>248.42</v>
      </c>
      <c r="Y418" s="31" t="s">
        <v>1404</v>
      </c>
      <c r="Z418">
        <f t="shared" si="8"/>
        <v>-2.652925271366437E-2</v>
      </c>
    </row>
    <row r="419" spans="19:26" ht="15" thickBot="1" x14ac:dyDescent="0.35">
      <c r="S419" s="30" t="s">
        <v>1405</v>
      </c>
      <c r="T419" s="31">
        <v>249.34</v>
      </c>
      <c r="U419" s="31">
        <v>251.75</v>
      </c>
      <c r="V419" s="31">
        <v>246.1</v>
      </c>
      <c r="W419" s="31">
        <v>248.13</v>
      </c>
      <c r="X419" s="31">
        <v>248.13</v>
      </c>
      <c r="Y419" s="31" t="s">
        <v>1406</v>
      </c>
      <c r="Z419">
        <f t="shared" si="8"/>
        <v>-1.1673778278721201E-3</v>
      </c>
    </row>
    <row r="420" spans="19:26" ht="15" thickBot="1" x14ac:dyDescent="0.35">
      <c r="S420" s="30" t="s">
        <v>1407</v>
      </c>
      <c r="T420" s="31">
        <v>257.41000000000003</v>
      </c>
      <c r="U420" s="31">
        <v>257.76</v>
      </c>
      <c r="V420" s="31">
        <v>247.57</v>
      </c>
      <c r="W420" s="31">
        <v>252.1</v>
      </c>
      <c r="X420" s="31">
        <v>252.1</v>
      </c>
      <c r="Y420" s="31" t="s">
        <v>1408</v>
      </c>
      <c r="Z420">
        <f t="shared" si="8"/>
        <v>1.5999677588360937E-2</v>
      </c>
    </row>
    <row r="421" spans="19:26" ht="15" thickBot="1" x14ac:dyDescent="0.35">
      <c r="S421" s="30" t="s">
        <v>1409</v>
      </c>
      <c r="T421" s="31">
        <v>263.42</v>
      </c>
      <c r="U421" s="31">
        <v>265.7</v>
      </c>
      <c r="V421" s="31">
        <v>259.2</v>
      </c>
      <c r="W421" s="31">
        <v>265.68</v>
      </c>
      <c r="X421" s="31">
        <v>265.68</v>
      </c>
      <c r="Y421" s="31" t="s">
        <v>1410</v>
      </c>
      <c r="Z421">
        <f t="shared" si="8"/>
        <v>5.3867512891709692E-2</v>
      </c>
    </row>
    <row r="422" spans="19:26" ht="15" thickBot="1" x14ac:dyDescent="0.35">
      <c r="S422" s="30" t="s">
        <v>1411</v>
      </c>
      <c r="T422" s="31">
        <v>263.74</v>
      </c>
      <c r="U422" s="31">
        <v>265.98</v>
      </c>
      <c r="V422" s="31">
        <v>261.76</v>
      </c>
      <c r="W422" s="31">
        <v>264.91000000000003</v>
      </c>
      <c r="X422" s="31">
        <v>264.91000000000003</v>
      </c>
      <c r="Y422" s="31" t="s">
        <v>1412</v>
      </c>
      <c r="Z422">
        <f t="shared" si="8"/>
        <v>-2.8982234266786426E-3</v>
      </c>
    </row>
    <row r="423" spans="19:26" ht="15" thickBot="1" x14ac:dyDescent="0.35">
      <c r="S423" s="30" t="s">
        <v>1413</v>
      </c>
      <c r="T423" s="31">
        <v>260.08</v>
      </c>
      <c r="U423" s="31">
        <v>262.56</v>
      </c>
      <c r="V423" s="31">
        <v>258.82</v>
      </c>
      <c r="W423" s="31">
        <v>262.2</v>
      </c>
      <c r="X423" s="31">
        <v>262.2</v>
      </c>
      <c r="Y423" s="31" t="s">
        <v>1414</v>
      </c>
      <c r="Z423">
        <f t="shared" si="8"/>
        <v>-1.0229889396398913E-2</v>
      </c>
    </row>
    <row r="424" spans="19:26" ht="15" thickBot="1" x14ac:dyDescent="0.35">
      <c r="S424" s="30" t="s">
        <v>1415</v>
      </c>
      <c r="T424" s="31">
        <v>254.02</v>
      </c>
      <c r="U424" s="31">
        <v>260.64999999999998</v>
      </c>
      <c r="V424" s="31">
        <v>254</v>
      </c>
      <c r="W424" s="31">
        <v>257.94</v>
      </c>
      <c r="X424" s="31">
        <v>257.94</v>
      </c>
      <c r="Y424" s="31" t="s">
        <v>1416</v>
      </c>
      <c r="Z424">
        <f t="shared" si="8"/>
        <v>-1.6247139588100652E-2</v>
      </c>
    </row>
    <row r="425" spans="19:26" ht="15" thickBot="1" x14ac:dyDescent="0.35">
      <c r="S425" s="30" t="s">
        <v>1417</v>
      </c>
      <c r="T425" s="31">
        <v>254.2</v>
      </c>
      <c r="U425" s="31">
        <v>254.4</v>
      </c>
      <c r="V425" s="31">
        <v>248.1</v>
      </c>
      <c r="W425" s="31">
        <v>251.02</v>
      </c>
      <c r="X425" s="31">
        <v>251.02</v>
      </c>
      <c r="Y425" s="31" t="s">
        <v>1418</v>
      </c>
      <c r="Z425">
        <f t="shared" si="8"/>
        <v>-2.6827944483213101E-2</v>
      </c>
    </row>
    <row r="426" spans="19:26" ht="15" thickBot="1" x14ac:dyDescent="0.35">
      <c r="S426" s="30" t="s">
        <v>1419</v>
      </c>
      <c r="T426" s="31">
        <v>251.7</v>
      </c>
      <c r="U426" s="31">
        <v>253.86</v>
      </c>
      <c r="V426" s="31">
        <v>249.62</v>
      </c>
      <c r="W426" s="31">
        <v>252.74</v>
      </c>
      <c r="X426" s="31">
        <v>252.74</v>
      </c>
      <c r="Y426" s="31" t="s">
        <v>1420</v>
      </c>
      <c r="Z426">
        <f t="shared" si="8"/>
        <v>6.8520436618596083E-3</v>
      </c>
    </row>
    <row r="427" spans="19:26" ht="15" thickBot="1" x14ac:dyDescent="0.35">
      <c r="S427" s="30" t="s">
        <v>1421</v>
      </c>
      <c r="T427" s="31">
        <v>250.34</v>
      </c>
      <c r="U427" s="31">
        <v>254.3</v>
      </c>
      <c r="V427" s="31">
        <v>250.1</v>
      </c>
      <c r="W427" s="31">
        <v>252.45</v>
      </c>
      <c r="X427" s="31">
        <v>252.45</v>
      </c>
      <c r="Y427" s="31" t="s">
        <v>1422</v>
      </c>
      <c r="Z427">
        <f t="shared" si="8"/>
        <v>-1.1474242304345195E-3</v>
      </c>
    </row>
    <row r="428" spans="19:26" ht="15" thickBot="1" x14ac:dyDescent="0.35">
      <c r="S428" s="30" t="s">
        <v>1423</v>
      </c>
      <c r="T428" s="31">
        <v>251.15</v>
      </c>
      <c r="U428" s="31">
        <v>251.65</v>
      </c>
      <c r="V428" s="31">
        <v>248.53</v>
      </c>
      <c r="W428" s="31">
        <v>249.05</v>
      </c>
      <c r="X428" s="31">
        <v>249.05</v>
      </c>
      <c r="Y428" s="31" t="s">
        <v>1424</v>
      </c>
      <c r="Z428">
        <f t="shared" si="8"/>
        <v>-1.3468013468013379E-2</v>
      </c>
    </row>
    <row r="429" spans="19:26" ht="15" thickBot="1" x14ac:dyDescent="0.35">
      <c r="S429" s="30" t="s">
        <v>1425</v>
      </c>
      <c r="T429" s="31">
        <v>247.11</v>
      </c>
      <c r="U429" s="31">
        <v>252.87</v>
      </c>
      <c r="V429" s="31">
        <v>245.81</v>
      </c>
      <c r="W429" s="31">
        <v>250.86</v>
      </c>
      <c r="X429" s="31">
        <v>250.86</v>
      </c>
      <c r="Y429" s="31" t="s">
        <v>1426</v>
      </c>
      <c r="Z429">
        <f t="shared" si="8"/>
        <v>7.2676169443886855E-3</v>
      </c>
    </row>
    <row r="430" spans="19:26" ht="15" thickBot="1" x14ac:dyDescent="0.35">
      <c r="S430" s="30" t="s">
        <v>1427</v>
      </c>
      <c r="T430" s="31">
        <v>244.96</v>
      </c>
      <c r="U430" s="31">
        <v>249.48</v>
      </c>
      <c r="V430" s="31">
        <v>241.89</v>
      </c>
      <c r="W430" s="31">
        <v>249</v>
      </c>
      <c r="X430" s="31">
        <v>249</v>
      </c>
      <c r="Y430" s="31" t="s">
        <v>1428</v>
      </c>
      <c r="Z430">
        <f t="shared" si="8"/>
        <v>-7.4144941401579111E-3</v>
      </c>
    </row>
    <row r="431" spans="19:26" ht="15" thickBot="1" x14ac:dyDescent="0.35">
      <c r="S431" s="30" t="s">
        <v>1429</v>
      </c>
      <c r="T431" s="31">
        <v>252.1</v>
      </c>
      <c r="U431" s="31">
        <v>257.66000000000003</v>
      </c>
      <c r="V431" s="31">
        <v>248.69</v>
      </c>
      <c r="W431" s="31">
        <v>251.88</v>
      </c>
      <c r="X431" s="31">
        <v>251.88</v>
      </c>
      <c r="Y431" s="31" t="s">
        <v>1430</v>
      </c>
      <c r="Z431">
        <f t="shared" si="8"/>
        <v>1.1566265060240945E-2</v>
      </c>
    </row>
    <row r="432" spans="19:26" ht="15" thickBot="1" x14ac:dyDescent="0.35">
      <c r="S432" s="30" t="s">
        <v>1431</v>
      </c>
      <c r="T432" s="31">
        <v>255.76</v>
      </c>
      <c r="U432" s="31">
        <v>256.27</v>
      </c>
      <c r="V432" s="31">
        <v>249.6</v>
      </c>
      <c r="W432" s="31">
        <v>251.7</v>
      </c>
      <c r="X432" s="31">
        <v>251.7</v>
      </c>
      <c r="Y432" s="31" t="s">
        <v>1432</v>
      </c>
      <c r="Z432">
        <f t="shared" si="8"/>
        <v>-7.1462601238687798E-4</v>
      </c>
    </row>
    <row r="433" spans="19:26" ht="15" thickBot="1" x14ac:dyDescent="0.35">
      <c r="S433" s="30" t="s">
        <v>1433</v>
      </c>
      <c r="T433" s="31">
        <v>261.20999999999998</v>
      </c>
      <c r="U433" s="31">
        <v>261.92</v>
      </c>
      <c r="V433" s="31">
        <v>256.52</v>
      </c>
      <c r="W433" s="31">
        <v>257.89999999999998</v>
      </c>
      <c r="X433" s="31">
        <v>257.89999999999998</v>
      </c>
      <c r="Y433" s="31" t="s">
        <v>1434</v>
      </c>
      <c r="Z433">
        <f t="shared" si="8"/>
        <v>2.4632499006754027E-2</v>
      </c>
    </row>
    <row r="434" spans="19:26" ht="15" thickBot="1" x14ac:dyDescent="0.35">
      <c r="S434" s="30" t="s">
        <v>1435</v>
      </c>
      <c r="T434" s="31">
        <v>256.45</v>
      </c>
      <c r="U434" s="31">
        <v>257.67</v>
      </c>
      <c r="V434" s="31">
        <v>252.43</v>
      </c>
      <c r="W434" s="31">
        <v>254.81</v>
      </c>
      <c r="X434" s="31">
        <v>254.81</v>
      </c>
      <c r="Y434" s="31" t="s">
        <v>1436</v>
      </c>
      <c r="Z434">
        <f t="shared" si="8"/>
        <v>-1.1981388134935926E-2</v>
      </c>
    </row>
    <row r="435" spans="19:26" ht="15" thickBot="1" x14ac:dyDescent="0.35">
      <c r="S435" s="30" t="s">
        <v>1437</v>
      </c>
      <c r="T435" s="31">
        <v>246.55</v>
      </c>
      <c r="U435" s="31">
        <v>247.93</v>
      </c>
      <c r="V435" s="31">
        <v>244.48</v>
      </c>
      <c r="W435" s="31">
        <v>247.14</v>
      </c>
      <c r="X435" s="31">
        <v>247.14</v>
      </c>
      <c r="Y435" s="31" t="s">
        <v>1438</v>
      </c>
      <c r="Z435">
        <f t="shared" si="8"/>
        <v>-3.0100859463914352E-2</v>
      </c>
    </row>
    <row r="436" spans="19:26" ht="15" thickBot="1" x14ac:dyDescent="0.35">
      <c r="S436" s="30" t="s">
        <v>1439</v>
      </c>
      <c r="T436" s="31">
        <v>241.77</v>
      </c>
      <c r="U436" s="31">
        <v>245.05</v>
      </c>
      <c r="V436" s="31">
        <v>240.74</v>
      </c>
      <c r="W436" s="31">
        <v>242.5</v>
      </c>
      <c r="X436" s="31">
        <v>242.5</v>
      </c>
      <c r="Y436" s="31" t="s">
        <v>1440</v>
      </c>
      <c r="Z436">
        <f t="shared" si="8"/>
        <v>-1.8774783523508889E-2</v>
      </c>
    </row>
    <row r="437" spans="19:26" ht="15" thickBot="1" x14ac:dyDescent="0.35">
      <c r="S437" s="30" t="s">
        <v>1441</v>
      </c>
      <c r="T437" s="31">
        <v>251.48</v>
      </c>
      <c r="U437" s="31">
        <v>252.5</v>
      </c>
      <c r="V437" s="31">
        <v>246.54</v>
      </c>
      <c r="W437" s="31">
        <v>249.21</v>
      </c>
      <c r="X437" s="31">
        <v>249.21</v>
      </c>
      <c r="Y437" s="31" t="s">
        <v>1442</v>
      </c>
      <c r="Z437">
        <f t="shared" si="8"/>
        <v>2.7670103092783539E-2</v>
      </c>
    </row>
    <row r="438" spans="19:26" ht="15" thickBot="1" x14ac:dyDescent="0.35">
      <c r="S438" s="30" t="s">
        <v>1443</v>
      </c>
      <c r="T438" s="31">
        <v>246.57</v>
      </c>
      <c r="U438" s="31">
        <v>249.75</v>
      </c>
      <c r="V438" s="31">
        <v>241.23</v>
      </c>
      <c r="W438" s="31">
        <v>248.58</v>
      </c>
      <c r="X438" s="31">
        <v>248.58</v>
      </c>
      <c r="Y438" s="31" t="s">
        <v>1444</v>
      </c>
      <c r="Z438">
        <f t="shared" si="8"/>
        <v>-2.5279884434813828E-3</v>
      </c>
    </row>
    <row r="439" spans="19:26" ht="15" thickBot="1" x14ac:dyDescent="0.35">
      <c r="S439" s="30" t="s">
        <v>1445</v>
      </c>
      <c r="T439" s="31">
        <v>261.45</v>
      </c>
      <c r="U439" s="31">
        <v>265.66000000000003</v>
      </c>
      <c r="V439" s="31">
        <v>250.68</v>
      </c>
      <c r="W439" s="31">
        <v>251.67</v>
      </c>
      <c r="X439" s="31">
        <v>251.67</v>
      </c>
      <c r="Y439" s="31" t="s">
        <v>1446</v>
      </c>
      <c r="Z439">
        <f t="shared" si="8"/>
        <v>1.243060584117779E-2</v>
      </c>
    </row>
    <row r="440" spans="19:26" ht="15" thickBot="1" x14ac:dyDescent="0.35">
      <c r="S440" s="30" t="s">
        <v>1447</v>
      </c>
      <c r="T440" s="31">
        <v>260.20999999999998</v>
      </c>
      <c r="U440" s="31">
        <v>261.89999999999998</v>
      </c>
      <c r="V440" s="31">
        <v>255.71</v>
      </c>
      <c r="W440" s="31">
        <v>261.01</v>
      </c>
      <c r="X440" s="31">
        <v>261.01</v>
      </c>
      <c r="Y440" s="31" t="s">
        <v>1448</v>
      </c>
      <c r="Z440">
        <f t="shared" si="8"/>
        <v>3.7112091230579743E-2</v>
      </c>
    </row>
    <row r="441" spans="19:26" ht="15" thickBot="1" x14ac:dyDescent="0.35">
      <c r="S441" s="30" t="s">
        <v>1449</v>
      </c>
      <c r="T441" s="31">
        <v>265.55</v>
      </c>
      <c r="U441" s="31">
        <v>268</v>
      </c>
      <c r="V441" s="31">
        <v>255.91</v>
      </c>
      <c r="W441" s="31">
        <v>261.58</v>
      </c>
      <c r="X441" s="31">
        <v>261.58</v>
      </c>
      <c r="Y441" s="31" t="s">
        <v>1450</v>
      </c>
      <c r="Z441">
        <f t="shared" si="8"/>
        <v>2.1838243745450105E-3</v>
      </c>
    </row>
    <row r="442" spans="19:26" ht="15" thickBot="1" x14ac:dyDescent="0.35">
      <c r="S442" s="30" t="s">
        <v>1451</v>
      </c>
      <c r="T442" s="31">
        <v>244.86</v>
      </c>
      <c r="U442" s="31">
        <v>258.49</v>
      </c>
      <c r="V442" s="31">
        <v>244.02</v>
      </c>
      <c r="W442" s="31">
        <v>257.68</v>
      </c>
      <c r="X442" s="31">
        <v>257.68</v>
      </c>
      <c r="Y442" s="31" t="s">
        <v>1452</v>
      </c>
      <c r="Z442">
        <f t="shared" si="8"/>
        <v>-1.4909396742870165E-2</v>
      </c>
    </row>
    <row r="443" spans="19:26" ht="15" thickBot="1" x14ac:dyDescent="0.35">
      <c r="S443" s="30" t="s">
        <v>1453</v>
      </c>
      <c r="T443" s="31">
        <v>241.01</v>
      </c>
      <c r="U443" s="31">
        <v>241.3</v>
      </c>
      <c r="V443" s="31">
        <v>236.13</v>
      </c>
      <c r="W443" s="31">
        <v>236.51</v>
      </c>
      <c r="X443" s="31">
        <v>236.51</v>
      </c>
      <c r="Y443" s="31" t="s">
        <v>1454</v>
      </c>
      <c r="Z443">
        <f t="shared" si="8"/>
        <v>-8.2156162682396824E-2</v>
      </c>
    </row>
    <row r="444" spans="19:26" ht="15" thickBot="1" x14ac:dyDescent="0.35">
      <c r="S444" s="30" t="s">
        <v>1455</v>
      </c>
      <c r="T444" s="31">
        <v>233.31</v>
      </c>
      <c r="U444" s="31">
        <v>240.48</v>
      </c>
      <c r="V444" s="31">
        <v>232.82</v>
      </c>
      <c r="W444" s="31">
        <v>240</v>
      </c>
      <c r="X444" s="31">
        <v>240</v>
      </c>
      <c r="Y444" s="31" t="s">
        <v>1456</v>
      </c>
      <c r="Z444">
        <f t="shared" si="8"/>
        <v>1.4756247093146206E-2</v>
      </c>
    </row>
    <row r="445" spans="19:26" ht="15" thickBot="1" x14ac:dyDescent="0.35">
      <c r="S445" s="30" t="s">
        <v>1457</v>
      </c>
      <c r="T445" s="31">
        <v>221.85</v>
      </c>
      <c r="U445" s="31">
        <v>225.02</v>
      </c>
      <c r="V445" s="31">
        <v>220.06</v>
      </c>
      <c r="W445" s="31">
        <v>223.6</v>
      </c>
      <c r="X445" s="31">
        <v>223.6</v>
      </c>
      <c r="Y445" s="31" t="s">
        <v>1458</v>
      </c>
      <c r="Z445">
        <f t="shared" si="8"/>
        <v>-6.8333333333333357E-2</v>
      </c>
    </row>
    <row r="446" spans="19:26" ht="15" thickBot="1" x14ac:dyDescent="0.35">
      <c r="S446" s="30" t="s">
        <v>1459</v>
      </c>
      <c r="T446" s="31">
        <v>215.81</v>
      </c>
      <c r="U446" s="31">
        <v>216.55</v>
      </c>
      <c r="V446" s="31">
        <v>214.74</v>
      </c>
      <c r="W446" s="31">
        <v>215.95</v>
      </c>
      <c r="X446" s="31">
        <v>215.95</v>
      </c>
      <c r="Y446" s="31" t="s">
        <v>1460</v>
      </c>
      <c r="Z446">
        <f t="shared" si="8"/>
        <v>-3.4212880143112724E-2</v>
      </c>
    </row>
    <row r="447" spans="19:26" ht="15" thickBot="1" x14ac:dyDescent="0.35">
      <c r="S447" s="30" t="s">
        <v>1461</v>
      </c>
      <c r="T447" s="31">
        <v>215.74</v>
      </c>
      <c r="U447" s="31">
        <v>216.43</v>
      </c>
      <c r="V447" s="31">
        <v>212.89</v>
      </c>
      <c r="W447" s="31">
        <v>215.7</v>
      </c>
      <c r="X447" s="31">
        <v>215.7</v>
      </c>
      <c r="Y447" s="31" t="s">
        <v>1462</v>
      </c>
      <c r="Z447">
        <f t="shared" si="8"/>
        <v>-1.1576753878212551E-3</v>
      </c>
    </row>
    <row r="448" spans="19:26" ht="15" thickBot="1" x14ac:dyDescent="0.35">
      <c r="S448" s="30" t="s">
        <v>1463</v>
      </c>
      <c r="T448" s="31">
        <v>215.03</v>
      </c>
      <c r="U448" s="31">
        <v>216.5</v>
      </c>
      <c r="V448" s="31">
        <v>211.82</v>
      </c>
      <c r="W448" s="31">
        <v>215.02</v>
      </c>
      <c r="X448" s="31">
        <v>215.02</v>
      </c>
      <c r="Y448" s="31" t="s">
        <v>1464</v>
      </c>
      <c r="Z448">
        <f t="shared" si="8"/>
        <v>-3.1525266573944294E-3</v>
      </c>
    </row>
    <row r="449" spans="19:26" ht="15" thickBot="1" x14ac:dyDescent="0.35">
      <c r="S449" s="30" t="s">
        <v>1465</v>
      </c>
      <c r="T449" s="31">
        <v>222.21</v>
      </c>
      <c r="U449" s="31">
        <v>222.26</v>
      </c>
      <c r="V449" s="31">
        <v>213.5</v>
      </c>
      <c r="W449" s="31">
        <v>215.71</v>
      </c>
      <c r="X449" s="31">
        <v>215.71</v>
      </c>
      <c r="Y449" s="31" t="s">
        <v>1466</v>
      </c>
      <c r="Z449">
        <f t="shared" si="8"/>
        <v>3.2090038135987242E-3</v>
      </c>
    </row>
    <row r="450" spans="19:26" ht="15" thickBot="1" x14ac:dyDescent="0.35">
      <c r="S450" s="30" t="s">
        <v>1467</v>
      </c>
      <c r="T450" s="31">
        <v>224.59</v>
      </c>
      <c r="U450" s="31">
        <v>224.69</v>
      </c>
      <c r="V450" s="31">
        <v>220.87</v>
      </c>
      <c r="W450" s="31">
        <v>222.16</v>
      </c>
      <c r="X450" s="31">
        <v>222.16</v>
      </c>
      <c r="Y450" s="31" t="s">
        <v>1468</v>
      </c>
      <c r="Z450">
        <f t="shared" si="8"/>
        <v>2.9901256316350603E-2</v>
      </c>
    </row>
    <row r="451" spans="19:26" ht="15" thickBot="1" x14ac:dyDescent="0.35">
      <c r="S451" s="30" t="s">
        <v>1469</v>
      </c>
      <c r="T451" s="31">
        <v>228.3</v>
      </c>
      <c r="U451" s="31">
        <v>231.03</v>
      </c>
      <c r="V451" s="31">
        <v>224.25</v>
      </c>
      <c r="W451" s="31">
        <v>226.22</v>
      </c>
      <c r="X451" s="31">
        <v>226.22</v>
      </c>
      <c r="Y451" s="31" t="s">
        <v>1470</v>
      </c>
      <c r="Z451">
        <f t="shared" si="8"/>
        <v>1.8275117032769187E-2</v>
      </c>
    </row>
    <row r="452" spans="19:26" ht="15" thickBot="1" x14ac:dyDescent="0.35">
      <c r="S452" s="30" t="s">
        <v>1471</v>
      </c>
      <c r="T452" s="31">
        <v>225.12</v>
      </c>
      <c r="U452" s="31">
        <v>230.23</v>
      </c>
      <c r="V452" s="31">
        <v>224.53</v>
      </c>
      <c r="W452" s="31">
        <v>228.75</v>
      </c>
      <c r="X452" s="31">
        <v>228.75</v>
      </c>
      <c r="Y452" s="31" t="s">
        <v>1472</v>
      </c>
      <c r="Z452">
        <f t="shared" ref="Z452:Z506" si="9">(X452-X451)/X451</f>
        <v>1.1183803377243397E-2</v>
      </c>
    </row>
    <row r="453" spans="19:26" ht="15" thickBot="1" x14ac:dyDescent="0.35">
      <c r="S453" s="30" t="s">
        <v>1473</v>
      </c>
      <c r="T453" s="31">
        <v>220.92</v>
      </c>
      <c r="U453" s="31">
        <v>222.08</v>
      </c>
      <c r="V453" s="31">
        <v>219.45</v>
      </c>
      <c r="W453" s="31">
        <v>221.41</v>
      </c>
      <c r="X453" s="31">
        <v>221.41</v>
      </c>
      <c r="Y453" s="31" t="s">
        <v>1474</v>
      </c>
      <c r="Z453">
        <f t="shared" si="9"/>
        <v>-3.2087431693989088E-2</v>
      </c>
    </row>
    <row r="454" spans="19:26" ht="15" thickBot="1" x14ac:dyDescent="0.35">
      <c r="S454" s="30" t="s">
        <v>1475</v>
      </c>
      <c r="T454" s="31">
        <v>226.38</v>
      </c>
      <c r="U454" s="31">
        <v>226.5</v>
      </c>
      <c r="V454" s="31">
        <v>220.09</v>
      </c>
      <c r="W454" s="31">
        <v>220.64</v>
      </c>
      <c r="X454" s="31">
        <v>220.64</v>
      </c>
      <c r="Y454" s="31" t="s">
        <v>1476</v>
      </c>
      <c r="Z454">
        <f t="shared" si="9"/>
        <v>-3.4777110338286899E-3</v>
      </c>
    </row>
    <row r="455" spans="19:26" ht="15" thickBot="1" x14ac:dyDescent="0.35">
      <c r="S455" s="30" t="s">
        <v>1477</v>
      </c>
      <c r="T455" s="31">
        <v>223.74</v>
      </c>
      <c r="U455" s="31">
        <v>226.03</v>
      </c>
      <c r="V455" s="31">
        <v>222.92</v>
      </c>
      <c r="W455" s="31">
        <v>223.54</v>
      </c>
      <c r="X455" s="31">
        <v>223.54</v>
      </c>
      <c r="Y455" s="31" t="s">
        <v>1478</v>
      </c>
      <c r="Z455">
        <f t="shared" si="9"/>
        <v>1.3143582306018881E-2</v>
      </c>
    </row>
    <row r="456" spans="19:26" ht="15" thickBot="1" x14ac:dyDescent="0.35">
      <c r="S456" s="30" t="s">
        <v>1479</v>
      </c>
      <c r="T456" s="31">
        <v>224.4</v>
      </c>
      <c r="U456" s="31">
        <v>225</v>
      </c>
      <c r="V456" s="31">
        <v>222.5</v>
      </c>
      <c r="W456" s="31">
        <v>224.25</v>
      </c>
      <c r="X456" s="31">
        <v>224.25</v>
      </c>
      <c r="Y456" s="31" t="s">
        <v>1480</v>
      </c>
      <c r="Z456">
        <f t="shared" si="9"/>
        <v>3.1761653395365841E-3</v>
      </c>
    </row>
    <row r="457" spans="19:26" ht="15" thickBot="1" x14ac:dyDescent="0.35">
      <c r="S457" s="30" t="s">
        <v>1481</v>
      </c>
      <c r="T457" s="31">
        <v>221</v>
      </c>
      <c r="U457" s="31">
        <v>224.84</v>
      </c>
      <c r="V457" s="31">
        <v>220.1</v>
      </c>
      <c r="W457" s="31">
        <v>222.62</v>
      </c>
      <c r="X457" s="31">
        <v>222.62</v>
      </c>
      <c r="Y457" s="31" t="s">
        <v>1482</v>
      </c>
      <c r="Z457">
        <f t="shared" si="9"/>
        <v>-7.268673355629857E-3</v>
      </c>
    </row>
    <row r="458" spans="19:26" ht="15" thickBot="1" x14ac:dyDescent="0.35">
      <c r="S458" s="30" t="s">
        <v>1483</v>
      </c>
      <c r="T458" s="31">
        <v>214.11</v>
      </c>
      <c r="U458" s="31">
        <v>217.72</v>
      </c>
      <c r="V458" s="31">
        <v>212.75</v>
      </c>
      <c r="W458" s="31">
        <v>217.03</v>
      </c>
      <c r="X458" s="31">
        <v>217.03</v>
      </c>
      <c r="Y458" s="31" t="s">
        <v>1484</v>
      </c>
      <c r="Z458">
        <f t="shared" si="9"/>
        <v>-2.5110053005120848E-2</v>
      </c>
    </row>
    <row r="459" spans="19:26" ht="15" thickBot="1" x14ac:dyDescent="0.35">
      <c r="S459" s="30" t="s">
        <v>1485</v>
      </c>
      <c r="T459" s="31">
        <v>218.5</v>
      </c>
      <c r="U459" s="31">
        <v>219.5</v>
      </c>
      <c r="V459" s="31">
        <v>213.88</v>
      </c>
      <c r="W459" s="31">
        <v>217.64</v>
      </c>
      <c r="X459" s="31">
        <v>217.64</v>
      </c>
      <c r="Y459" s="31" t="s">
        <v>1486</v>
      </c>
      <c r="Z459">
        <f t="shared" si="9"/>
        <v>2.8106713357599652E-3</v>
      </c>
    </row>
    <row r="460" spans="19:26" ht="15" thickBot="1" x14ac:dyDescent="0.35">
      <c r="S460" s="30" t="s">
        <v>1487</v>
      </c>
      <c r="T460" s="31">
        <v>218</v>
      </c>
      <c r="U460" s="31">
        <v>219.95</v>
      </c>
      <c r="V460" s="31">
        <v>213.56</v>
      </c>
      <c r="W460" s="31">
        <v>215.24</v>
      </c>
      <c r="X460" s="31">
        <v>215.24</v>
      </c>
      <c r="Y460" s="31" t="s">
        <v>1488</v>
      </c>
      <c r="Z460">
        <f t="shared" si="9"/>
        <v>-1.1027384671935201E-2</v>
      </c>
    </row>
    <row r="461" spans="19:26" ht="15" thickBot="1" x14ac:dyDescent="0.35">
      <c r="S461" s="30" t="s">
        <v>1489</v>
      </c>
      <c r="T461" s="31">
        <v>222</v>
      </c>
      <c r="U461" s="31">
        <v>225</v>
      </c>
      <c r="V461" s="31">
        <v>220.6</v>
      </c>
      <c r="W461" s="31">
        <v>223.68</v>
      </c>
      <c r="X461" s="31">
        <v>223.68</v>
      </c>
      <c r="Y461" s="31" t="s">
        <v>1490</v>
      </c>
      <c r="Z461">
        <f t="shared" si="9"/>
        <v>3.9212042371306439E-2</v>
      </c>
    </row>
    <row r="462" spans="19:26" ht="15" thickBot="1" x14ac:dyDescent="0.35">
      <c r="S462" s="30" t="s">
        <v>1491</v>
      </c>
      <c r="T462" s="31">
        <v>216.31</v>
      </c>
      <c r="U462" s="31">
        <v>220.72</v>
      </c>
      <c r="V462" s="31">
        <v>216.2</v>
      </c>
      <c r="W462" s="31">
        <v>220.72</v>
      </c>
      <c r="X462" s="31">
        <v>220.72</v>
      </c>
      <c r="Y462" s="31" t="s">
        <v>1492</v>
      </c>
      <c r="Z462">
        <f t="shared" si="9"/>
        <v>-1.3233190271816917E-2</v>
      </c>
    </row>
    <row r="463" spans="19:26" ht="15" thickBot="1" x14ac:dyDescent="0.35">
      <c r="S463" s="30" t="s">
        <v>1493</v>
      </c>
      <c r="T463" s="31">
        <v>219.6</v>
      </c>
      <c r="U463" s="31">
        <v>220.4</v>
      </c>
      <c r="V463" s="31">
        <v>215.33</v>
      </c>
      <c r="W463" s="31">
        <v>219</v>
      </c>
      <c r="X463" s="31">
        <v>219</v>
      </c>
      <c r="Y463" s="31" t="s">
        <v>1494</v>
      </c>
      <c r="Z463">
        <f t="shared" si="9"/>
        <v>-7.7926785067053226E-3</v>
      </c>
    </row>
    <row r="464" spans="19:26" ht="15" thickBot="1" x14ac:dyDescent="0.35">
      <c r="S464" s="30" t="s">
        <v>1495</v>
      </c>
      <c r="T464" s="31">
        <v>220</v>
      </c>
      <c r="U464" s="31">
        <v>220.59</v>
      </c>
      <c r="V464" s="31">
        <v>218.7</v>
      </c>
      <c r="W464" s="31">
        <v>219.55</v>
      </c>
      <c r="X464" s="31">
        <v>219.55</v>
      </c>
      <c r="Y464" s="31" t="s">
        <v>1496</v>
      </c>
      <c r="Z464">
        <f t="shared" si="9"/>
        <v>2.5114155251142072E-3</v>
      </c>
    </row>
    <row r="465" spans="19:26" ht="15" thickBot="1" x14ac:dyDescent="0.35">
      <c r="S465" s="30" t="s">
        <v>1497</v>
      </c>
      <c r="T465" s="31">
        <v>217.28</v>
      </c>
      <c r="U465" s="31">
        <v>220</v>
      </c>
      <c r="V465" s="31">
        <v>216.32</v>
      </c>
      <c r="W465" s="31">
        <v>218.04</v>
      </c>
      <c r="X465" s="31">
        <v>218.04</v>
      </c>
      <c r="Y465" s="31" t="s">
        <v>1498</v>
      </c>
      <c r="Z465">
        <f t="shared" si="9"/>
        <v>-6.8777043953542208E-3</v>
      </c>
    </row>
    <row r="466" spans="19:26" ht="15" thickBot="1" x14ac:dyDescent="0.35">
      <c r="S466" s="30" t="s">
        <v>1499</v>
      </c>
      <c r="T466" s="31">
        <v>215.6</v>
      </c>
      <c r="U466" s="31">
        <v>218.97</v>
      </c>
      <c r="V466" s="31">
        <v>213.75</v>
      </c>
      <c r="W466" s="31">
        <v>218.61</v>
      </c>
      <c r="X466" s="31">
        <v>218.61</v>
      </c>
      <c r="Y466" s="31" t="s">
        <v>1500</v>
      </c>
      <c r="Z466">
        <f t="shared" si="9"/>
        <v>2.6141992294992735E-3</v>
      </c>
    </row>
    <row r="467" spans="19:26" ht="15" thickBot="1" x14ac:dyDescent="0.35">
      <c r="S467" s="30" t="s">
        <v>1501</v>
      </c>
      <c r="T467" s="31">
        <v>207.21</v>
      </c>
      <c r="U467" s="31">
        <v>214.57</v>
      </c>
      <c r="V467" s="31">
        <v>207.17</v>
      </c>
      <c r="W467" s="31">
        <v>214.33</v>
      </c>
      <c r="X467" s="31">
        <v>214.33</v>
      </c>
      <c r="Y467" s="31" t="s">
        <v>1502</v>
      </c>
      <c r="Z467">
        <f t="shared" si="9"/>
        <v>-1.9578244362106038E-2</v>
      </c>
    </row>
    <row r="468" spans="19:26" ht="15" thickBot="1" x14ac:dyDescent="0.35">
      <c r="S468" s="30" t="s">
        <v>1503</v>
      </c>
      <c r="T468" s="31">
        <v>205.9</v>
      </c>
      <c r="U468" s="31">
        <v>207.2</v>
      </c>
      <c r="V468" s="31">
        <v>203.94</v>
      </c>
      <c r="W468" s="31">
        <v>206.57</v>
      </c>
      <c r="X468" s="31">
        <v>206.57</v>
      </c>
      <c r="Y468" s="31" t="s">
        <v>1504</v>
      </c>
      <c r="Z468">
        <f t="shared" si="9"/>
        <v>-3.6205850790836651E-2</v>
      </c>
    </row>
    <row r="469" spans="19:26" ht="15" thickBot="1" x14ac:dyDescent="0.35">
      <c r="S469" s="30" t="s">
        <v>1505</v>
      </c>
      <c r="T469" s="31">
        <v>200</v>
      </c>
      <c r="U469" s="31">
        <v>207.88</v>
      </c>
      <c r="V469" s="31">
        <v>196.7</v>
      </c>
      <c r="W469" s="31">
        <v>207.39</v>
      </c>
      <c r="X469" s="31">
        <v>207.39</v>
      </c>
      <c r="Y469" s="31" t="s">
        <v>1506</v>
      </c>
      <c r="Z469">
        <f t="shared" si="9"/>
        <v>3.969598683255038E-3</v>
      </c>
    </row>
    <row r="470" spans="19:26" ht="15" thickBot="1" x14ac:dyDescent="0.35">
      <c r="S470" s="30" t="s">
        <v>1507</v>
      </c>
      <c r="T470" s="31">
        <v>199</v>
      </c>
      <c r="U470" s="31">
        <v>202.37</v>
      </c>
      <c r="V470" s="31">
        <v>197.62</v>
      </c>
      <c r="W470" s="31">
        <v>199.49</v>
      </c>
      <c r="X470" s="31">
        <v>199.49</v>
      </c>
      <c r="Y470" s="31" t="s">
        <v>1508</v>
      </c>
      <c r="Z470">
        <f t="shared" si="9"/>
        <v>-3.8092482761945982E-2</v>
      </c>
    </row>
    <row r="471" spans="19:26" ht="15" thickBot="1" x14ac:dyDescent="0.35">
      <c r="S471" s="30" t="s">
        <v>1509</v>
      </c>
      <c r="T471" s="31">
        <v>202.99</v>
      </c>
      <c r="U471" s="31">
        <v>202.99</v>
      </c>
      <c r="V471" s="31">
        <v>196.75</v>
      </c>
      <c r="W471" s="31">
        <v>201.18</v>
      </c>
      <c r="X471" s="31">
        <v>201.18</v>
      </c>
      <c r="Y471" s="31" t="s">
        <v>1510</v>
      </c>
      <c r="Z471">
        <f t="shared" si="9"/>
        <v>8.4716025865958083E-3</v>
      </c>
    </row>
    <row r="472" spans="19:26" ht="15" thickBot="1" x14ac:dyDescent="0.35">
      <c r="S472" s="30" t="s">
        <v>1511</v>
      </c>
      <c r="T472" s="31">
        <v>205.94</v>
      </c>
      <c r="U472" s="31">
        <v>206.8</v>
      </c>
      <c r="V472" s="31">
        <v>201</v>
      </c>
      <c r="W472" s="31">
        <v>201.72</v>
      </c>
      <c r="X472" s="31">
        <v>201.72</v>
      </c>
      <c r="Y472" s="31" t="s">
        <v>1512</v>
      </c>
      <c r="Z472">
        <f t="shared" si="9"/>
        <v>2.6841634357291579E-3</v>
      </c>
    </row>
    <row r="473" spans="19:26" ht="15" thickBot="1" x14ac:dyDescent="0.35">
      <c r="S473" s="30" t="s">
        <v>1513</v>
      </c>
      <c r="T473" s="31">
        <v>203.23</v>
      </c>
      <c r="U473" s="31">
        <v>204.88</v>
      </c>
      <c r="V473" s="31">
        <v>198.99</v>
      </c>
      <c r="W473" s="31">
        <v>199.7</v>
      </c>
      <c r="X473" s="31">
        <v>199.7</v>
      </c>
      <c r="Y473" s="31" t="s">
        <v>1514</v>
      </c>
      <c r="Z473">
        <f t="shared" si="9"/>
        <v>-1.0013880626611195E-2</v>
      </c>
    </row>
    <row r="474" spans="19:26" ht="15" thickBot="1" x14ac:dyDescent="0.35">
      <c r="S474" s="30" t="s">
        <v>1515</v>
      </c>
      <c r="T474" s="31">
        <v>211.29</v>
      </c>
      <c r="U474" s="31">
        <v>214.58</v>
      </c>
      <c r="V474" s="31">
        <v>209.53</v>
      </c>
      <c r="W474" s="31">
        <v>212.16</v>
      </c>
      <c r="X474" s="31">
        <v>212.16</v>
      </c>
      <c r="Y474" s="31" t="s">
        <v>1516</v>
      </c>
      <c r="Z474">
        <f t="shared" si="9"/>
        <v>6.2393590385578408E-2</v>
      </c>
    </row>
    <row r="475" spans="19:26" ht="15" thickBot="1" x14ac:dyDescent="0.35">
      <c r="S475" s="30" t="s">
        <v>1517</v>
      </c>
      <c r="T475" s="31">
        <v>220</v>
      </c>
      <c r="U475" s="31">
        <v>221.16</v>
      </c>
      <c r="V475" s="31">
        <v>210.58</v>
      </c>
      <c r="W475" s="31">
        <v>216.79</v>
      </c>
      <c r="X475" s="31">
        <v>216.79</v>
      </c>
      <c r="Y475" s="31" t="s">
        <v>1518</v>
      </c>
      <c r="Z475">
        <f t="shared" si="9"/>
        <v>2.1823152337858198E-2</v>
      </c>
    </row>
    <row r="476" spans="19:26" ht="15" thickBot="1" x14ac:dyDescent="0.35">
      <c r="S476" s="30" t="s">
        <v>1519</v>
      </c>
      <c r="T476" s="31">
        <v>216.73</v>
      </c>
      <c r="U476" s="31">
        <v>220.59</v>
      </c>
      <c r="V476" s="31">
        <v>215.19</v>
      </c>
      <c r="W476" s="31">
        <v>217.2</v>
      </c>
      <c r="X476" s="31">
        <v>217.2</v>
      </c>
      <c r="Y476" s="31" t="s">
        <v>1520</v>
      </c>
      <c r="Z476">
        <f t="shared" si="9"/>
        <v>1.891231145348017E-3</v>
      </c>
    </row>
    <row r="477" spans="19:26" ht="15" thickBot="1" x14ac:dyDescent="0.35">
      <c r="S477" s="30" t="s">
        <v>1521</v>
      </c>
      <c r="T477" s="31">
        <v>212.5</v>
      </c>
      <c r="U477" s="31">
        <v>215.47</v>
      </c>
      <c r="V477" s="31">
        <v>210.37</v>
      </c>
      <c r="W477" s="31">
        <v>215.28</v>
      </c>
      <c r="X477" s="31">
        <v>215.28</v>
      </c>
      <c r="Y477" s="31" t="s">
        <v>1522</v>
      </c>
      <c r="Z477">
        <f t="shared" si="9"/>
        <v>-8.8397790055248053E-3</v>
      </c>
    </row>
    <row r="478" spans="19:26" ht="15" thickBot="1" x14ac:dyDescent="0.35">
      <c r="S478" s="30" t="s">
        <v>1523</v>
      </c>
      <c r="T478" s="31">
        <v>200.7</v>
      </c>
      <c r="U478" s="31">
        <v>204.49</v>
      </c>
      <c r="V478" s="31">
        <v>200.1</v>
      </c>
      <c r="W478" s="31">
        <v>203.68</v>
      </c>
      <c r="X478" s="31">
        <v>203.68</v>
      </c>
      <c r="Y478" s="31" t="s">
        <v>1524</v>
      </c>
      <c r="Z478">
        <f t="shared" si="9"/>
        <v>-5.3883314752879941E-2</v>
      </c>
    </row>
    <row r="479" spans="19:26" ht="15" thickBot="1" x14ac:dyDescent="0.35">
      <c r="S479" s="30" t="s">
        <v>1525</v>
      </c>
      <c r="T479" s="31">
        <v>195.5</v>
      </c>
      <c r="U479" s="31">
        <v>201.77</v>
      </c>
      <c r="V479" s="31">
        <v>194.03</v>
      </c>
      <c r="W479" s="31">
        <v>201.3</v>
      </c>
      <c r="X479" s="31">
        <v>201.3</v>
      </c>
      <c r="Y479" s="31" t="s">
        <v>1526</v>
      </c>
      <c r="Z479">
        <f t="shared" si="9"/>
        <v>-1.1684996072270205E-2</v>
      </c>
    </row>
    <row r="480" spans="19:26" ht="15" thickBot="1" x14ac:dyDescent="0.35">
      <c r="S480" s="30" t="s">
        <v>1527</v>
      </c>
      <c r="T480" s="31">
        <v>203.62</v>
      </c>
      <c r="U480" s="31">
        <v>204.68</v>
      </c>
      <c r="V480" s="31">
        <v>197.98</v>
      </c>
      <c r="W480" s="31">
        <v>199.46</v>
      </c>
      <c r="X480" s="31">
        <v>199.46</v>
      </c>
      <c r="Y480" s="31" t="s">
        <v>1528</v>
      </c>
      <c r="Z480">
        <f t="shared" si="9"/>
        <v>-9.1405861897665332E-3</v>
      </c>
    </row>
    <row r="481" spans="19:26" ht="15" thickBot="1" x14ac:dyDescent="0.35">
      <c r="S481" s="30" t="s">
        <v>1529</v>
      </c>
      <c r="T481" s="31">
        <v>206.95</v>
      </c>
      <c r="U481" s="31">
        <v>208.05</v>
      </c>
      <c r="V481" s="31">
        <v>200.02</v>
      </c>
      <c r="W481" s="31">
        <v>200.31</v>
      </c>
      <c r="X481" s="31">
        <v>200.31</v>
      </c>
      <c r="Y481" s="31" t="s">
        <v>1530</v>
      </c>
      <c r="Z481">
        <f t="shared" si="9"/>
        <v>4.2615060663791955E-3</v>
      </c>
    </row>
    <row r="482" spans="19:26" ht="15" thickBot="1" x14ac:dyDescent="0.35">
      <c r="S482" s="30" t="s">
        <v>1531</v>
      </c>
      <c r="T482" s="31">
        <v>202.78</v>
      </c>
      <c r="U482" s="31">
        <v>206.64</v>
      </c>
      <c r="V482" s="31">
        <v>202.38</v>
      </c>
      <c r="W482" s="31">
        <v>205.4</v>
      </c>
      <c r="X482" s="31">
        <v>205.4</v>
      </c>
      <c r="Y482" s="31" t="s">
        <v>1532</v>
      </c>
      <c r="Z482">
        <f t="shared" si="9"/>
        <v>2.5410613548999067E-2</v>
      </c>
    </row>
    <row r="483" spans="19:26" ht="15" thickBot="1" x14ac:dyDescent="0.35">
      <c r="S483" s="30" t="s">
        <v>1533</v>
      </c>
      <c r="T483" s="31">
        <v>199.8</v>
      </c>
      <c r="U483" s="31">
        <v>203.02</v>
      </c>
      <c r="V483" s="31">
        <v>198.68</v>
      </c>
      <c r="W483" s="31">
        <v>201.19</v>
      </c>
      <c r="X483" s="31">
        <v>201.19</v>
      </c>
      <c r="Y483" s="31" t="s">
        <v>1534</v>
      </c>
      <c r="Z483">
        <f t="shared" si="9"/>
        <v>-2.0496592015579396E-2</v>
      </c>
    </row>
    <row r="484" spans="19:26" ht="15" thickBot="1" x14ac:dyDescent="0.35">
      <c r="S484" s="30" t="s">
        <v>1535</v>
      </c>
      <c r="T484" s="31">
        <v>198</v>
      </c>
      <c r="U484" s="31">
        <v>198.09</v>
      </c>
      <c r="V484" s="31">
        <v>194.78</v>
      </c>
      <c r="W484" s="31">
        <v>196.49</v>
      </c>
      <c r="X484" s="31">
        <v>196.49</v>
      </c>
      <c r="Y484" s="31" t="s">
        <v>1536</v>
      </c>
      <c r="Z484">
        <f t="shared" si="9"/>
        <v>-2.3361002037874591E-2</v>
      </c>
    </row>
    <row r="485" spans="19:26" ht="15" thickBot="1" x14ac:dyDescent="0.35">
      <c r="S485" s="30" t="s">
        <v>1537</v>
      </c>
      <c r="T485" s="31">
        <v>197.67</v>
      </c>
      <c r="U485" s="31">
        <v>198.91</v>
      </c>
      <c r="V485" s="31">
        <v>194.93</v>
      </c>
      <c r="W485" s="31">
        <v>195.17</v>
      </c>
      <c r="X485" s="31">
        <v>195.17</v>
      </c>
      <c r="Y485" s="31" t="s">
        <v>1538</v>
      </c>
      <c r="Z485">
        <f t="shared" si="9"/>
        <v>-6.7178991297268129E-3</v>
      </c>
    </row>
    <row r="486" spans="19:26" ht="15" thickBot="1" x14ac:dyDescent="0.35">
      <c r="S486" s="30" t="s">
        <v>1539</v>
      </c>
      <c r="T486" s="31">
        <v>196.38</v>
      </c>
      <c r="U486" s="31">
        <v>198.27</v>
      </c>
      <c r="V486" s="31">
        <v>194.2</v>
      </c>
      <c r="W486" s="31">
        <v>195.02</v>
      </c>
      <c r="X486" s="31">
        <v>195.02</v>
      </c>
      <c r="Y486" s="31" t="s">
        <v>1540</v>
      </c>
      <c r="Z486">
        <f t="shared" si="9"/>
        <v>-7.6856074191718638E-4</v>
      </c>
    </row>
    <row r="487" spans="19:26" ht="15" thickBot="1" x14ac:dyDescent="0.35">
      <c r="S487" s="30" t="s">
        <v>1541</v>
      </c>
      <c r="T487" s="31">
        <v>194.76</v>
      </c>
      <c r="U487" s="31">
        <v>195</v>
      </c>
      <c r="V487" s="31">
        <v>189.53</v>
      </c>
      <c r="W487" s="31">
        <v>191.15</v>
      </c>
      <c r="X487" s="31">
        <v>191.15</v>
      </c>
      <c r="Y487" s="31" t="s">
        <v>1542</v>
      </c>
      <c r="Z487">
        <f t="shared" si="9"/>
        <v>-1.9844118551943412E-2</v>
      </c>
    </row>
    <row r="488" spans="19:26" ht="15" thickBot="1" x14ac:dyDescent="0.35">
      <c r="S488" s="30" t="s">
        <v>1543</v>
      </c>
      <c r="T488" s="31">
        <v>195.75</v>
      </c>
      <c r="U488" s="31">
        <v>197.38</v>
      </c>
      <c r="V488" s="31">
        <v>192.86</v>
      </c>
      <c r="W488" s="31">
        <v>194.48</v>
      </c>
      <c r="X488" s="31">
        <v>194.48</v>
      </c>
      <c r="Y488" s="31" t="s">
        <v>1544</v>
      </c>
      <c r="Z488">
        <f t="shared" si="9"/>
        <v>1.7420873659429684E-2</v>
      </c>
    </row>
    <row r="489" spans="19:26" ht="15" thickBot="1" x14ac:dyDescent="0.35">
      <c r="S489" s="30" t="s">
        <v>1545</v>
      </c>
      <c r="T489" s="31">
        <v>206.25</v>
      </c>
      <c r="U489" s="31">
        <v>206.7</v>
      </c>
      <c r="V489" s="31">
        <v>199.29</v>
      </c>
      <c r="W489" s="31">
        <v>202.67</v>
      </c>
      <c r="X489" s="31">
        <v>202.67</v>
      </c>
      <c r="Y489" s="31" t="s">
        <v>1546</v>
      </c>
      <c r="Z489">
        <f t="shared" si="9"/>
        <v>4.211229946524063E-2</v>
      </c>
    </row>
    <row r="490" spans="19:26" ht="15" thickBot="1" x14ac:dyDescent="0.35">
      <c r="S490" s="30" t="s">
        <v>1547</v>
      </c>
      <c r="T490" s="31">
        <v>202.93</v>
      </c>
      <c r="U490" s="31">
        <v>207.08</v>
      </c>
      <c r="V490" s="31">
        <v>202.51</v>
      </c>
      <c r="W490" s="31">
        <v>206.7</v>
      </c>
      <c r="X490" s="31">
        <v>206.7</v>
      </c>
      <c r="Y490" s="31" t="s">
        <v>1548</v>
      </c>
      <c r="Z490">
        <f t="shared" si="9"/>
        <v>1.9884541372674799E-2</v>
      </c>
    </row>
    <row r="491" spans="19:26" ht="15" thickBot="1" x14ac:dyDescent="0.35">
      <c r="S491" s="30" t="s">
        <v>1549</v>
      </c>
      <c r="T491" s="31">
        <v>204.81</v>
      </c>
      <c r="U491" s="31">
        <v>205.19</v>
      </c>
      <c r="V491" s="31">
        <v>199.41</v>
      </c>
      <c r="W491" s="31">
        <v>201.15</v>
      </c>
      <c r="X491" s="31">
        <v>201.15</v>
      </c>
      <c r="Y491" s="31" t="s">
        <v>1550</v>
      </c>
      <c r="Z491">
        <f t="shared" si="9"/>
        <v>-2.6850507982583375E-2</v>
      </c>
    </row>
    <row r="492" spans="19:26" ht="15" thickBot="1" x14ac:dyDescent="0.35">
      <c r="S492" s="30" t="s">
        <v>1551</v>
      </c>
      <c r="T492" s="31">
        <v>207.55</v>
      </c>
      <c r="U492" s="31">
        <v>207.78</v>
      </c>
      <c r="V492" s="31">
        <v>202.03</v>
      </c>
      <c r="W492" s="31">
        <v>203.69</v>
      </c>
      <c r="X492" s="31">
        <v>203.69</v>
      </c>
      <c r="Y492" s="31" t="s">
        <v>1552</v>
      </c>
      <c r="Z492">
        <f t="shared" si="9"/>
        <v>1.2627392493164266E-2</v>
      </c>
    </row>
    <row r="493" spans="19:26" ht="15" thickBot="1" x14ac:dyDescent="0.35">
      <c r="S493" s="30" t="s">
        <v>1553</v>
      </c>
      <c r="T493" s="31">
        <v>205.89</v>
      </c>
      <c r="U493" s="31">
        <v>206.5</v>
      </c>
      <c r="V493" s="31">
        <v>202.82</v>
      </c>
      <c r="W493" s="31">
        <v>204.36</v>
      </c>
      <c r="X493" s="31">
        <v>204.36</v>
      </c>
      <c r="Y493" s="31" t="s">
        <v>1554</v>
      </c>
      <c r="Z493">
        <f t="shared" si="9"/>
        <v>3.2893121900928663E-3</v>
      </c>
    </row>
    <row r="494" spans="19:26" ht="15" thickBot="1" x14ac:dyDescent="0.35">
      <c r="S494" s="30" t="s">
        <v>1555</v>
      </c>
      <c r="T494" s="31">
        <v>210.24</v>
      </c>
      <c r="U494" s="31">
        <v>210.56</v>
      </c>
      <c r="V494" s="31">
        <v>203.46</v>
      </c>
      <c r="W494" s="31">
        <v>205.24</v>
      </c>
      <c r="X494" s="31">
        <v>205.24</v>
      </c>
      <c r="Y494" s="31" t="s">
        <v>1556</v>
      </c>
      <c r="Z494">
        <f t="shared" si="9"/>
        <v>4.3061264435310014E-3</v>
      </c>
    </row>
    <row r="495" spans="19:26" ht="15" thickBot="1" x14ac:dyDescent="0.35">
      <c r="S495" s="30" t="s">
        <v>1557</v>
      </c>
      <c r="T495" s="31">
        <v>212</v>
      </c>
      <c r="U495" s="31">
        <v>212</v>
      </c>
      <c r="V495" s="31">
        <v>209.21</v>
      </c>
      <c r="W495" s="31">
        <v>209.96</v>
      </c>
      <c r="X495" s="31">
        <v>209.96</v>
      </c>
      <c r="Y495" s="31" t="s">
        <v>1558</v>
      </c>
      <c r="Z495">
        <f t="shared" si="9"/>
        <v>2.2997466380822444E-2</v>
      </c>
    </row>
    <row r="496" spans="19:26" ht="15" thickBot="1" x14ac:dyDescent="0.35">
      <c r="S496" s="30" t="s">
        <v>1559</v>
      </c>
      <c r="T496" s="31">
        <v>209.9</v>
      </c>
      <c r="U496" s="31">
        <v>212.13</v>
      </c>
      <c r="V496" s="31">
        <v>205.03</v>
      </c>
      <c r="W496" s="31">
        <v>207.34</v>
      </c>
      <c r="X496" s="31">
        <v>207.34</v>
      </c>
      <c r="Y496" s="31" t="s">
        <v>1560</v>
      </c>
      <c r="Z496">
        <f t="shared" si="9"/>
        <v>-1.2478567346161195E-2</v>
      </c>
    </row>
    <row r="497" spans="19:26" ht="15" thickBot="1" x14ac:dyDescent="0.35">
      <c r="S497" s="30" t="s">
        <v>1561</v>
      </c>
      <c r="T497" s="31">
        <v>209.87</v>
      </c>
      <c r="U497" s="31">
        <v>216.1</v>
      </c>
      <c r="V497" s="31">
        <v>209.36</v>
      </c>
      <c r="W497" s="31">
        <v>212.13</v>
      </c>
      <c r="X497" s="31">
        <v>212.13</v>
      </c>
      <c r="Y497" s="31" t="s">
        <v>1562</v>
      </c>
      <c r="Z497">
        <f t="shared" si="9"/>
        <v>2.3102151056236093E-2</v>
      </c>
    </row>
    <row r="498" spans="19:26" ht="15" thickBot="1" x14ac:dyDescent="0.35">
      <c r="S498" s="30" t="s">
        <v>1563</v>
      </c>
      <c r="T498" s="31">
        <v>214.98</v>
      </c>
      <c r="U498" s="31">
        <v>214.98</v>
      </c>
      <c r="V498" s="31">
        <v>208.85</v>
      </c>
      <c r="W498" s="31">
        <v>209.5</v>
      </c>
      <c r="X498" s="31">
        <v>209.5</v>
      </c>
      <c r="Y498" s="31" t="s">
        <v>1564</v>
      </c>
      <c r="Z498">
        <f t="shared" si="9"/>
        <v>-1.2398057794748483E-2</v>
      </c>
    </row>
    <row r="499" spans="19:26" ht="15" thickBot="1" x14ac:dyDescent="0.35">
      <c r="S499" s="30" t="s">
        <v>1565</v>
      </c>
      <c r="T499" s="31">
        <v>210.53</v>
      </c>
      <c r="U499" s="31">
        <v>213.25</v>
      </c>
      <c r="V499" s="31">
        <v>209.12</v>
      </c>
      <c r="W499" s="31">
        <v>212.66</v>
      </c>
      <c r="X499" s="31">
        <v>212.66</v>
      </c>
      <c r="Y499" s="31" t="s">
        <v>1566</v>
      </c>
      <c r="Z499">
        <f t="shared" si="9"/>
        <v>1.508353221957039E-2</v>
      </c>
    </row>
    <row r="500" spans="19:26" ht="15" thickBot="1" x14ac:dyDescent="0.35">
      <c r="S500" s="30" t="s">
        <v>1567</v>
      </c>
      <c r="T500" s="31">
        <v>204.77</v>
      </c>
      <c r="U500" s="31">
        <v>209.15</v>
      </c>
      <c r="V500" s="31">
        <v>201.31</v>
      </c>
      <c r="W500" s="31">
        <v>208.17</v>
      </c>
      <c r="X500" s="31">
        <v>208.17</v>
      </c>
      <c r="Y500" s="31" t="s">
        <v>1568</v>
      </c>
      <c r="Z500">
        <f t="shared" si="9"/>
        <v>-2.1113514530236101E-2</v>
      </c>
    </row>
    <row r="501" spans="19:26" ht="15" thickBot="1" x14ac:dyDescent="0.35">
      <c r="S501" s="30" t="s">
        <v>1569</v>
      </c>
      <c r="T501" s="31">
        <v>204.95</v>
      </c>
      <c r="U501" s="31">
        <v>207.97</v>
      </c>
      <c r="V501" s="31">
        <v>204.25</v>
      </c>
      <c r="W501" s="31">
        <v>204.78</v>
      </c>
      <c r="X501" s="31">
        <v>204.78</v>
      </c>
      <c r="Y501" s="31" t="s">
        <v>1570</v>
      </c>
      <c r="Z501">
        <f t="shared" si="9"/>
        <v>-1.628476725752984E-2</v>
      </c>
    </row>
    <row r="502" spans="19:26" ht="15" thickBot="1" x14ac:dyDescent="0.35">
      <c r="S502" s="30" t="s">
        <v>1571</v>
      </c>
      <c r="T502" s="31">
        <v>197.4</v>
      </c>
      <c r="U502" s="31">
        <v>200.32</v>
      </c>
      <c r="V502" s="31">
        <v>195.53</v>
      </c>
      <c r="W502" s="31">
        <v>199.44</v>
      </c>
      <c r="X502" s="31">
        <v>199.44</v>
      </c>
      <c r="Y502" s="31" t="s">
        <v>1572</v>
      </c>
      <c r="Z502">
        <f t="shared" si="9"/>
        <v>-2.6076765309112234E-2</v>
      </c>
    </row>
    <row r="503" spans="19:26" ht="15" thickBot="1" x14ac:dyDescent="0.35">
      <c r="S503" s="30" t="s">
        <v>1573</v>
      </c>
      <c r="T503" s="31">
        <v>198.65</v>
      </c>
      <c r="U503" s="31">
        <v>200.35</v>
      </c>
      <c r="V503" s="31">
        <v>193.4</v>
      </c>
      <c r="W503" s="31">
        <v>196.37</v>
      </c>
      <c r="X503" s="31">
        <v>196.37</v>
      </c>
      <c r="Y503" s="31" t="s">
        <v>1574</v>
      </c>
      <c r="Z503">
        <f t="shared" si="9"/>
        <v>-1.5393100681909312E-2</v>
      </c>
    </row>
    <row r="504" spans="19:26" ht="15" thickBot="1" x14ac:dyDescent="0.35">
      <c r="S504" s="30" t="s">
        <v>1575</v>
      </c>
      <c r="T504" s="31">
        <v>198.34</v>
      </c>
      <c r="U504" s="31">
        <v>198.86</v>
      </c>
      <c r="V504" s="31">
        <v>193.88</v>
      </c>
      <c r="W504" s="31">
        <v>195.98</v>
      </c>
      <c r="X504" s="31">
        <v>195.98</v>
      </c>
      <c r="Y504" s="31" t="s">
        <v>1576</v>
      </c>
      <c r="Z504">
        <f t="shared" si="9"/>
        <v>-1.9860467484850782E-3</v>
      </c>
    </row>
    <row r="505" spans="19:26" ht="15" thickBot="1" x14ac:dyDescent="0.35">
      <c r="S505" s="30" t="s">
        <v>1577</v>
      </c>
      <c r="T505" s="31">
        <v>200.05</v>
      </c>
      <c r="U505" s="31">
        <v>201.45</v>
      </c>
      <c r="V505" s="31">
        <v>197.05</v>
      </c>
      <c r="W505" s="31">
        <v>198</v>
      </c>
      <c r="X505" s="31">
        <v>198</v>
      </c>
      <c r="Y505" s="31" t="s">
        <v>1578</v>
      </c>
      <c r="Z505">
        <f t="shared" si="9"/>
        <v>1.0307174201449181E-2</v>
      </c>
    </row>
    <row r="506" spans="19:26" x14ac:dyDescent="0.3">
      <c r="S506" s="30" t="s">
        <v>1579</v>
      </c>
      <c r="T506" s="31">
        <v>194.74</v>
      </c>
      <c r="U506" s="31">
        <v>196.88</v>
      </c>
      <c r="V506" s="31">
        <v>192.7</v>
      </c>
      <c r="W506" s="31">
        <v>196.45</v>
      </c>
      <c r="X506" s="31">
        <v>196.45</v>
      </c>
      <c r="Y506" s="31" t="s">
        <v>1580</v>
      </c>
      <c r="Z506">
        <f t="shared" si="9"/>
        <v>-7.8282828282828856E-3</v>
      </c>
    </row>
  </sheetData>
  <mergeCells count="1">
    <mergeCell ref="AG3:AG4"/>
  </mergeCells>
  <hyperlinks>
    <hyperlink ref="A2" r:id="rId1" display="https://finance.yahoo.com/quote/BABA240119C00040000?p=BABA240119C00040000" xr:uid="{355322E4-E58B-4172-8505-E7D71CD75D22}"/>
    <hyperlink ref="C2" r:id="rId2" display="https://finance.yahoo.com/quote/BABA/options?strike=40&amp;straddle=false" xr:uid="{61A4C514-8F8A-49E6-944F-24AC3D9F3941}"/>
    <hyperlink ref="A3" r:id="rId3" display="https://finance.yahoo.com/quote/BABA240119C00045000?p=BABA240119C00045000" xr:uid="{7E5933E1-0978-4264-A362-519F8BB1D3A4}"/>
    <hyperlink ref="C3" r:id="rId4" display="https://finance.yahoo.com/quote/BABA/options?strike=45&amp;straddle=false" xr:uid="{EE23D824-4DEE-4258-B27F-043534AC3D63}"/>
    <hyperlink ref="A4" r:id="rId5" display="https://finance.yahoo.com/quote/BABA240119C00050000?p=BABA240119C00050000" xr:uid="{6392E455-6DA2-40AE-B40C-DF961674B9E1}"/>
    <hyperlink ref="C4" r:id="rId6" display="https://finance.yahoo.com/quote/BABA/options?strike=50&amp;straddle=false" xr:uid="{60299F3C-D9E0-4137-BEB3-2C8F089058B0}"/>
    <hyperlink ref="A5" r:id="rId7" display="https://finance.yahoo.com/quote/BABA240119C00055000?p=BABA240119C00055000" xr:uid="{9D25BCA9-9652-4C96-8DC1-7BDCE8325F23}"/>
    <hyperlink ref="C5" r:id="rId8" display="https://finance.yahoo.com/quote/BABA/options?strike=55&amp;straddle=false" xr:uid="{CA460AA6-5BDC-43ED-8C9C-AFF2861CAFD4}"/>
    <hyperlink ref="A6" r:id="rId9" display="https://finance.yahoo.com/quote/BABA240119C00060000?p=BABA240119C00060000" xr:uid="{2B580ECE-8611-48C7-8736-1EC2B509D655}"/>
    <hyperlink ref="C6" r:id="rId10" display="https://finance.yahoo.com/quote/BABA/options?strike=60&amp;straddle=false" xr:uid="{28A85C13-DE93-45DB-823E-F1F4D617D21E}"/>
    <hyperlink ref="A7" r:id="rId11" display="https://finance.yahoo.com/quote/BABA240119C00065000?p=BABA240119C00065000" xr:uid="{4DE6EC07-DAA3-44C8-88F2-BAB630D787E7}"/>
    <hyperlink ref="C7" r:id="rId12" display="https://finance.yahoo.com/quote/BABA/options?strike=65&amp;straddle=false" xr:uid="{2E6DB9E8-B2F7-426A-AC8E-1B4274F4AAAE}"/>
    <hyperlink ref="A8" r:id="rId13" display="https://finance.yahoo.com/quote/BABA240119C00070000?p=BABA240119C00070000" xr:uid="{54F0C946-1219-4616-A08B-B94822186CDA}"/>
    <hyperlink ref="C8" r:id="rId14" display="https://finance.yahoo.com/quote/BABA/options?strike=70&amp;straddle=false" xr:uid="{1E0478AF-7B31-47BD-8578-8178FB32391E}"/>
    <hyperlink ref="A9" r:id="rId15" display="https://finance.yahoo.com/quote/BABA240119C00075000?p=BABA240119C00075000" xr:uid="{B58F6296-F65C-47BA-8D09-A779B1B904A9}"/>
    <hyperlink ref="C9" r:id="rId16" display="https://finance.yahoo.com/quote/BABA/options?strike=75&amp;straddle=false" xr:uid="{84DBE44E-FA9B-43FC-895E-B2E4B4142B5B}"/>
    <hyperlink ref="A10" r:id="rId17" display="https://finance.yahoo.com/quote/BABA240119C00080000?p=BABA240119C00080000" xr:uid="{DF0015D6-D45F-4FD8-8390-20696A2780AB}"/>
    <hyperlink ref="C10" r:id="rId18" display="https://finance.yahoo.com/quote/BABA/options?strike=80&amp;straddle=false" xr:uid="{CDBB20B4-7C5A-483C-B01D-823244097CAC}"/>
    <hyperlink ref="A11" r:id="rId19" display="https://finance.yahoo.com/quote/BABA240119C00085000?p=BABA240119C00085000" xr:uid="{6AB2CE1D-D3B8-40F9-A6DA-44FFB8A0C7FE}"/>
    <hyperlink ref="C11" r:id="rId20" display="https://finance.yahoo.com/quote/BABA/options?strike=85&amp;straddle=false" xr:uid="{546DAF8A-16BB-4E2E-AA8C-7C857B88C398}"/>
    <hyperlink ref="A12" r:id="rId21" display="https://finance.yahoo.com/quote/BABA240119C00090000?p=BABA240119C00090000" xr:uid="{78EAFD1D-B543-42BC-9E93-5EE79AA2C264}"/>
    <hyperlink ref="C12" r:id="rId22" display="https://finance.yahoo.com/quote/BABA/options?strike=90&amp;straddle=false" xr:uid="{F75D0C48-9EB9-4F64-9CC3-692F985D964F}"/>
    <hyperlink ref="A13" r:id="rId23" display="https://finance.yahoo.com/quote/BABA240119C00095000?p=BABA240119C00095000" xr:uid="{A4E356F1-4555-47C2-BC75-7B227579133B}"/>
    <hyperlink ref="C13" r:id="rId24" display="https://finance.yahoo.com/quote/BABA/options?strike=95&amp;straddle=false" xr:uid="{CA98401F-2A06-494A-9345-F61BE60331CA}"/>
    <hyperlink ref="A14" r:id="rId25" display="https://finance.yahoo.com/quote/BABA240119C00100000?p=BABA240119C00100000" xr:uid="{8381B2FC-23E6-49AE-8281-B74722A8FADE}"/>
    <hyperlink ref="C14" r:id="rId26" display="https://finance.yahoo.com/quote/BABA/options?strike=100&amp;straddle=false" xr:uid="{0E84ED79-8632-4171-8781-4324D3D05A44}"/>
    <hyperlink ref="A15" r:id="rId27" display="https://finance.yahoo.com/quote/BABA240119C00105000?p=BABA240119C00105000" xr:uid="{C6764503-EC6F-4641-B9D6-7C532433791F}"/>
    <hyperlink ref="C15" r:id="rId28" display="https://finance.yahoo.com/quote/BABA/options?strike=105&amp;straddle=false" xr:uid="{525B7171-8B31-4AB0-AA21-AA6045286B79}"/>
    <hyperlink ref="A16" r:id="rId29" display="https://finance.yahoo.com/quote/BABA240119C00110000?p=BABA240119C00110000" xr:uid="{8BA12F54-3892-47C3-88FE-6E141355A84F}"/>
    <hyperlink ref="C16" r:id="rId30" display="https://finance.yahoo.com/quote/BABA/options?strike=110&amp;straddle=false" xr:uid="{7AACBA1F-A9AA-42A4-8014-CB784C399503}"/>
    <hyperlink ref="A17" r:id="rId31" display="https://finance.yahoo.com/quote/BABA240119C00115000?p=BABA240119C00115000" xr:uid="{87E35425-4F4E-476C-A2C2-A5ACF04B8C1F}"/>
    <hyperlink ref="C17" r:id="rId32" display="https://finance.yahoo.com/quote/BABA/options?strike=115&amp;straddle=false" xr:uid="{6F719B74-2ABD-4EDA-971A-E1A551669BBE}"/>
    <hyperlink ref="A18" r:id="rId33" display="https://finance.yahoo.com/quote/BABA240119C00120000?p=BABA240119C00120000" xr:uid="{7061E15C-39B1-46DB-8590-357C12C406E4}"/>
    <hyperlink ref="C18" r:id="rId34" display="https://finance.yahoo.com/quote/BABA/options?strike=120&amp;straddle=false" xr:uid="{1F1BA848-3A7E-45EC-913B-FB0B3F28305A}"/>
    <hyperlink ref="A19" r:id="rId35" display="https://finance.yahoo.com/quote/BABA240119C00125000?p=BABA240119C00125000" xr:uid="{C3EC656C-5EAC-437A-8392-A9454C2D8D99}"/>
    <hyperlink ref="C19" r:id="rId36" display="https://finance.yahoo.com/quote/BABA/options?strike=125&amp;straddle=false" xr:uid="{AC7C291F-E901-4B0D-9492-73D827673E83}"/>
    <hyperlink ref="A20" r:id="rId37" display="https://finance.yahoo.com/quote/BABA240119C00130000?p=BABA240119C00130000" xr:uid="{14FCDE36-397C-476C-82AC-FA5DBAF4F9A1}"/>
    <hyperlink ref="C20" r:id="rId38" display="https://finance.yahoo.com/quote/BABA/options?strike=130&amp;straddle=false" xr:uid="{7B8E57A0-8F47-4B39-B017-F170DB7CE45F}"/>
    <hyperlink ref="A21" r:id="rId39" display="https://finance.yahoo.com/quote/BABA240119C00135000?p=BABA240119C00135000" xr:uid="{E2385518-46DC-46B9-B6CD-C7CDE2782875}"/>
    <hyperlink ref="C21" r:id="rId40" display="https://finance.yahoo.com/quote/BABA/options?strike=135&amp;straddle=false" xr:uid="{5E5DA4B3-1BB3-4DA5-9653-A1B29E93427C}"/>
    <hyperlink ref="A22" r:id="rId41" display="https://finance.yahoo.com/quote/BABA240119C00140000?p=BABA240119C00140000" xr:uid="{701631E7-84B6-4DE1-B3D9-FBECDAC82093}"/>
    <hyperlink ref="C22" r:id="rId42" display="https://finance.yahoo.com/quote/BABA/options?strike=140&amp;straddle=false" xr:uid="{5B7F25B6-3EDA-4E0F-99AD-E71E15F3243B}"/>
    <hyperlink ref="A23" r:id="rId43" display="https://finance.yahoo.com/quote/BABA240119C00145000?p=BABA240119C00145000" xr:uid="{1FDD1809-C22B-409A-B381-BCB97CB538C7}"/>
    <hyperlink ref="C23" r:id="rId44" display="https://finance.yahoo.com/quote/BABA/options?strike=145&amp;straddle=false" xr:uid="{D8B7F231-6509-4700-BC3E-6D335764A5FC}"/>
    <hyperlink ref="A24" r:id="rId45" display="https://finance.yahoo.com/quote/BABA240119C00150000?p=BABA240119C00150000" xr:uid="{399F5597-D008-400D-978A-3D2FD1F8BEA4}"/>
    <hyperlink ref="C24" r:id="rId46" display="https://finance.yahoo.com/quote/BABA/options?strike=150&amp;straddle=false" xr:uid="{A6DBFF21-5E34-4800-A20A-DD21832384F6}"/>
    <hyperlink ref="A25" r:id="rId47" display="https://finance.yahoo.com/quote/BABA240119C00155000?p=BABA240119C00155000" xr:uid="{04CD848D-625E-4694-A138-18F85BAB261C}"/>
    <hyperlink ref="C25" r:id="rId48" display="https://finance.yahoo.com/quote/BABA/options?strike=155&amp;straddle=false" xr:uid="{B1DEDB5A-20AE-4BE6-8BF0-9644D92A644F}"/>
    <hyperlink ref="A26" r:id="rId49" display="https://finance.yahoo.com/quote/BABA240119C00160000?p=BABA240119C00160000" xr:uid="{60DD7794-B6D4-494C-B34F-803843FA0A8B}"/>
    <hyperlink ref="C26" r:id="rId50" display="https://finance.yahoo.com/quote/BABA/options?strike=160&amp;straddle=false" xr:uid="{AD4BA423-547A-4D99-BA52-36229F5D950D}"/>
    <hyperlink ref="A27" r:id="rId51" display="https://finance.yahoo.com/quote/BABA240119C00165000?p=BABA240119C00165000" xr:uid="{74B117CE-F263-4E80-8797-42DAAD7918B1}"/>
    <hyperlink ref="C27" r:id="rId52" display="https://finance.yahoo.com/quote/BABA/options?strike=165&amp;straddle=false" xr:uid="{5F4B5891-E026-41FB-8AA1-83965A391690}"/>
    <hyperlink ref="A28" r:id="rId53" display="https://finance.yahoo.com/quote/BABA240119C00170000?p=BABA240119C00170000" xr:uid="{EB7193FB-9FF7-4B01-82D2-3718DD34A979}"/>
    <hyperlink ref="C28" r:id="rId54" display="https://finance.yahoo.com/quote/BABA/options?strike=170&amp;straddle=false" xr:uid="{F88A43BF-2193-414E-9856-CCEC9952727C}"/>
    <hyperlink ref="A29" r:id="rId55" display="https://finance.yahoo.com/quote/BABA240119C00175000?p=BABA240119C00175000" xr:uid="{F18B217A-D45C-4B6F-9ED7-FDE33D6B57E1}"/>
    <hyperlink ref="C29" r:id="rId56" display="https://finance.yahoo.com/quote/BABA/options?strike=175&amp;straddle=false" xr:uid="{997A661D-1592-4B9C-B36E-13CA108F0FA5}"/>
    <hyperlink ref="A30" r:id="rId57" display="https://finance.yahoo.com/quote/BABA240119C00180000?p=BABA240119C00180000" xr:uid="{2BCD676C-6ED1-4315-A449-59D04AA8FCDC}"/>
    <hyperlink ref="C30" r:id="rId58" display="https://finance.yahoo.com/quote/BABA/options?strike=180&amp;straddle=false" xr:uid="{65B30830-D21E-4929-B912-6B559C315366}"/>
    <hyperlink ref="A31" r:id="rId59" display="https://finance.yahoo.com/quote/BABA240119C00185000?p=BABA240119C00185000" xr:uid="{2F7D4980-27F5-4735-8A17-12255FDD83F4}"/>
    <hyperlink ref="C31" r:id="rId60" display="https://finance.yahoo.com/quote/BABA/options?strike=185&amp;straddle=false" xr:uid="{6C6EEA15-16C1-4025-B118-6C216F83FD1D}"/>
    <hyperlink ref="A32" r:id="rId61" display="https://finance.yahoo.com/quote/BABA240119C00190000?p=BABA240119C00190000" xr:uid="{7E614685-A069-4EC8-B3EB-0E48C2410358}"/>
    <hyperlink ref="C32" r:id="rId62" display="https://finance.yahoo.com/quote/BABA/options?strike=190&amp;straddle=false" xr:uid="{F21D3A71-167F-4AEB-884A-5BF17BB2417C}"/>
    <hyperlink ref="A33" r:id="rId63" display="https://finance.yahoo.com/quote/BABA240119C00195000?p=BABA240119C00195000" xr:uid="{2797E79D-2FD1-43EF-A0D9-27C0E9969197}"/>
    <hyperlink ref="C33" r:id="rId64" display="https://finance.yahoo.com/quote/BABA/options?strike=195&amp;straddle=false" xr:uid="{54991B1D-2DDB-483C-ABD2-3BBE78A8C124}"/>
    <hyperlink ref="A34" r:id="rId65" display="https://finance.yahoo.com/quote/BABA240119C00200000?p=BABA240119C00200000" xr:uid="{E16121CE-0874-4D73-9CCE-F1E82258D912}"/>
    <hyperlink ref="C34" r:id="rId66" display="https://finance.yahoo.com/quote/BABA/options?strike=200&amp;straddle=false" xr:uid="{189F7D10-699B-4AE0-B38D-2BE3F8863229}"/>
    <hyperlink ref="A35" r:id="rId67" display="https://finance.yahoo.com/quote/BABA240119C00210000?p=BABA240119C00210000" xr:uid="{11BC04F1-2253-4B6F-8085-BB3D0A5D8CF8}"/>
    <hyperlink ref="C35" r:id="rId68" display="https://finance.yahoo.com/quote/BABA/options?strike=210&amp;straddle=false" xr:uid="{73C4093F-B883-4865-9681-E1FD8581D814}"/>
    <hyperlink ref="A36" r:id="rId69" display="https://finance.yahoo.com/quote/BABA240119C00220000?p=BABA240119C00220000" xr:uid="{DFC3D2F5-3E9B-4CF4-AA69-A73C4FE4452A}"/>
    <hyperlink ref="C36" r:id="rId70" display="https://finance.yahoo.com/quote/BABA/options?strike=220&amp;straddle=false" xr:uid="{BAAAD01A-310C-4C2F-8C98-506C018F5A9A}"/>
    <hyperlink ref="A37" r:id="rId71" display="https://finance.yahoo.com/quote/BABA240119C00230000?p=BABA240119C00230000" xr:uid="{16512248-3D9E-47E3-976E-AC2F47678F8C}"/>
    <hyperlink ref="C37" r:id="rId72" display="https://finance.yahoo.com/quote/BABA/options?strike=230&amp;straddle=false" xr:uid="{F399AE47-DBEC-448E-BE00-56B6BD4EF0E9}"/>
    <hyperlink ref="A38" r:id="rId73" display="https://finance.yahoo.com/quote/BABA240119C00235000?p=BABA240119C00235000" xr:uid="{D3F977F8-14EC-47E1-B050-080B893E194C}"/>
    <hyperlink ref="C38" r:id="rId74" display="https://finance.yahoo.com/quote/BABA/options?strike=235&amp;straddle=false" xr:uid="{914701BA-F2DE-4A3C-9F1A-92CF70D11906}"/>
    <hyperlink ref="A39" r:id="rId75" display="https://finance.yahoo.com/quote/BABA240119C00240000?p=BABA240119C00240000" xr:uid="{B7C6B152-14FE-4C71-A467-CC71B2AD7C96}"/>
    <hyperlink ref="C39" r:id="rId76" display="https://finance.yahoo.com/quote/BABA/options?strike=240&amp;straddle=false" xr:uid="{F524FEA9-3A3B-4877-8223-F3C2F5B3908A}"/>
    <hyperlink ref="A40" r:id="rId77" display="https://finance.yahoo.com/quote/BABA240119C00245000?p=BABA240119C00245000" xr:uid="{4B90AC3A-B8D0-4D94-A3B1-7E211040E41C}"/>
    <hyperlink ref="C40" r:id="rId78" display="https://finance.yahoo.com/quote/BABA/options?strike=245&amp;straddle=false" xr:uid="{610351DD-7D2D-4DA6-9D61-96F1C7CD24B1}"/>
    <hyperlink ref="A41" r:id="rId79" display="https://finance.yahoo.com/quote/BABA240119C00250000?p=BABA240119C00250000" xr:uid="{DEE1E3DD-6A67-42FD-8513-48DD354B2B69}"/>
    <hyperlink ref="C41" r:id="rId80" display="https://finance.yahoo.com/quote/BABA/options?strike=250&amp;straddle=false" xr:uid="{28B60B53-A2FC-412D-B555-BCEAD3AB90FD}"/>
    <hyperlink ref="A42" r:id="rId81" display="https://finance.yahoo.com/quote/BABA240119C00255000?p=BABA240119C00255000" xr:uid="{C6313662-2DBE-4906-9864-2E5EBF8B3892}"/>
    <hyperlink ref="C42" r:id="rId82" display="https://finance.yahoo.com/quote/BABA/options?strike=255&amp;straddle=false" xr:uid="{240968D8-DE72-454A-83E4-D311B3E6678A}"/>
    <hyperlink ref="A43" r:id="rId83" display="https://finance.yahoo.com/quote/BABA240119C00260000?p=BABA240119C00260000" xr:uid="{B138FD9F-5423-4FDB-B9C9-F6C15A8E44E3}"/>
    <hyperlink ref="C43" r:id="rId84" display="https://finance.yahoo.com/quote/BABA/options?strike=260&amp;straddle=false" xr:uid="{08393AEC-685D-4A34-A6CE-029E5DAE0DA2}"/>
    <hyperlink ref="A44" r:id="rId85" display="https://finance.yahoo.com/quote/BABA240119C00265000?p=BABA240119C00265000" xr:uid="{E96B30AD-F93E-43F2-988D-EB6E58826034}"/>
    <hyperlink ref="C44" r:id="rId86" display="https://finance.yahoo.com/quote/BABA/options?strike=265&amp;straddle=false" xr:uid="{D268BA14-E54C-4189-8772-530782817BD8}"/>
    <hyperlink ref="A45" r:id="rId87" display="https://finance.yahoo.com/quote/BABA240119C00270000?p=BABA240119C00270000" xr:uid="{CDA64A8E-E68F-45DF-BC85-322436FE70CC}"/>
    <hyperlink ref="C45" r:id="rId88" display="https://finance.yahoo.com/quote/BABA/options?strike=270&amp;straddle=false" xr:uid="{2AC2A3C4-CE5A-4B51-BD00-7266676FE943}"/>
    <hyperlink ref="A46" r:id="rId89" display="https://finance.yahoo.com/quote/BABA240119C00275000?p=BABA240119C00275000" xr:uid="{07A66A49-27A6-44B7-AC98-FA9FAF1B7275}"/>
    <hyperlink ref="C46" r:id="rId90" display="https://finance.yahoo.com/quote/BABA/options?strike=275&amp;straddle=false" xr:uid="{F15573A9-A6DF-47C3-91B5-09A3D502B5BA}"/>
    <hyperlink ref="A47" r:id="rId91" display="https://finance.yahoo.com/quote/BABA240119C00280000?p=BABA240119C00280000" xr:uid="{7C8C2131-5B8D-4230-AEB8-E8432C66B998}"/>
    <hyperlink ref="C47" r:id="rId92" display="https://finance.yahoo.com/quote/BABA/options?strike=280&amp;straddle=false" xr:uid="{B8BB32F3-BC4B-4F9C-9BE9-F54C5150FC7D}"/>
    <hyperlink ref="A48" r:id="rId93" display="https://finance.yahoo.com/quote/BABA240119C00285000?p=BABA240119C00285000" xr:uid="{DACC35F7-37C6-41FE-A7EB-AF81959A1C86}"/>
    <hyperlink ref="C48" r:id="rId94" display="https://finance.yahoo.com/quote/BABA/options?strike=285&amp;straddle=false" xr:uid="{33E8BFAF-6F47-4AE9-90C1-0271BB327C98}"/>
    <hyperlink ref="A49" r:id="rId95" display="https://finance.yahoo.com/quote/BABA240119C00290000?p=BABA240119C00290000" xr:uid="{48335192-2623-4D25-92F2-2B460D8916AE}"/>
    <hyperlink ref="C49" r:id="rId96" display="https://finance.yahoo.com/quote/BABA/options?strike=290&amp;straddle=false" xr:uid="{3E9A798E-DC46-406B-AC7C-C9184628D05D}"/>
    <hyperlink ref="A50" r:id="rId97" display="https://finance.yahoo.com/quote/BABA240119C00295000?p=BABA240119C00295000" xr:uid="{09BF3A73-7DD5-4354-BA5A-E05312ADDC21}"/>
    <hyperlink ref="C50" r:id="rId98" display="https://finance.yahoo.com/quote/BABA/options?strike=295&amp;straddle=false" xr:uid="{63625CE3-A970-43FF-84BD-BAFFAF649490}"/>
    <hyperlink ref="A51" r:id="rId99" display="https://finance.yahoo.com/quote/BABA240119C00300000?p=BABA240119C00300000" xr:uid="{1F8218ED-5285-457A-BA46-E493AE588C67}"/>
    <hyperlink ref="C51" r:id="rId100" display="https://finance.yahoo.com/quote/BABA/options?strike=300&amp;straddle=false" xr:uid="{EFA61B13-2E3C-497A-A3E1-EFA98BA8751B}"/>
    <hyperlink ref="A52" r:id="rId101" display="https://finance.yahoo.com/quote/BABA240119C00305000?p=BABA240119C00305000" xr:uid="{CD2F7C6B-B825-4D70-A011-517DFFE66D58}"/>
    <hyperlink ref="C52" r:id="rId102" display="https://finance.yahoo.com/quote/BABA/options?strike=305&amp;straddle=false" xr:uid="{B2AF5C3F-D51B-4963-9967-CFA3FC705CDD}"/>
    <hyperlink ref="A53" r:id="rId103" display="https://finance.yahoo.com/quote/BABA240119C00310000?p=BABA240119C00310000" xr:uid="{9A973725-E083-4A37-A58C-999C402D157A}"/>
    <hyperlink ref="C53" r:id="rId104" display="https://finance.yahoo.com/quote/BABA/options?strike=310&amp;straddle=false" xr:uid="{1AD53AAA-68A9-4C3E-AF76-5BE130B51652}"/>
  </hyperlinks>
  <pageMargins left="0.7" right="0.7" top="0.75" bottom="0.75" header="0.3" footer="0.3"/>
  <drawing r:id="rId10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546EF-8E5C-42E9-BE2A-E2CBEFFB32C3}">
  <sheetPr codeName="Foglio8"/>
  <dimension ref="B2:AB100"/>
  <sheetViews>
    <sheetView topLeftCell="J1" workbookViewId="0">
      <selection activeCell="T2" sqref="T2"/>
    </sheetView>
  </sheetViews>
  <sheetFormatPr defaultRowHeight="14.4" x14ac:dyDescent="0.3"/>
  <sheetData>
    <row r="2" spans="2:28" ht="15" thickBot="1" x14ac:dyDescent="0.35">
      <c r="C2">
        <f>1/12</f>
        <v>8.3333333333333329E-2</v>
      </c>
      <c r="D2">
        <f>3/12</f>
        <v>0.25</v>
      </c>
      <c r="E2">
        <f>6/12</f>
        <v>0.5</v>
      </c>
      <c r="F2" s="12">
        <f>9/12</f>
        <v>0.75</v>
      </c>
      <c r="G2" s="12">
        <f>12/12</f>
        <v>1</v>
      </c>
      <c r="H2">
        <f>24/12</f>
        <v>2</v>
      </c>
      <c r="M2">
        <f>1/12</f>
        <v>8.3333333333333329E-2</v>
      </c>
      <c r="N2">
        <f>3/12</f>
        <v>0.25</v>
      </c>
      <c r="O2">
        <f>6/12</f>
        <v>0.5</v>
      </c>
      <c r="P2" s="12">
        <f>9/12</f>
        <v>0.75</v>
      </c>
      <c r="Q2" s="12">
        <f>12/12</f>
        <v>1</v>
      </c>
      <c r="R2">
        <f>24/12</f>
        <v>2</v>
      </c>
      <c r="W2">
        <f>1/12</f>
        <v>8.3333333333333329E-2</v>
      </c>
      <c r="X2">
        <f>3/12</f>
        <v>0.25</v>
      </c>
      <c r="Y2">
        <f>6/12</f>
        <v>0.5</v>
      </c>
      <c r="Z2" s="12">
        <f>9/12</f>
        <v>0.75</v>
      </c>
      <c r="AA2" s="12">
        <f>12/12</f>
        <v>1</v>
      </c>
      <c r="AB2">
        <f>24/12</f>
        <v>2</v>
      </c>
    </row>
    <row r="3" spans="2:28" ht="15" thickBot="1" x14ac:dyDescent="0.35">
      <c r="B3" s="18">
        <v>20</v>
      </c>
      <c r="F3" s="26">
        <v>1.2870999999999999</v>
      </c>
      <c r="G3" s="12"/>
      <c r="L3" s="18">
        <v>40</v>
      </c>
      <c r="N3" s="26">
        <v>0.99119999999999997</v>
      </c>
      <c r="O3" s="26">
        <v>1.0183</v>
      </c>
      <c r="P3" s="26">
        <v>0.84719999999999995</v>
      </c>
      <c r="Q3" s="26">
        <v>0.78779999999999994</v>
      </c>
      <c r="R3" s="26">
        <v>0.74099999999999999</v>
      </c>
      <c r="V3" s="18">
        <v>70</v>
      </c>
      <c r="W3" s="33">
        <v>0.91800000000000004</v>
      </c>
      <c r="X3" s="26">
        <v>0.71660000000000001</v>
      </c>
      <c r="Y3" s="26">
        <v>0.70530000000000004</v>
      </c>
      <c r="Z3" s="26">
        <v>0.65659999999999996</v>
      </c>
      <c r="AA3" s="26">
        <v>0.62970000000000004</v>
      </c>
      <c r="AB3" s="26">
        <v>0.61909999999999998</v>
      </c>
    </row>
    <row r="4" spans="2:28" ht="15" thickBot="1" x14ac:dyDescent="0.35">
      <c r="B4" s="18">
        <v>25</v>
      </c>
      <c r="E4" s="26">
        <v>1.3267</v>
      </c>
      <c r="F4" s="26">
        <v>1.0645</v>
      </c>
      <c r="G4" s="12"/>
      <c r="L4" s="18">
        <v>45</v>
      </c>
      <c r="M4" s="33">
        <v>1.5995999999999999</v>
      </c>
      <c r="N4" s="26">
        <v>0.86040000000000005</v>
      </c>
      <c r="P4" s="26">
        <v>0.79969999999999997</v>
      </c>
      <c r="R4" s="26">
        <v>0.70089999999999997</v>
      </c>
      <c r="V4" s="18">
        <v>75</v>
      </c>
      <c r="W4" s="33">
        <v>0.89059999999999995</v>
      </c>
      <c r="X4" s="26">
        <v>0.65700000000000003</v>
      </c>
      <c r="Y4" s="26">
        <v>0.6774</v>
      </c>
      <c r="Z4" s="26">
        <v>0.63380000000000003</v>
      </c>
      <c r="AA4" s="26">
        <v>0.61519999999999997</v>
      </c>
      <c r="AB4" s="26">
        <v>0.60629999999999995</v>
      </c>
    </row>
    <row r="5" spans="2:28" ht="15" thickBot="1" x14ac:dyDescent="0.35">
      <c r="B5" s="18">
        <v>30</v>
      </c>
      <c r="E5" s="26">
        <v>1.252</v>
      </c>
      <c r="F5" s="26">
        <v>1.0081</v>
      </c>
      <c r="L5" s="18">
        <v>50</v>
      </c>
      <c r="N5" s="26">
        <v>0.85109999999999997</v>
      </c>
      <c r="P5" s="26">
        <v>0.77310000000000001</v>
      </c>
      <c r="Q5" s="26">
        <v>0.70799999999999996</v>
      </c>
      <c r="R5" s="26">
        <v>0.69769999999999999</v>
      </c>
      <c r="V5" s="18">
        <v>80</v>
      </c>
      <c r="W5" s="33">
        <v>0.80759999999999998</v>
      </c>
      <c r="X5" s="26">
        <v>0.65659999999999996</v>
      </c>
      <c r="Y5" s="26">
        <v>0.6613</v>
      </c>
      <c r="Z5" s="26">
        <v>0.61350000000000005</v>
      </c>
      <c r="AA5" s="26">
        <v>0.59630000000000005</v>
      </c>
      <c r="AB5" s="26">
        <v>0.59650000000000003</v>
      </c>
    </row>
    <row r="6" spans="2:28" ht="15" thickBot="1" x14ac:dyDescent="0.35">
      <c r="B6" s="18">
        <v>35</v>
      </c>
      <c r="E6" s="26">
        <v>1.0981000000000001</v>
      </c>
      <c r="F6" s="26">
        <v>0.94140000000000001</v>
      </c>
      <c r="L6" s="18">
        <v>55</v>
      </c>
      <c r="M6" s="33">
        <v>1.2070000000000001</v>
      </c>
      <c r="N6" s="26">
        <v>0.74409999999999998</v>
      </c>
      <c r="P6" s="26">
        <v>0.74450000000000005</v>
      </c>
      <c r="Q6" s="26">
        <v>0.68630000000000002</v>
      </c>
      <c r="R6" s="26">
        <v>0.66610000000000003</v>
      </c>
      <c r="V6" s="18">
        <v>85</v>
      </c>
      <c r="W6" s="33">
        <v>0.73409999999999997</v>
      </c>
      <c r="X6" s="26">
        <v>0.62670000000000003</v>
      </c>
      <c r="Y6" s="26">
        <v>0.64359999999999995</v>
      </c>
      <c r="Z6" s="26">
        <v>0.61260000000000003</v>
      </c>
      <c r="AA6" s="26">
        <v>0.59219999999999995</v>
      </c>
      <c r="AB6" s="26">
        <v>0.5806</v>
      </c>
    </row>
    <row r="7" spans="2:28" ht="15" thickBot="1" x14ac:dyDescent="0.35">
      <c r="B7" s="18">
        <v>40</v>
      </c>
      <c r="D7" s="26">
        <v>0.99119999999999997</v>
      </c>
      <c r="E7" s="26">
        <v>1.0183</v>
      </c>
      <c r="F7" s="26">
        <v>0.84719999999999995</v>
      </c>
      <c r="G7" s="26">
        <v>0.78779999999999994</v>
      </c>
      <c r="H7" s="26">
        <v>0.74099999999999999</v>
      </c>
      <c r="L7" s="35">
        <v>60</v>
      </c>
      <c r="N7" s="38">
        <v>0.74950000000000006</v>
      </c>
      <c r="P7" s="26">
        <v>0.69930000000000003</v>
      </c>
      <c r="Q7" s="26">
        <v>0.66110000000000002</v>
      </c>
      <c r="R7" s="26">
        <v>0.6532</v>
      </c>
      <c r="V7" s="18">
        <v>90</v>
      </c>
      <c r="W7" s="33">
        <v>0.70750000000000002</v>
      </c>
      <c r="X7" s="26">
        <v>0.61429999999999996</v>
      </c>
      <c r="Y7" s="26">
        <v>0.61660000000000004</v>
      </c>
      <c r="Z7" s="26">
        <v>0.59419999999999995</v>
      </c>
      <c r="AA7" s="26">
        <v>0.57930000000000004</v>
      </c>
      <c r="AB7" s="26">
        <v>0.57250000000000001</v>
      </c>
    </row>
    <row r="8" spans="2:28" ht="15" thickBot="1" x14ac:dyDescent="0.35">
      <c r="B8" s="18">
        <v>45</v>
      </c>
      <c r="C8" s="33">
        <v>1.5995999999999999</v>
      </c>
      <c r="D8" s="26">
        <v>0.86040000000000005</v>
      </c>
      <c r="F8" s="26">
        <v>0.79969999999999997</v>
      </c>
      <c r="H8" s="26">
        <v>0.70089999999999997</v>
      </c>
      <c r="L8" s="18">
        <v>65</v>
      </c>
      <c r="N8" s="26">
        <v>0.73099999999999998</v>
      </c>
      <c r="O8" s="26">
        <v>0.74109999999999998</v>
      </c>
      <c r="P8" s="26">
        <v>0.68559999999999999</v>
      </c>
      <c r="Q8" s="26">
        <v>0.65049999999999997</v>
      </c>
      <c r="R8" s="26">
        <v>0.63070000000000004</v>
      </c>
      <c r="V8" s="18">
        <v>95</v>
      </c>
      <c r="W8" s="33">
        <v>0.70650000000000002</v>
      </c>
      <c r="X8" s="26">
        <v>0.58950000000000002</v>
      </c>
      <c r="Y8" s="26">
        <v>0.6069</v>
      </c>
      <c r="Z8" s="26">
        <v>0.57769999999999999</v>
      </c>
      <c r="AA8" s="26">
        <v>0.57599999999999996</v>
      </c>
      <c r="AB8" s="26">
        <v>0.57589999999999997</v>
      </c>
    </row>
    <row r="9" spans="2:28" ht="15" thickBot="1" x14ac:dyDescent="0.35">
      <c r="B9" s="18">
        <v>50</v>
      </c>
      <c r="D9" s="26">
        <v>0.85109999999999997</v>
      </c>
      <c r="F9" s="26">
        <v>0.77310000000000001</v>
      </c>
      <c r="G9" s="26">
        <v>0.70799999999999996</v>
      </c>
      <c r="H9" s="26">
        <v>0.69769999999999999</v>
      </c>
      <c r="K9" s="35"/>
      <c r="L9" s="18">
        <v>70</v>
      </c>
      <c r="M9" s="33">
        <v>0.91800000000000004</v>
      </c>
      <c r="N9" s="26">
        <v>0.71660000000000001</v>
      </c>
      <c r="O9" s="26">
        <v>0.70530000000000004</v>
      </c>
      <c r="P9" s="26">
        <v>0.65659999999999996</v>
      </c>
      <c r="Q9" s="26">
        <v>0.62970000000000004</v>
      </c>
      <c r="R9" s="26">
        <v>0.61909999999999998</v>
      </c>
      <c r="V9" s="18">
        <v>100</v>
      </c>
      <c r="W9" s="33">
        <v>0.63549999999999995</v>
      </c>
      <c r="X9" s="26">
        <v>0.57850000000000001</v>
      </c>
      <c r="Y9" s="38">
        <v>0.59630000000000005</v>
      </c>
      <c r="Z9" s="26">
        <v>0.56840000000000002</v>
      </c>
      <c r="AA9" s="26">
        <v>0.55710000000000004</v>
      </c>
      <c r="AB9" s="26">
        <v>0.56030000000000002</v>
      </c>
    </row>
    <row r="10" spans="2:28" ht="15" thickBot="1" x14ac:dyDescent="0.35">
      <c r="B10" s="18">
        <v>55</v>
      </c>
      <c r="C10" s="33">
        <v>1.2070000000000001</v>
      </c>
      <c r="D10" s="26">
        <v>0.74409999999999998</v>
      </c>
      <c r="F10" s="26">
        <v>0.74450000000000005</v>
      </c>
      <c r="G10" s="26">
        <v>0.68630000000000002</v>
      </c>
      <c r="H10" s="26">
        <v>0.66610000000000003</v>
      </c>
      <c r="K10" s="35"/>
      <c r="L10" s="18">
        <v>75</v>
      </c>
      <c r="M10" s="33">
        <v>0.89059999999999995</v>
      </c>
      <c r="N10" s="26">
        <v>0.65700000000000003</v>
      </c>
      <c r="O10" s="26">
        <v>0.6774</v>
      </c>
      <c r="P10" s="26">
        <v>0.63380000000000003</v>
      </c>
      <c r="Q10" s="26">
        <v>0.61519999999999997</v>
      </c>
      <c r="R10" s="26">
        <v>0.60629999999999995</v>
      </c>
      <c r="V10" s="18">
        <v>105</v>
      </c>
      <c r="W10" s="33">
        <v>0.626</v>
      </c>
      <c r="X10" s="26">
        <v>0.56999999999999995</v>
      </c>
      <c r="Y10" s="26">
        <v>0.57410000000000005</v>
      </c>
      <c r="Z10" s="26">
        <v>0.56459999999999999</v>
      </c>
      <c r="AA10" s="26">
        <v>0.56140000000000001</v>
      </c>
      <c r="AB10" s="26">
        <v>0.55659999999999998</v>
      </c>
    </row>
    <row r="11" spans="2:28" ht="15" thickBot="1" x14ac:dyDescent="0.35">
      <c r="B11" s="35">
        <v>60</v>
      </c>
      <c r="D11" s="38">
        <v>0.74950000000000006</v>
      </c>
      <c r="F11" s="26">
        <v>0.69930000000000003</v>
      </c>
      <c r="G11" s="26">
        <v>0.66110000000000002</v>
      </c>
      <c r="H11" s="26">
        <v>0.6532</v>
      </c>
      <c r="K11" s="35"/>
      <c r="L11" s="18">
        <v>80</v>
      </c>
      <c r="M11" s="33">
        <v>0.80759999999999998</v>
      </c>
      <c r="N11" s="26">
        <v>0.65659999999999996</v>
      </c>
      <c r="O11" s="26">
        <v>0.6613</v>
      </c>
      <c r="P11" s="26">
        <v>0.61350000000000005</v>
      </c>
      <c r="Q11" s="26">
        <v>0.59630000000000005</v>
      </c>
      <c r="R11" s="26">
        <v>0.59650000000000003</v>
      </c>
      <c r="V11" s="18">
        <v>110</v>
      </c>
      <c r="W11" s="33">
        <v>0.6069</v>
      </c>
      <c r="X11" s="26">
        <v>0.56140000000000001</v>
      </c>
      <c r="Y11" s="26">
        <v>0.57740000000000002</v>
      </c>
      <c r="Z11" s="26">
        <v>0.55879999999999996</v>
      </c>
      <c r="AA11" s="26">
        <v>0.54349999999999998</v>
      </c>
      <c r="AB11" s="26">
        <v>0.55079999999999996</v>
      </c>
    </row>
    <row r="12" spans="2:28" ht="15" thickBot="1" x14ac:dyDescent="0.35">
      <c r="B12" s="18">
        <v>65</v>
      </c>
      <c r="D12" s="26">
        <v>0.73099999999999998</v>
      </c>
      <c r="E12" s="26">
        <v>0.74109999999999998</v>
      </c>
      <c r="F12" s="26">
        <v>0.68559999999999999</v>
      </c>
      <c r="G12" s="26">
        <v>0.65049999999999997</v>
      </c>
      <c r="H12" s="26">
        <v>0.63070000000000004</v>
      </c>
      <c r="K12" s="35"/>
      <c r="L12" s="18">
        <v>85</v>
      </c>
      <c r="M12" s="33">
        <v>0.73409999999999997</v>
      </c>
      <c r="N12" s="26">
        <v>0.62670000000000003</v>
      </c>
      <c r="O12" s="26">
        <v>0.64359999999999995</v>
      </c>
      <c r="P12" s="26">
        <v>0.61260000000000003</v>
      </c>
      <c r="Q12" s="26">
        <v>0.59219999999999995</v>
      </c>
      <c r="R12" s="26">
        <v>0.5806</v>
      </c>
      <c r="V12" s="18">
        <v>115</v>
      </c>
      <c r="W12" s="33">
        <v>0.59330000000000005</v>
      </c>
      <c r="X12" s="26">
        <v>0.56299999999999994</v>
      </c>
      <c r="Y12" s="26">
        <v>0.5645</v>
      </c>
      <c r="Z12" s="26">
        <v>0.54990000000000006</v>
      </c>
      <c r="AA12" s="26">
        <v>0.54590000000000005</v>
      </c>
      <c r="AB12" s="26">
        <v>0.54139999999999999</v>
      </c>
    </row>
    <row r="13" spans="2:28" ht="15" thickBot="1" x14ac:dyDescent="0.35">
      <c r="B13" s="18">
        <v>70</v>
      </c>
      <c r="C13" s="33">
        <v>0.91800000000000004</v>
      </c>
      <c r="D13" s="26">
        <v>0.71660000000000001</v>
      </c>
      <c r="E13" s="26">
        <v>0.70530000000000004</v>
      </c>
      <c r="F13" s="26">
        <v>0.65659999999999996</v>
      </c>
      <c r="G13" s="26">
        <v>0.62970000000000004</v>
      </c>
      <c r="H13" s="26">
        <v>0.61909999999999998</v>
      </c>
      <c r="K13" s="35"/>
      <c r="L13" s="18">
        <v>90</v>
      </c>
      <c r="M13" s="33">
        <v>0.70750000000000002</v>
      </c>
      <c r="N13" s="26">
        <v>0.61429999999999996</v>
      </c>
      <c r="O13" s="26">
        <v>0.61660000000000004</v>
      </c>
      <c r="P13" s="26">
        <v>0.59419999999999995</v>
      </c>
      <c r="Q13" s="26">
        <v>0.57930000000000004</v>
      </c>
      <c r="R13" s="26">
        <v>0.57250000000000001</v>
      </c>
      <c r="V13" s="18">
        <v>120</v>
      </c>
      <c r="W13" s="33">
        <v>0.60099999999999998</v>
      </c>
      <c r="X13" s="26">
        <v>0.55679999999999996</v>
      </c>
      <c r="Y13" s="26">
        <v>0.56240000000000001</v>
      </c>
      <c r="Z13" s="26">
        <v>0.54410000000000003</v>
      </c>
      <c r="AA13" s="26">
        <v>0.54769999999999996</v>
      </c>
      <c r="AB13" s="26">
        <v>0.54059999999999997</v>
      </c>
    </row>
    <row r="14" spans="2:28" ht="15" thickBot="1" x14ac:dyDescent="0.35">
      <c r="B14" s="18">
        <v>75</v>
      </c>
      <c r="C14" s="33">
        <v>0.89059999999999995</v>
      </c>
      <c r="D14" s="26">
        <v>0.65700000000000003</v>
      </c>
      <c r="E14" s="26">
        <v>0.6774</v>
      </c>
      <c r="F14" s="26">
        <v>0.63380000000000003</v>
      </c>
      <c r="G14" s="26">
        <v>0.61519999999999997</v>
      </c>
      <c r="H14" s="26">
        <v>0.60629999999999995</v>
      </c>
      <c r="K14" s="35"/>
      <c r="L14" s="18">
        <v>95</v>
      </c>
      <c r="M14" s="33">
        <v>0.70650000000000002</v>
      </c>
      <c r="N14" s="26">
        <v>0.58950000000000002</v>
      </c>
      <c r="O14" s="26">
        <v>0.6069</v>
      </c>
      <c r="P14" s="26">
        <v>0.57769999999999999</v>
      </c>
      <c r="Q14" s="26">
        <v>0.57599999999999996</v>
      </c>
      <c r="R14" s="26">
        <v>0.57589999999999997</v>
      </c>
      <c r="V14" s="18">
        <v>125</v>
      </c>
      <c r="W14" s="33">
        <v>0.59119999999999995</v>
      </c>
      <c r="X14" s="26">
        <v>0.55840000000000001</v>
      </c>
      <c r="Y14" s="38">
        <v>0.55289999999999995</v>
      </c>
      <c r="Z14" s="26">
        <v>0.54020000000000001</v>
      </c>
      <c r="AA14" s="26">
        <v>0.53110000000000002</v>
      </c>
      <c r="AB14" s="26">
        <v>0.53239999999999998</v>
      </c>
    </row>
    <row r="15" spans="2:28" ht="15" thickBot="1" x14ac:dyDescent="0.35">
      <c r="B15" s="18">
        <v>80</v>
      </c>
      <c r="C15" s="33">
        <v>0.80759999999999998</v>
      </c>
      <c r="D15" s="26">
        <v>0.65659999999999996</v>
      </c>
      <c r="E15" s="26">
        <v>0.6613</v>
      </c>
      <c r="F15" s="26">
        <v>0.61350000000000005</v>
      </c>
      <c r="G15" s="26">
        <v>0.59630000000000005</v>
      </c>
      <c r="H15" s="26">
        <v>0.59650000000000003</v>
      </c>
      <c r="K15" s="35"/>
      <c r="L15" s="18">
        <v>100</v>
      </c>
      <c r="M15" s="33">
        <v>0.63549999999999995</v>
      </c>
      <c r="N15" s="26">
        <v>0.57850000000000001</v>
      </c>
      <c r="O15" s="38">
        <v>0.59630000000000005</v>
      </c>
      <c r="P15" s="26">
        <v>0.56840000000000002</v>
      </c>
      <c r="Q15" s="26">
        <v>0.55710000000000004</v>
      </c>
      <c r="R15" s="26">
        <v>0.56030000000000002</v>
      </c>
      <c r="V15" s="18">
        <v>130</v>
      </c>
      <c r="W15" s="33">
        <v>0.59809999999999997</v>
      </c>
      <c r="X15" s="26">
        <v>0.55179999999999996</v>
      </c>
      <c r="Y15" s="26">
        <v>0.54669999999999996</v>
      </c>
      <c r="Z15" s="26">
        <v>0.53590000000000004</v>
      </c>
      <c r="AA15" s="26">
        <v>0.51780000000000004</v>
      </c>
      <c r="AB15" s="26">
        <v>0.53269999999999995</v>
      </c>
    </row>
    <row r="16" spans="2:28" ht="15" thickBot="1" x14ac:dyDescent="0.35">
      <c r="B16" s="18">
        <v>85</v>
      </c>
      <c r="C16" s="33">
        <v>0.73409999999999997</v>
      </c>
      <c r="D16" s="26">
        <v>0.62670000000000003</v>
      </c>
      <c r="E16" s="26">
        <v>0.64359999999999995</v>
      </c>
      <c r="F16" s="26">
        <v>0.61260000000000003</v>
      </c>
      <c r="G16" s="26">
        <v>0.59219999999999995</v>
      </c>
      <c r="H16" s="26">
        <v>0.5806</v>
      </c>
      <c r="K16" s="35"/>
      <c r="L16" s="18">
        <v>105</v>
      </c>
      <c r="M16" s="33">
        <v>0.626</v>
      </c>
      <c r="N16" s="26">
        <v>0.56999999999999995</v>
      </c>
      <c r="O16" s="26">
        <v>0.57410000000000005</v>
      </c>
      <c r="P16" s="26">
        <v>0.56459999999999999</v>
      </c>
      <c r="Q16" s="26">
        <v>0.56140000000000001</v>
      </c>
      <c r="R16" s="26">
        <v>0.55659999999999998</v>
      </c>
      <c r="V16" s="18">
        <v>135</v>
      </c>
      <c r="W16" s="33">
        <v>0.62549999999999994</v>
      </c>
      <c r="X16" s="26">
        <v>0.55120000000000002</v>
      </c>
      <c r="Y16" s="26">
        <v>0.54800000000000004</v>
      </c>
      <c r="Z16" s="26">
        <v>0.53120000000000001</v>
      </c>
      <c r="AA16" s="26">
        <v>0.51290000000000002</v>
      </c>
      <c r="AB16" s="26">
        <v>0.52790000000000004</v>
      </c>
    </row>
    <row r="17" spans="2:28" ht="15" thickBot="1" x14ac:dyDescent="0.35">
      <c r="B17" s="18">
        <v>90</v>
      </c>
      <c r="C17" s="33">
        <v>0.70750000000000002</v>
      </c>
      <c r="D17" s="26">
        <v>0.61429999999999996</v>
      </c>
      <c r="E17" s="26">
        <v>0.61660000000000004</v>
      </c>
      <c r="F17" s="26">
        <v>0.59419999999999995</v>
      </c>
      <c r="G17" s="26">
        <v>0.57930000000000004</v>
      </c>
      <c r="H17" s="26">
        <v>0.57250000000000001</v>
      </c>
      <c r="K17" s="35"/>
      <c r="L17" s="18">
        <v>110</v>
      </c>
      <c r="M17" s="33">
        <v>0.6069</v>
      </c>
      <c r="N17" s="26">
        <v>0.56140000000000001</v>
      </c>
      <c r="O17" s="26">
        <v>0.57740000000000002</v>
      </c>
      <c r="P17" s="26">
        <v>0.55879999999999996</v>
      </c>
      <c r="Q17" s="26">
        <v>0.54349999999999998</v>
      </c>
      <c r="R17" s="26">
        <v>0.55079999999999996</v>
      </c>
      <c r="V17" s="18">
        <v>140</v>
      </c>
      <c r="W17" s="33">
        <v>0.61770000000000003</v>
      </c>
      <c r="X17" s="26">
        <v>0.55079999999999996</v>
      </c>
      <c r="Y17" s="26">
        <v>0.54459999999999997</v>
      </c>
      <c r="Z17" s="26">
        <v>0.5272</v>
      </c>
      <c r="AA17" s="26">
        <v>0.51239999999999997</v>
      </c>
      <c r="AB17" s="26">
        <v>0.52390000000000003</v>
      </c>
    </row>
    <row r="18" spans="2:28" ht="15" thickBot="1" x14ac:dyDescent="0.35">
      <c r="B18" s="18">
        <v>95</v>
      </c>
      <c r="C18" s="33">
        <v>0.70650000000000002</v>
      </c>
      <c r="D18" s="26">
        <v>0.58950000000000002</v>
      </c>
      <c r="E18" s="26">
        <v>0.6069</v>
      </c>
      <c r="F18" s="26">
        <v>0.57769999999999999</v>
      </c>
      <c r="G18" s="26">
        <v>0.57599999999999996</v>
      </c>
      <c r="H18" s="26">
        <v>0.57589999999999997</v>
      </c>
      <c r="K18" s="35"/>
      <c r="L18" s="18">
        <v>115</v>
      </c>
      <c r="M18" s="33">
        <v>0.59330000000000005</v>
      </c>
      <c r="N18" s="26">
        <v>0.56299999999999994</v>
      </c>
      <c r="O18" s="26">
        <v>0.5645</v>
      </c>
      <c r="P18" s="26">
        <v>0.54990000000000006</v>
      </c>
      <c r="Q18" s="26">
        <v>0.54590000000000005</v>
      </c>
      <c r="R18" s="26">
        <v>0.54139999999999999</v>
      </c>
      <c r="V18" s="18">
        <v>145</v>
      </c>
      <c r="W18" s="33">
        <v>0.63770000000000004</v>
      </c>
      <c r="X18" s="26">
        <v>0.55120000000000002</v>
      </c>
      <c r="Y18" s="26">
        <v>0.54</v>
      </c>
      <c r="Z18" s="26">
        <v>0.5242</v>
      </c>
      <c r="AA18" s="26">
        <v>0.51629999999999998</v>
      </c>
      <c r="AB18" s="26">
        <v>0.52080000000000004</v>
      </c>
    </row>
    <row r="19" spans="2:28" ht="15" thickBot="1" x14ac:dyDescent="0.35">
      <c r="B19" s="18">
        <v>99</v>
      </c>
      <c r="C19" s="33">
        <v>0.64829999999999999</v>
      </c>
      <c r="K19" s="35"/>
      <c r="L19" s="18">
        <v>120</v>
      </c>
      <c r="M19" s="33">
        <v>0.60099999999999998</v>
      </c>
      <c r="N19" s="26">
        <v>0.55679999999999996</v>
      </c>
      <c r="O19" s="26">
        <v>0.56240000000000001</v>
      </c>
      <c r="P19" s="26">
        <v>0.54410000000000003</v>
      </c>
      <c r="Q19" s="26">
        <v>0.54769999999999996</v>
      </c>
      <c r="R19" s="26">
        <v>0.54059999999999997</v>
      </c>
      <c r="V19" s="18">
        <v>150</v>
      </c>
      <c r="W19" s="33">
        <v>0.63480000000000003</v>
      </c>
      <c r="X19" s="26">
        <v>0.55369999999999997</v>
      </c>
      <c r="Y19" s="26">
        <v>0.53769999999999996</v>
      </c>
      <c r="Z19" s="26">
        <v>0.52100000000000002</v>
      </c>
      <c r="AA19" s="26">
        <v>0.51200000000000001</v>
      </c>
      <c r="AB19" s="26">
        <v>0.51980000000000004</v>
      </c>
    </row>
    <row r="20" spans="2:28" ht="15" thickBot="1" x14ac:dyDescent="0.35">
      <c r="B20" s="18">
        <v>100</v>
      </c>
      <c r="C20" s="33">
        <v>0.63549999999999995</v>
      </c>
      <c r="D20" s="26">
        <v>0.57850000000000001</v>
      </c>
      <c r="E20" s="38">
        <v>0.59630000000000005</v>
      </c>
      <c r="F20" s="26">
        <v>0.56840000000000002</v>
      </c>
      <c r="G20" s="26">
        <v>0.55710000000000004</v>
      </c>
      <c r="H20" s="26">
        <v>0.56030000000000002</v>
      </c>
      <c r="K20" s="35"/>
      <c r="L20" s="18">
        <v>125</v>
      </c>
      <c r="M20" s="33">
        <v>0.59119999999999995</v>
      </c>
      <c r="N20" s="26">
        <v>0.55840000000000001</v>
      </c>
      <c r="O20" s="38">
        <v>0.55289999999999995</v>
      </c>
      <c r="P20" s="26">
        <v>0.54020000000000001</v>
      </c>
      <c r="Q20" s="26">
        <v>0.53110000000000002</v>
      </c>
      <c r="R20" s="26">
        <v>0.53239999999999998</v>
      </c>
      <c r="V20" s="18">
        <v>155</v>
      </c>
      <c r="W20" s="33">
        <v>0.63529999999999998</v>
      </c>
      <c r="X20" s="26">
        <v>0.55569999999999997</v>
      </c>
      <c r="Y20" s="26">
        <v>0.53649999999999998</v>
      </c>
      <c r="Z20" s="26">
        <v>0.51939999999999997</v>
      </c>
      <c r="AA20" s="26">
        <v>0.51249999999999996</v>
      </c>
      <c r="AB20" s="26">
        <v>0.51100000000000001</v>
      </c>
    </row>
    <row r="21" spans="2:28" ht="15" thickBot="1" x14ac:dyDescent="0.35">
      <c r="B21" s="18">
        <v>101</v>
      </c>
      <c r="C21" s="33">
        <v>0.63780000000000003</v>
      </c>
      <c r="E21" s="35"/>
      <c r="K21" s="35"/>
      <c r="L21" s="18">
        <v>130</v>
      </c>
      <c r="M21" s="33">
        <v>0.59809999999999997</v>
      </c>
      <c r="N21" s="26">
        <v>0.55179999999999996</v>
      </c>
      <c r="O21" s="26">
        <v>0.54669999999999996</v>
      </c>
      <c r="P21" s="26">
        <v>0.53590000000000004</v>
      </c>
      <c r="Q21" s="26">
        <v>0.51780000000000004</v>
      </c>
      <c r="R21" s="26">
        <v>0.53269999999999995</v>
      </c>
      <c r="V21" s="18">
        <v>160</v>
      </c>
      <c r="W21" s="33">
        <v>0.67479999999999996</v>
      </c>
      <c r="X21" s="26">
        <v>0.55930000000000002</v>
      </c>
      <c r="Y21" s="26">
        <v>0.53349999999999997</v>
      </c>
      <c r="Z21" s="26">
        <v>0.51739999999999997</v>
      </c>
      <c r="AA21" s="26">
        <v>0.50590000000000002</v>
      </c>
      <c r="AB21" s="26">
        <v>0.50890000000000002</v>
      </c>
    </row>
    <row r="22" spans="2:28" ht="15" thickBot="1" x14ac:dyDescent="0.35">
      <c r="B22" s="18">
        <v>102</v>
      </c>
      <c r="C22" s="33">
        <v>0.63839999999999997</v>
      </c>
      <c r="E22" s="35"/>
      <c r="K22" s="35"/>
      <c r="L22" s="18">
        <v>135</v>
      </c>
      <c r="M22" s="33">
        <v>0.62549999999999994</v>
      </c>
      <c r="N22" s="26">
        <v>0.55120000000000002</v>
      </c>
      <c r="O22" s="26">
        <v>0.54800000000000004</v>
      </c>
      <c r="P22" s="26">
        <v>0.53120000000000001</v>
      </c>
      <c r="Q22" s="26">
        <v>0.51290000000000002</v>
      </c>
      <c r="R22" s="26">
        <v>0.52790000000000004</v>
      </c>
      <c r="V22" s="18">
        <v>165</v>
      </c>
      <c r="W22" s="33">
        <v>0.6885</v>
      </c>
      <c r="X22" s="26">
        <v>0.5625</v>
      </c>
      <c r="Y22" s="26">
        <v>0.53259999999999996</v>
      </c>
      <c r="Z22" s="26">
        <v>0.51529999999999998</v>
      </c>
      <c r="AA22" s="26">
        <v>0.51419999999999999</v>
      </c>
      <c r="AB22" s="26">
        <v>0.51029999999999998</v>
      </c>
    </row>
    <row r="23" spans="2:28" ht="15" thickBot="1" x14ac:dyDescent="0.35">
      <c r="B23" s="18">
        <v>103</v>
      </c>
      <c r="C23" s="33">
        <v>0.63719999999999999</v>
      </c>
      <c r="E23" s="35"/>
      <c r="K23" s="35"/>
      <c r="L23" s="18">
        <v>140</v>
      </c>
      <c r="M23" s="33">
        <v>0.61770000000000003</v>
      </c>
      <c r="N23" s="26">
        <v>0.55079999999999996</v>
      </c>
      <c r="O23" s="26">
        <v>0.54459999999999997</v>
      </c>
      <c r="P23" s="26">
        <v>0.5272</v>
      </c>
      <c r="Q23" s="26">
        <v>0.51239999999999997</v>
      </c>
      <c r="R23" s="26">
        <v>0.52390000000000003</v>
      </c>
      <c r="V23" s="18">
        <v>170</v>
      </c>
      <c r="W23" s="33">
        <v>0.70609999999999995</v>
      </c>
      <c r="X23" s="26">
        <v>0.56620000000000004</v>
      </c>
      <c r="Y23" s="26">
        <v>0.53280000000000005</v>
      </c>
      <c r="Z23" s="26">
        <v>0.50960000000000005</v>
      </c>
      <c r="AA23" s="26">
        <v>0.50529999999999997</v>
      </c>
      <c r="AB23" s="26">
        <v>0.50839999999999996</v>
      </c>
    </row>
    <row r="24" spans="2:28" ht="15" thickBot="1" x14ac:dyDescent="0.35">
      <c r="B24" s="18">
        <v>104</v>
      </c>
      <c r="C24" s="33">
        <v>0.62380000000000002</v>
      </c>
      <c r="E24" s="35"/>
      <c r="K24" s="35"/>
      <c r="L24" s="18">
        <v>145</v>
      </c>
      <c r="M24" s="33">
        <v>0.63770000000000004</v>
      </c>
      <c r="N24" s="26">
        <v>0.55120000000000002</v>
      </c>
      <c r="O24" s="26">
        <v>0.54</v>
      </c>
      <c r="P24" s="26">
        <v>0.5242</v>
      </c>
      <c r="Q24" s="26">
        <v>0.51629999999999998</v>
      </c>
      <c r="R24" s="26">
        <v>0.52080000000000004</v>
      </c>
      <c r="V24" s="18">
        <v>175</v>
      </c>
      <c r="W24" s="33">
        <v>0.71189999999999998</v>
      </c>
      <c r="X24" s="26">
        <v>0.5706</v>
      </c>
      <c r="Y24" s="26">
        <v>0.53280000000000005</v>
      </c>
      <c r="Z24" s="26">
        <v>0.51259999999999994</v>
      </c>
      <c r="AA24" s="26">
        <v>0.50319999999999998</v>
      </c>
      <c r="AB24" s="26">
        <v>0.50349999999999995</v>
      </c>
    </row>
    <row r="25" spans="2:28" ht="15" thickBot="1" x14ac:dyDescent="0.35">
      <c r="B25" s="18">
        <v>105</v>
      </c>
      <c r="C25" s="33">
        <v>0.626</v>
      </c>
      <c r="D25" s="26">
        <v>0.56999999999999995</v>
      </c>
      <c r="E25" s="26">
        <v>0.57410000000000005</v>
      </c>
      <c r="F25" s="26">
        <v>0.56459999999999999</v>
      </c>
      <c r="G25" s="26">
        <v>0.56140000000000001</v>
      </c>
      <c r="H25" s="26">
        <v>0.55659999999999998</v>
      </c>
      <c r="K25" s="35"/>
      <c r="L25" s="18">
        <v>150</v>
      </c>
      <c r="M25" s="33">
        <v>0.63480000000000003</v>
      </c>
      <c r="N25" s="26">
        <v>0.55369999999999997</v>
      </c>
      <c r="O25" s="26">
        <v>0.53769999999999996</v>
      </c>
      <c r="P25" s="26">
        <v>0.52100000000000002</v>
      </c>
      <c r="Q25" s="26">
        <v>0.51200000000000001</v>
      </c>
      <c r="R25" s="26">
        <v>0.51980000000000004</v>
      </c>
      <c r="V25" s="18">
        <v>180</v>
      </c>
      <c r="W25" s="33">
        <v>0.69730000000000003</v>
      </c>
      <c r="X25" s="26">
        <v>0.57809999999999995</v>
      </c>
      <c r="Y25" s="26">
        <v>0.53090000000000004</v>
      </c>
      <c r="Z25" s="26">
        <v>0.51170000000000004</v>
      </c>
      <c r="AA25" s="26">
        <v>0.51500000000000001</v>
      </c>
      <c r="AB25" s="26">
        <v>0.50339999999999996</v>
      </c>
    </row>
    <row r="26" spans="2:28" ht="15" thickBot="1" x14ac:dyDescent="0.35">
      <c r="B26" s="18">
        <v>107</v>
      </c>
      <c r="C26" s="33">
        <v>0.61729999999999996</v>
      </c>
      <c r="E26" s="36"/>
      <c r="K26" s="35"/>
      <c r="L26" s="18">
        <v>155</v>
      </c>
      <c r="M26" s="33">
        <v>0.63529999999999998</v>
      </c>
      <c r="N26" s="26">
        <v>0.55569999999999997</v>
      </c>
      <c r="O26" s="26">
        <v>0.53649999999999998</v>
      </c>
      <c r="P26" s="26">
        <v>0.51939999999999997</v>
      </c>
      <c r="Q26" s="26">
        <v>0.51249999999999996</v>
      </c>
      <c r="R26" s="26">
        <v>0.51100000000000001</v>
      </c>
      <c r="V26" s="18">
        <v>185</v>
      </c>
      <c r="W26" s="33">
        <v>0.752</v>
      </c>
      <c r="X26" s="26">
        <v>0.57669999999999999</v>
      </c>
      <c r="Y26" s="26">
        <v>0.53</v>
      </c>
      <c r="Z26" s="26">
        <v>0.51180000000000003</v>
      </c>
      <c r="AA26" s="26">
        <v>0.50970000000000004</v>
      </c>
      <c r="AB26" s="26">
        <v>0.50770000000000004</v>
      </c>
    </row>
    <row r="27" spans="2:28" ht="15" thickBot="1" x14ac:dyDescent="0.35">
      <c r="B27" s="18">
        <v>108</v>
      </c>
      <c r="C27" s="33">
        <v>0.61670000000000003</v>
      </c>
      <c r="E27" s="36"/>
      <c r="K27" s="35"/>
      <c r="L27" s="18">
        <v>160</v>
      </c>
      <c r="M27" s="33">
        <v>0.67479999999999996</v>
      </c>
      <c r="N27" s="26">
        <v>0.55930000000000002</v>
      </c>
      <c r="O27" s="26">
        <v>0.53349999999999997</v>
      </c>
      <c r="P27" s="26">
        <v>0.51739999999999997</v>
      </c>
      <c r="Q27" s="26">
        <v>0.50590000000000002</v>
      </c>
      <c r="R27" s="26">
        <v>0.50890000000000002</v>
      </c>
    </row>
    <row r="28" spans="2:28" ht="15" thickBot="1" x14ac:dyDescent="0.35">
      <c r="B28" s="18">
        <v>109</v>
      </c>
      <c r="C28" s="33">
        <v>0.60099999999999998</v>
      </c>
      <c r="E28" s="36"/>
      <c r="K28" s="35"/>
      <c r="L28" s="18">
        <v>165</v>
      </c>
      <c r="M28" s="33">
        <v>0.6885</v>
      </c>
      <c r="N28" s="26">
        <v>0.5625</v>
      </c>
      <c r="O28" s="26">
        <v>0.53259999999999996</v>
      </c>
      <c r="P28" s="26">
        <v>0.51529999999999998</v>
      </c>
      <c r="Q28" s="26">
        <v>0.51419999999999999</v>
      </c>
      <c r="R28" s="26">
        <v>0.51029999999999998</v>
      </c>
      <c r="V28" s="18"/>
      <c r="X28" s="26"/>
      <c r="Y28" s="26"/>
      <c r="Z28" s="26"/>
      <c r="AA28" s="26"/>
      <c r="AB28" s="26"/>
    </row>
    <row r="29" spans="2:28" ht="15" thickBot="1" x14ac:dyDescent="0.35">
      <c r="B29" s="18">
        <v>110</v>
      </c>
      <c r="C29" s="33">
        <v>0.6069</v>
      </c>
      <c r="D29" s="26">
        <v>0.56140000000000001</v>
      </c>
      <c r="E29" s="26">
        <v>0.57740000000000002</v>
      </c>
      <c r="F29" s="26">
        <v>0.55879999999999996</v>
      </c>
      <c r="G29" s="26">
        <v>0.54349999999999998</v>
      </c>
      <c r="H29" s="26">
        <v>0.55079999999999996</v>
      </c>
      <c r="K29" s="35"/>
      <c r="L29" s="18">
        <v>170</v>
      </c>
      <c r="M29" s="33">
        <v>0.70609999999999995</v>
      </c>
      <c r="N29" s="26">
        <v>0.56620000000000004</v>
      </c>
      <c r="O29" s="26">
        <v>0.53280000000000005</v>
      </c>
      <c r="P29" s="26">
        <v>0.50960000000000005</v>
      </c>
      <c r="Q29" s="26">
        <v>0.50529999999999997</v>
      </c>
      <c r="R29" s="26">
        <v>0.50839999999999996</v>
      </c>
      <c r="V29" s="18"/>
      <c r="X29" s="26"/>
      <c r="Y29" s="26"/>
      <c r="Z29" s="26"/>
      <c r="AA29" s="26"/>
      <c r="AB29" s="26"/>
    </row>
    <row r="30" spans="2:28" ht="15" thickBot="1" x14ac:dyDescent="0.35">
      <c r="B30" s="18">
        <v>111</v>
      </c>
      <c r="C30" s="33">
        <v>0.60189999999999999</v>
      </c>
      <c r="E30" s="36"/>
      <c r="K30" s="35"/>
      <c r="L30" s="18">
        <v>175</v>
      </c>
      <c r="M30" s="33">
        <v>0.71189999999999998</v>
      </c>
      <c r="N30" s="26">
        <v>0.5706</v>
      </c>
      <c r="O30" s="26">
        <v>0.53280000000000005</v>
      </c>
      <c r="P30" s="26">
        <v>0.51259999999999994</v>
      </c>
      <c r="Q30" s="26">
        <v>0.50319999999999998</v>
      </c>
      <c r="R30" s="26">
        <v>0.50349999999999995</v>
      </c>
      <c r="V30" s="18"/>
      <c r="X30" s="26"/>
      <c r="Y30" s="26"/>
      <c r="Z30" s="26"/>
      <c r="AA30" s="26"/>
      <c r="AB30" s="26"/>
    </row>
    <row r="31" spans="2:28" ht="15" thickBot="1" x14ac:dyDescent="0.35">
      <c r="B31" s="18">
        <v>112</v>
      </c>
      <c r="C31" s="33">
        <v>0.60489999999999999</v>
      </c>
      <c r="E31" s="36"/>
      <c r="K31" s="35"/>
      <c r="L31" s="18">
        <v>180</v>
      </c>
      <c r="M31" s="33">
        <v>0.69730000000000003</v>
      </c>
      <c r="N31" s="26">
        <v>0.57809999999999995</v>
      </c>
      <c r="O31" s="26">
        <v>0.53090000000000004</v>
      </c>
      <c r="P31" s="26">
        <v>0.51170000000000004</v>
      </c>
      <c r="Q31" s="26">
        <v>0.51500000000000001</v>
      </c>
      <c r="R31" s="26">
        <v>0.50339999999999996</v>
      </c>
    </row>
    <row r="32" spans="2:28" ht="15" thickBot="1" x14ac:dyDescent="0.35">
      <c r="B32" s="18">
        <v>113</v>
      </c>
      <c r="C32" s="33">
        <v>0.59860000000000002</v>
      </c>
      <c r="E32" s="36"/>
      <c r="K32" s="35"/>
      <c r="L32" s="18">
        <v>185</v>
      </c>
      <c r="M32" s="33">
        <v>0.752</v>
      </c>
      <c r="N32" s="26">
        <v>0.57669999999999999</v>
      </c>
      <c r="O32" s="26">
        <v>0.53</v>
      </c>
      <c r="P32" s="26">
        <v>0.51180000000000003</v>
      </c>
      <c r="Q32" s="26">
        <v>0.50970000000000004</v>
      </c>
      <c r="R32" s="26">
        <v>0.50770000000000004</v>
      </c>
    </row>
    <row r="33" spans="2:28" ht="15" thickBot="1" x14ac:dyDescent="0.35">
      <c r="B33" s="18">
        <v>114</v>
      </c>
      <c r="C33" s="33">
        <v>0.59670000000000001</v>
      </c>
      <c r="E33" s="36"/>
      <c r="K33" s="35"/>
      <c r="L33" s="18">
        <v>190</v>
      </c>
      <c r="N33" s="26">
        <v>0.59670000000000001</v>
      </c>
      <c r="O33" s="26">
        <v>0.53910000000000002</v>
      </c>
      <c r="P33" s="26">
        <v>0.51229999999999998</v>
      </c>
      <c r="Q33" s="26">
        <v>0.50590000000000002</v>
      </c>
      <c r="R33" s="26">
        <v>0.50690000000000002</v>
      </c>
    </row>
    <row r="34" spans="2:28" ht="15" thickBot="1" x14ac:dyDescent="0.35">
      <c r="B34" s="18">
        <v>115</v>
      </c>
      <c r="C34" s="33">
        <v>0.59330000000000005</v>
      </c>
      <c r="D34" s="26">
        <v>0.56299999999999994</v>
      </c>
      <c r="E34" s="26">
        <v>0.5645</v>
      </c>
      <c r="F34" s="26">
        <v>0.54990000000000006</v>
      </c>
      <c r="G34" s="26">
        <v>0.54590000000000005</v>
      </c>
      <c r="H34" s="26">
        <v>0.54139999999999999</v>
      </c>
      <c r="K34" s="35"/>
      <c r="L34" s="18">
        <v>195</v>
      </c>
      <c r="N34" s="26">
        <v>0.59379999999999999</v>
      </c>
      <c r="O34" s="26">
        <v>0.53459999999999996</v>
      </c>
      <c r="P34" s="26">
        <v>0.51180000000000003</v>
      </c>
      <c r="Q34" s="26">
        <v>0.50980000000000003</v>
      </c>
      <c r="R34" s="26">
        <v>0.50429999999999997</v>
      </c>
    </row>
    <row r="35" spans="2:28" ht="15" thickBot="1" x14ac:dyDescent="0.35">
      <c r="B35" s="18">
        <v>116</v>
      </c>
      <c r="C35" s="33">
        <v>0.59989999999999999</v>
      </c>
      <c r="E35" s="36"/>
      <c r="K35" s="35"/>
      <c r="L35" s="18">
        <v>200</v>
      </c>
      <c r="N35" s="26">
        <v>0.61329999999999996</v>
      </c>
      <c r="O35" s="26">
        <v>0.53739999999999999</v>
      </c>
      <c r="P35" s="26">
        <v>0.51229999999999998</v>
      </c>
      <c r="Q35" s="26">
        <v>0.50960000000000005</v>
      </c>
      <c r="R35" s="26">
        <v>0.50290000000000001</v>
      </c>
    </row>
    <row r="36" spans="2:28" ht="15" thickBot="1" x14ac:dyDescent="0.35">
      <c r="B36" s="18">
        <v>117</v>
      </c>
      <c r="C36" s="33">
        <v>0.59919999999999995</v>
      </c>
      <c r="E36" s="36"/>
      <c r="K36" s="35"/>
      <c r="L36" s="18">
        <v>205</v>
      </c>
      <c r="N36" s="26">
        <v>0.62209999999999999</v>
      </c>
      <c r="O36" s="26">
        <v>0.53520000000000001</v>
      </c>
      <c r="Q36" s="26">
        <v>0.50060000000000004</v>
      </c>
      <c r="V36" s="18"/>
      <c r="X36" s="26"/>
      <c r="Y36" s="26"/>
      <c r="AA36" s="26"/>
    </row>
    <row r="37" spans="2:28" ht="15" thickBot="1" x14ac:dyDescent="0.35">
      <c r="B37" s="18">
        <v>118</v>
      </c>
      <c r="C37" s="33">
        <v>0.60109999999999997</v>
      </c>
      <c r="E37" s="37"/>
      <c r="K37" s="35"/>
      <c r="L37" s="18">
        <v>210</v>
      </c>
      <c r="N37" s="26">
        <v>0.625</v>
      </c>
      <c r="O37" s="38">
        <v>0.53580000000000005</v>
      </c>
      <c r="P37" s="26">
        <v>0.51290000000000002</v>
      </c>
      <c r="Q37" s="26">
        <v>0.50280000000000002</v>
      </c>
      <c r="R37" s="26">
        <v>0.49990000000000001</v>
      </c>
      <c r="V37" s="18"/>
      <c r="X37" s="26"/>
      <c r="Y37" s="38"/>
      <c r="Z37" s="26"/>
      <c r="AA37" s="26"/>
      <c r="AB37" s="26"/>
    </row>
    <row r="38" spans="2:28" ht="15" thickBot="1" x14ac:dyDescent="0.35">
      <c r="B38" s="18">
        <v>119</v>
      </c>
      <c r="C38" s="33">
        <v>0.58789999999999998</v>
      </c>
      <c r="K38" s="35"/>
      <c r="L38" s="18">
        <v>215</v>
      </c>
      <c r="N38" s="26">
        <v>0.62790000000000001</v>
      </c>
      <c r="O38" s="26">
        <v>0.53779999999999994</v>
      </c>
      <c r="Q38" s="26">
        <v>0.50319999999999998</v>
      </c>
      <c r="V38" s="18"/>
      <c r="X38" s="26"/>
      <c r="Y38" s="26"/>
      <c r="AA38" s="26"/>
    </row>
    <row r="39" spans="2:28" ht="15" thickBot="1" x14ac:dyDescent="0.35">
      <c r="B39" s="18">
        <v>120</v>
      </c>
      <c r="C39" s="33">
        <v>0.60099999999999998</v>
      </c>
      <c r="D39" s="26">
        <v>0.55679999999999996</v>
      </c>
      <c r="E39" s="26">
        <v>0.56240000000000001</v>
      </c>
      <c r="F39" s="26">
        <v>0.54410000000000003</v>
      </c>
      <c r="G39" s="26">
        <v>0.54769999999999996</v>
      </c>
      <c r="H39" s="26">
        <v>0.54059999999999997</v>
      </c>
      <c r="K39" s="35"/>
      <c r="L39" s="18">
        <v>220</v>
      </c>
      <c r="N39" s="26">
        <v>0.6431</v>
      </c>
      <c r="O39" s="26">
        <v>0.53810000000000002</v>
      </c>
      <c r="P39" s="26">
        <v>0.51539999999999997</v>
      </c>
      <c r="Q39" s="26">
        <v>0.50680000000000003</v>
      </c>
      <c r="R39" s="26">
        <v>0.502</v>
      </c>
      <c r="V39" s="18"/>
      <c r="X39" s="26"/>
      <c r="Y39" s="26"/>
      <c r="Z39" s="26"/>
      <c r="AA39" s="26"/>
      <c r="AB39" s="26"/>
    </row>
    <row r="40" spans="2:28" ht="15" thickBot="1" x14ac:dyDescent="0.35">
      <c r="B40" s="18">
        <v>121</v>
      </c>
      <c r="C40" s="33">
        <v>0.59060000000000001</v>
      </c>
      <c r="K40" s="35"/>
      <c r="L40" s="18">
        <v>225</v>
      </c>
      <c r="N40" s="26">
        <v>0.65039999999999998</v>
      </c>
      <c r="O40" s="26">
        <v>0.54520000000000002</v>
      </c>
      <c r="Q40" s="26">
        <v>0.505</v>
      </c>
      <c r="V40" s="18"/>
      <c r="X40" s="26"/>
      <c r="Y40" s="26"/>
      <c r="AA40" s="26"/>
    </row>
    <row r="41" spans="2:28" ht="15" thickBot="1" x14ac:dyDescent="0.35">
      <c r="B41" s="18">
        <v>122</v>
      </c>
      <c r="C41" s="33">
        <v>0.59109999999999996</v>
      </c>
      <c r="K41" s="35"/>
      <c r="L41" s="18">
        <v>230</v>
      </c>
      <c r="N41" s="26">
        <v>0.65139999999999998</v>
      </c>
      <c r="P41" s="26">
        <v>0.51839999999999997</v>
      </c>
      <c r="Q41" s="26">
        <v>0.51490000000000002</v>
      </c>
      <c r="R41" s="26">
        <v>0.50080000000000002</v>
      </c>
      <c r="V41" s="18"/>
      <c r="X41" s="26"/>
      <c r="Z41" s="26"/>
      <c r="AA41" s="26"/>
      <c r="AB41" s="26"/>
    </row>
    <row r="42" spans="2:28" ht="15" thickBot="1" x14ac:dyDescent="0.35">
      <c r="B42" s="18">
        <v>123</v>
      </c>
      <c r="C42" s="33">
        <v>0.58609999999999995</v>
      </c>
      <c r="K42" s="35"/>
      <c r="L42" s="18">
        <v>235</v>
      </c>
      <c r="N42" s="26">
        <v>0.6714</v>
      </c>
      <c r="P42" s="26">
        <v>0.51949999999999996</v>
      </c>
      <c r="R42" s="26">
        <v>0.498</v>
      </c>
      <c r="V42" s="18"/>
      <c r="X42" s="26"/>
      <c r="Z42" s="26"/>
      <c r="AB42" s="26"/>
    </row>
    <row r="43" spans="2:28" ht="15" thickBot="1" x14ac:dyDescent="0.35">
      <c r="B43" s="18">
        <v>124</v>
      </c>
      <c r="C43" s="33">
        <v>0.59250000000000003</v>
      </c>
      <c r="L43" s="18">
        <v>240</v>
      </c>
      <c r="N43" s="26">
        <v>0.69430000000000003</v>
      </c>
      <c r="P43" s="26">
        <v>0.52100000000000002</v>
      </c>
      <c r="Q43" s="26">
        <v>0.50039999999999996</v>
      </c>
      <c r="R43" s="26">
        <v>0.49840000000000001</v>
      </c>
      <c r="V43" s="18"/>
      <c r="X43" s="26"/>
      <c r="Z43" s="26"/>
      <c r="AA43" s="26"/>
      <c r="AB43" s="26"/>
    </row>
    <row r="44" spans="2:28" ht="15" thickBot="1" x14ac:dyDescent="0.35">
      <c r="B44" s="18">
        <v>125</v>
      </c>
      <c r="C44" s="33">
        <v>0.59119999999999995</v>
      </c>
      <c r="D44" s="26">
        <v>0.55840000000000001</v>
      </c>
      <c r="E44" s="38">
        <v>0.55289999999999995</v>
      </c>
      <c r="F44" s="26">
        <v>0.54020000000000001</v>
      </c>
      <c r="G44" s="26">
        <v>0.53110000000000002</v>
      </c>
      <c r="H44" s="26">
        <v>0.53239999999999998</v>
      </c>
      <c r="L44" s="18">
        <v>245</v>
      </c>
      <c r="N44" s="26">
        <v>0.70750000000000002</v>
      </c>
      <c r="P44" s="26">
        <v>0.52270000000000005</v>
      </c>
      <c r="R44" s="26">
        <v>0.49830000000000002</v>
      </c>
      <c r="V44" s="18"/>
      <c r="X44" s="26"/>
      <c r="Z44" s="26"/>
      <c r="AB44" s="26"/>
    </row>
    <row r="45" spans="2:28" ht="15" thickBot="1" x14ac:dyDescent="0.35">
      <c r="B45" s="18">
        <v>126</v>
      </c>
      <c r="C45" s="33">
        <v>0.58909999999999996</v>
      </c>
      <c r="L45" s="18">
        <v>250</v>
      </c>
      <c r="N45" s="26">
        <v>0.6895</v>
      </c>
      <c r="P45" s="26">
        <v>0.52500000000000002</v>
      </c>
      <c r="Q45" s="26">
        <v>0.51529999999999998</v>
      </c>
      <c r="R45" s="26">
        <v>0.49640000000000001</v>
      </c>
      <c r="V45" s="18"/>
      <c r="X45" s="26"/>
      <c r="Z45" s="26"/>
      <c r="AA45" s="26"/>
      <c r="AB45" s="26"/>
    </row>
    <row r="46" spans="2:28" ht="15" thickBot="1" x14ac:dyDescent="0.35">
      <c r="B46" s="18">
        <v>127</v>
      </c>
      <c r="C46" s="33">
        <v>0.58940000000000003</v>
      </c>
      <c r="L46" s="18">
        <v>255</v>
      </c>
      <c r="N46" s="26">
        <v>0.69820000000000004</v>
      </c>
      <c r="P46" s="26">
        <v>0.52659999999999996</v>
      </c>
      <c r="R46" s="26">
        <v>0.4995</v>
      </c>
      <c r="V46" s="18"/>
      <c r="X46" s="26"/>
      <c r="Z46" s="26"/>
      <c r="AB46" s="26"/>
    </row>
    <row r="47" spans="2:28" ht="15" thickBot="1" x14ac:dyDescent="0.35">
      <c r="B47" s="18">
        <v>128</v>
      </c>
      <c r="C47" s="33">
        <v>0.59379999999999999</v>
      </c>
      <c r="L47" s="18">
        <v>260</v>
      </c>
      <c r="N47" s="26">
        <v>0.74709999999999999</v>
      </c>
      <c r="P47" s="26">
        <v>0.52839999999999998</v>
      </c>
      <c r="Q47" s="26">
        <v>0.51659999999999995</v>
      </c>
      <c r="R47" s="26">
        <v>0.4995</v>
      </c>
      <c r="V47" s="18"/>
      <c r="X47" s="26"/>
      <c r="Z47" s="26"/>
      <c r="AA47" s="26"/>
      <c r="AB47" s="26"/>
    </row>
    <row r="48" spans="2:28" ht="15" thickBot="1" x14ac:dyDescent="0.35">
      <c r="B48" s="18">
        <v>130</v>
      </c>
      <c r="C48" s="33">
        <v>0.59809999999999997</v>
      </c>
      <c r="D48" s="26">
        <v>0.55179999999999996</v>
      </c>
      <c r="E48" s="26">
        <v>0.54669999999999996</v>
      </c>
      <c r="F48" s="26">
        <v>0.53590000000000004</v>
      </c>
      <c r="G48" s="26">
        <v>0.51780000000000004</v>
      </c>
      <c r="H48" s="26">
        <v>0.53269999999999995</v>
      </c>
      <c r="L48" s="18">
        <v>265</v>
      </c>
      <c r="N48" s="26">
        <v>0.72170000000000001</v>
      </c>
      <c r="P48" s="26">
        <v>0.53169999999999995</v>
      </c>
      <c r="R48" s="26">
        <v>0.50039999999999996</v>
      </c>
      <c r="V48" s="18"/>
      <c r="X48" s="26"/>
      <c r="Z48" s="26"/>
      <c r="AB48" s="26"/>
    </row>
    <row r="49" spans="2:28" ht="15" thickBot="1" x14ac:dyDescent="0.35">
      <c r="B49" s="18">
        <v>135</v>
      </c>
      <c r="C49" s="33">
        <v>0.62549999999999994</v>
      </c>
      <c r="D49" s="26">
        <v>0.55120000000000002</v>
      </c>
      <c r="E49" s="26">
        <v>0.54800000000000004</v>
      </c>
      <c r="F49" s="26">
        <v>0.53120000000000001</v>
      </c>
      <c r="G49" s="26">
        <v>0.51290000000000002</v>
      </c>
      <c r="H49" s="26">
        <v>0.52790000000000004</v>
      </c>
      <c r="L49" s="18">
        <v>270</v>
      </c>
      <c r="N49" s="26">
        <v>0.71289999999999998</v>
      </c>
      <c r="P49" s="26">
        <v>0.53220000000000001</v>
      </c>
      <c r="R49" s="26">
        <v>0.49959999999999999</v>
      </c>
      <c r="V49" s="18"/>
      <c r="X49" s="26"/>
      <c r="Z49" s="26"/>
      <c r="AB49" s="26"/>
    </row>
    <row r="50" spans="2:28" ht="15" thickBot="1" x14ac:dyDescent="0.35">
      <c r="B50" s="18">
        <v>140</v>
      </c>
      <c r="C50" s="33">
        <v>0.61770000000000003</v>
      </c>
      <c r="D50" s="26">
        <v>0.55079999999999996</v>
      </c>
      <c r="E50" s="26">
        <v>0.54459999999999997</v>
      </c>
      <c r="F50" s="26">
        <v>0.5272</v>
      </c>
      <c r="G50" s="26">
        <v>0.51239999999999997</v>
      </c>
      <c r="H50" s="26">
        <v>0.52390000000000003</v>
      </c>
    </row>
    <row r="51" spans="2:28" ht="15" thickBot="1" x14ac:dyDescent="0.35">
      <c r="B51" s="18">
        <v>145</v>
      </c>
      <c r="C51" s="33">
        <v>0.63770000000000004</v>
      </c>
      <c r="D51" s="26">
        <v>0.55120000000000002</v>
      </c>
      <c r="E51" s="26">
        <v>0.54</v>
      </c>
      <c r="F51" s="26">
        <v>0.5242</v>
      </c>
      <c r="G51" s="26">
        <v>0.51629999999999998</v>
      </c>
      <c r="H51" s="26">
        <v>0.52080000000000004</v>
      </c>
    </row>
    <row r="52" spans="2:28" ht="15" thickBot="1" x14ac:dyDescent="0.35">
      <c r="B52" s="18">
        <v>150</v>
      </c>
      <c r="C52" s="33">
        <v>0.63480000000000003</v>
      </c>
      <c r="D52" s="26">
        <v>0.55369999999999997</v>
      </c>
      <c r="E52" s="26">
        <v>0.53769999999999996</v>
      </c>
      <c r="F52" s="26">
        <v>0.52100000000000002</v>
      </c>
      <c r="G52" s="26">
        <v>0.51200000000000001</v>
      </c>
      <c r="H52" s="26">
        <v>0.51980000000000004</v>
      </c>
    </row>
    <row r="53" spans="2:28" ht="15" thickBot="1" x14ac:dyDescent="0.35">
      <c r="B53" s="18">
        <v>155</v>
      </c>
      <c r="C53" s="33">
        <v>0.63529999999999998</v>
      </c>
      <c r="D53" s="26">
        <v>0.55569999999999997</v>
      </c>
      <c r="E53" s="26">
        <v>0.53649999999999998</v>
      </c>
      <c r="F53" s="26">
        <v>0.51939999999999997</v>
      </c>
      <c r="G53" s="26">
        <v>0.51249999999999996</v>
      </c>
      <c r="H53" s="26">
        <v>0.51100000000000001</v>
      </c>
    </row>
    <row r="54" spans="2:28" ht="15" thickBot="1" x14ac:dyDescent="0.35">
      <c r="B54" s="18">
        <v>160</v>
      </c>
      <c r="C54" s="33">
        <v>0.67479999999999996</v>
      </c>
      <c r="D54" s="26">
        <v>0.55930000000000002</v>
      </c>
      <c r="E54" s="26">
        <v>0.53349999999999997</v>
      </c>
      <c r="F54" s="26">
        <v>0.51739999999999997</v>
      </c>
      <c r="G54" s="26">
        <v>0.50590000000000002</v>
      </c>
      <c r="H54" s="26">
        <v>0.50890000000000002</v>
      </c>
    </row>
    <row r="55" spans="2:28" ht="15" thickBot="1" x14ac:dyDescent="0.35">
      <c r="B55" s="18">
        <v>165</v>
      </c>
      <c r="C55" s="33">
        <v>0.6885</v>
      </c>
      <c r="D55" s="26">
        <v>0.5625</v>
      </c>
      <c r="E55" s="26">
        <v>0.53259999999999996</v>
      </c>
      <c r="F55" s="26">
        <v>0.51529999999999998</v>
      </c>
      <c r="G55" s="26">
        <v>0.51419999999999999</v>
      </c>
      <c r="H55" s="26">
        <v>0.51029999999999998</v>
      </c>
    </row>
    <row r="56" spans="2:28" ht="15" thickBot="1" x14ac:dyDescent="0.35">
      <c r="B56" s="18">
        <v>170</v>
      </c>
      <c r="C56" s="33">
        <v>0.70609999999999995</v>
      </c>
      <c r="D56" s="26">
        <v>0.56620000000000004</v>
      </c>
      <c r="E56" s="26">
        <v>0.53280000000000005</v>
      </c>
      <c r="F56" s="26">
        <v>0.50960000000000005</v>
      </c>
      <c r="G56" s="26">
        <v>0.50529999999999997</v>
      </c>
      <c r="H56" s="26">
        <v>0.50839999999999996</v>
      </c>
    </row>
    <row r="57" spans="2:28" ht="15" thickBot="1" x14ac:dyDescent="0.35">
      <c r="B57" s="18">
        <v>175</v>
      </c>
      <c r="C57" s="33">
        <v>0.71189999999999998</v>
      </c>
      <c r="D57" s="26">
        <v>0.5706</v>
      </c>
      <c r="E57" s="26">
        <v>0.53280000000000005</v>
      </c>
      <c r="F57" s="26">
        <v>0.51259999999999994</v>
      </c>
      <c r="G57" s="26">
        <v>0.50319999999999998</v>
      </c>
      <c r="H57" s="26">
        <v>0.50349999999999995</v>
      </c>
    </row>
    <row r="58" spans="2:28" ht="15" thickBot="1" x14ac:dyDescent="0.35">
      <c r="B58" s="18">
        <v>180</v>
      </c>
      <c r="C58" s="33">
        <v>0.69730000000000003</v>
      </c>
      <c r="D58" s="26">
        <v>0.57809999999999995</v>
      </c>
      <c r="E58" s="26">
        <v>0.53090000000000004</v>
      </c>
      <c r="F58" s="26">
        <v>0.51170000000000004</v>
      </c>
      <c r="G58" s="26">
        <v>0.51500000000000001</v>
      </c>
      <c r="H58" s="26">
        <v>0.50339999999999996</v>
      </c>
    </row>
    <row r="59" spans="2:28" ht="15" thickBot="1" x14ac:dyDescent="0.35">
      <c r="B59" s="18">
        <v>185</v>
      </c>
      <c r="C59" s="33">
        <v>0.752</v>
      </c>
      <c r="D59" s="26">
        <v>0.57669999999999999</v>
      </c>
      <c r="E59" s="26">
        <v>0.53</v>
      </c>
      <c r="F59" s="26">
        <v>0.51180000000000003</v>
      </c>
      <c r="G59" s="26">
        <v>0.50970000000000004</v>
      </c>
      <c r="H59" s="26">
        <v>0.50770000000000004</v>
      </c>
    </row>
    <row r="60" spans="2:28" ht="15" thickBot="1" x14ac:dyDescent="0.35">
      <c r="B60" s="18">
        <v>190</v>
      </c>
      <c r="D60" s="26">
        <v>0.59670000000000001</v>
      </c>
      <c r="E60" s="26">
        <v>0.53910000000000002</v>
      </c>
      <c r="F60" s="26">
        <v>0.51229999999999998</v>
      </c>
      <c r="G60" s="26">
        <v>0.50590000000000002</v>
      </c>
      <c r="H60" s="26">
        <v>0.50690000000000002</v>
      </c>
    </row>
    <row r="61" spans="2:28" ht="15" thickBot="1" x14ac:dyDescent="0.35">
      <c r="B61" s="18">
        <v>195</v>
      </c>
      <c r="D61" s="26">
        <v>0.59379999999999999</v>
      </c>
      <c r="E61" s="26">
        <v>0.53459999999999996</v>
      </c>
      <c r="F61" s="26">
        <v>0.51180000000000003</v>
      </c>
      <c r="G61" s="26">
        <v>0.50980000000000003</v>
      </c>
      <c r="H61" s="26">
        <v>0.50429999999999997</v>
      </c>
    </row>
    <row r="62" spans="2:28" ht="15" thickBot="1" x14ac:dyDescent="0.35">
      <c r="B62" s="18">
        <v>200</v>
      </c>
      <c r="D62" s="26">
        <v>0.61329999999999996</v>
      </c>
      <c r="E62" s="26">
        <v>0.53739999999999999</v>
      </c>
      <c r="F62" s="26">
        <v>0.51229999999999998</v>
      </c>
      <c r="G62" s="26">
        <v>0.50960000000000005</v>
      </c>
      <c r="H62" s="26">
        <v>0.50290000000000001</v>
      </c>
    </row>
    <row r="63" spans="2:28" ht="15" thickBot="1" x14ac:dyDescent="0.35">
      <c r="B63" s="18">
        <v>205</v>
      </c>
      <c r="D63" s="26">
        <v>0.62209999999999999</v>
      </c>
      <c r="E63" s="26">
        <v>0.53520000000000001</v>
      </c>
      <c r="G63" s="26">
        <v>0.50060000000000004</v>
      </c>
    </row>
    <row r="64" spans="2:28" ht="15" thickBot="1" x14ac:dyDescent="0.35">
      <c r="B64" s="18">
        <v>210</v>
      </c>
      <c r="D64" s="26">
        <v>0.625</v>
      </c>
      <c r="E64" s="38">
        <v>0.53580000000000005</v>
      </c>
      <c r="F64" s="26">
        <v>0.51290000000000002</v>
      </c>
      <c r="G64" s="26">
        <v>0.50280000000000002</v>
      </c>
      <c r="H64" s="26">
        <v>0.49990000000000001</v>
      </c>
    </row>
    <row r="65" spans="2:18" ht="15" thickBot="1" x14ac:dyDescent="0.35">
      <c r="B65" s="18">
        <v>215</v>
      </c>
      <c r="D65" s="26">
        <v>0.62790000000000001</v>
      </c>
      <c r="E65" s="26">
        <v>0.53779999999999994</v>
      </c>
      <c r="G65" s="26">
        <v>0.50319999999999998</v>
      </c>
    </row>
    <row r="66" spans="2:18" ht="15" thickBot="1" x14ac:dyDescent="0.35">
      <c r="B66" s="18">
        <v>220</v>
      </c>
      <c r="D66" s="26">
        <v>0.6431</v>
      </c>
      <c r="E66" s="26">
        <v>0.53810000000000002</v>
      </c>
      <c r="F66" s="26">
        <v>0.51539999999999997</v>
      </c>
      <c r="G66" s="26">
        <v>0.50680000000000003</v>
      </c>
      <c r="H66" s="26">
        <v>0.502</v>
      </c>
    </row>
    <row r="67" spans="2:18" ht="15" thickBot="1" x14ac:dyDescent="0.35">
      <c r="B67" s="18">
        <v>225</v>
      </c>
      <c r="D67" s="26">
        <v>0.65039999999999998</v>
      </c>
      <c r="E67" s="26">
        <v>0.54520000000000002</v>
      </c>
      <c r="G67" s="26">
        <v>0.505</v>
      </c>
    </row>
    <row r="68" spans="2:18" ht="15" thickBot="1" x14ac:dyDescent="0.35">
      <c r="B68" s="18">
        <v>230</v>
      </c>
      <c r="D68" s="26">
        <v>0.65139999999999998</v>
      </c>
      <c r="F68" s="26">
        <v>0.51839999999999997</v>
      </c>
      <c r="G68" s="26">
        <v>0.51490000000000002</v>
      </c>
      <c r="H68" s="26">
        <v>0.50080000000000002</v>
      </c>
    </row>
    <row r="69" spans="2:18" ht="15" thickBot="1" x14ac:dyDescent="0.35">
      <c r="B69" s="18">
        <v>235</v>
      </c>
      <c r="D69" s="26">
        <v>0.6714</v>
      </c>
      <c r="F69" s="26">
        <v>0.51949999999999996</v>
      </c>
      <c r="H69" s="26">
        <v>0.498</v>
      </c>
    </row>
    <row r="70" spans="2:18" ht="15" thickBot="1" x14ac:dyDescent="0.35">
      <c r="B70" s="18">
        <v>240</v>
      </c>
      <c r="D70" s="26">
        <v>0.69430000000000003</v>
      </c>
      <c r="F70" s="26">
        <v>0.52100000000000002</v>
      </c>
      <c r="G70" s="26">
        <v>0.50039999999999996</v>
      </c>
      <c r="H70" s="26">
        <v>0.49840000000000001</v>
      </c>
    </row>
    <row r="71" spans="2:18" ht="15" thickBot="1" x14ac:dyDescent="0.35">
      <c r="B71" s="18">
        <v>245</v>
      </c>
      <c r="D71" s="26">
        <v>0.70750000000000002</v>
      </c>
      <c r="F71" s="26">
        <v>0.52270000000000005</v>
      </c>
      <c r="H71" s="26">
        <v>0.49830000000000002</v>
      </c>
    </row>
    <row r="72" spans="2:18" ht="15" thickBot="1" x14ac:dyDescent="0.35">
      <c r="B72" s="18">
        <v>250</v>
      </c>
      <c r="D72" s="26">
        <v>0.6895</v>
      </c>
      <c r="F72" s="26">
        <v>0.52500000000000002</v>
      </c>
      <c r="G72" s="26">
        <v>0.51529999999999998</v>
      </c>
      <c r="H72" s="26">
        <v>0.49640000000000001</v>
      </c>
    </row>
    <row r="73" spans="2:18" ht="15" thickBot="1" x14ac:dyDescent="0.35">
      <c r="B73" s="18">
        <v>255</v>
      </c>
      <c r="D73" s="26">
        <v>0.69820000000000004</v>
      </c>
      <c r="F73" s="26">
        <v>0.52659999999999996</v>
      </c>
      <c r="H73" s="26">
        <v>0.4995</v>
      </c>
    </row>
    <row r="74" spans="2:18" ht="15" thickBot="1" x14ac:dyDescent="0.35">
      <c r="B74" s="18">
        <v>260</v>
      </c>
      <c r="D74" s="26">
        <v>0.74709999999999999</v>
      </c>
      <c r="F74" s="26">
        <v>0.52839999999999998</v>
      </c>
      <c r="G74" s="26">
        <v>0.51659999999999995</v>
      </c>
      <c r="H74" s="26">
        <v>0.4995</v>
      </c>
    </row>
    <row r="75" spans="2:18" ht="15" thickBot="1" x14ac:dyDescent="0.35">
      <c r="B75" s="18">
        <v>265</v>
      </c>
      <c r="D75" s="26">
        <v>0.72170000000000001</v>
      </c>
      <c r="F75" s="26">
        <v>0.53169999999999995</v>
      </c>
      <c r="H75" s="26">
        <v>0.50039999999999996</v>
      </c>
    </row>
    <row r="76" spans="2:18" ht="15" thickBot="1" x14ac:dyDescent="0.35">
      <c r="B76" s="18">
        <v>270</v>
      </c>
      <c r="D76" s="26">
        <v>0.71289999999999998</v>
      </c>
      <c r="F76" s="26">
        <v>0.53220000000000001</v>
      </c>
      <c r="H76" s="26">
        <v>0.49959999999999999</v>
      </c>
    </row>
    <row r="77" spans="2:18" ht="15" thickBot="1" x14ac:dyDescent="0.35">
      <c r="B77" s="18">
        <v>275</v>
      </c>
      <c r="F77" s="26">
        <v>0.53439999999999999</v>
      </c>
      <c r="H77" s="26">
        <v>0.50139999999999996</v>
      </c>
      <c r="L77" s="18"/>
      <c r="P77" s="26"/>
      <c r="R77" s="26"/>
    </row>
    <row r="78" spans="2:18" ht="15" thickBot="1" x14ac:dyDescent="0.35">
      <c r="B78" s="18">
        <v>280</v>
      </c>
      <c r="F78" s="26">
        <v>0.54349999999999998</v>
      </c>
      <c r="H78" s="26">
        <v>0.49969999999999998</v>
      </c>
      <c r="L78" s="18"/>
      <c r="P78" s="26"/>
      <c r="R78" s="26"/>
    </row>
    <row r="79" spans="2:18" ht="15" thickBot="1" x14ac:dyDescent="0.35">
      <c r="B79" s="18">
        <v>285</v>
      </c>
      <c r="F79" s="26">
        <v>0.53779999999999994</v>
      </c>
      <c r="H79" s="26">
        <v>0.50090000000000001</v>
      </c>
      <c r="L79" s="18"/>
      <c r="P79" s="26"/>
      <c r="R79" s="26"/>
    </row>
    <row r="80" spans="2:18" ht="15" thickBot="1" x14ac:dyDescent="0.35">
      <c r="B80" s="18">
        <v>290</v>
      </c>
      <c r="F80" s="26">
        <v>0.53959999999999997</v>
      </c>
      <c r="H80" s="26">
        <v>0.50509999999999999</v>
      </c>
      <c r="L80" s="18"/>
      <c r="P80" s="26"/>
      <c r="R80" s="26"/>
    </row>
    <row r="81" spans="2:18" ht="15" thickBot="1" x14ac:dyDescent="0.35">
      <c r="B81" s="18">
        <v>295</v>
      </c>
      <c r="F81" s="26">
        <v>0.55520000000000003</v>
      </c>
      <c r="H81" s="26">
        <v>0.51090000000000002</v>
      </c>
      <c r="L81" s="18"/>
      <c r="P81" s="26"/>
      <c r="R81" s="26"/>
    </row>
    <row r="82" spans="2:18" ht="15" thickBot="1" x14ac:dyDescent="0.35">
      <c r="B82" s="18">
        <v>300</v>
      </c>
      <c r="F82" s="26">
        <v>0.54810000000000003</v>
      </c>
      <c r="H82" s="26">
        <v>0.50970000000000004</v>
      </c>
      <c r="L82" s="18"/>
      <c r="P82" s="26"/>
      <c r="R82" s="26"/>
    </row>
    <row r="83" spans="2:18" ht="15" thickBot="1" x14ac:dyDescent="0.35">
      <c r="B83" s="18">
        <v>305</v>
      </c>
      <c r="F83" s="26">
        <v>0.55959999999999999</v>
      </c>
      <c r="H83" s="26">
        <v>0.50990000000000002</v>
      </c>
      <c r="L83" s="18"/>
      <c r="P83" s="26"/>
      <c r="R83" s="26"/>
    </row>
    <row r="84" spans="2:18" ht="15" thickBot="1" x14ac:dyDescent="0.35">
      <c r="B84" s="18">
        <v>310</v>
      </c>
      <c r="F84" s="26">
        <v>0.55620000000000003</v>
      </c>
      <c r="H84" s="26">
        <v>0.50429999999999997</v>
      </c>
      <c r="L84" s="18"/>
      <c r="P84" s="26"/>
      <c r="R84" s="26"/>
    </row>
    <row r="85" spans="2:18" ht="15" thickBot="1" x14ac:dyDescent="0.35">
      <c r="B85" s="18">
        <v>315</v>
      </c>
      <c r="F85" s="26">
        <v>0.55269999999999997</v>
      </c>
      <c r="L85" s="18"/>
      <c r="P85" s="26"/>
    </row>
    <row r="86" spans="2:18" ht="15" thickBot="1" x14ac:dyDescent="0.35">
      <c r="B86" s="18">
        <v>320</v>
      </c>
      <c r="F86" s="26">
        <v>0.5635</v>
      </c>
      <c r="L86" s="18"/>
      <c r="P86" s="26"/>
    </row>
    <row r="87" spans="2:18" ht="15" thickBot="1" x14ac:dyDescent="0.35">
      <c r="B87" s="18">
        <v>330</v>
      </c>
      <c r="F87" s="26">
        <v>0.57150000000000001</v>
      </c>
      <c r="L87" s="18"/>
      <c r="P87" s="26"/>
    </row>
    <row r="88" spans="2:18" ht="15" thickBot="1" x14ac:dyDescent="0.35">
      <c r="B88" s="18">
        <v>340</v>
      </c>
      <c r="F88" s="26">
        <v>0.57720000000000005</v>
      </c>
      <c r="L88" s="18"/>
      <c r="P88" s="26"/>
    </row>
    <row r="89" spans="2:18" ht="15" thickBot="1" x14ac:dyDescent="0.35">
      <c r="B89" s="18">
        <v>350</v>
      </c>
      <c r="F89" s="26">
        <v>0.58740000000000003</v>
      </c>
      <c r="L89" s="18"/>
      <c r="P89" s="26"/>
    </row>
    <row r="90" spans="2:18" ht="15" thickBot="1" x14ac:dyDescent="0.35">
      <c r="B90" s="18">
        <v>360</v>
      </c>
      <c r="F90" s="26">
        <v>0.57179999999999997</v>
      </c>
      <c r="L90" s="18"/>
      <c r="P90" s="26"/>
    </row>
    <row r="91" spans="2:18" ht="15" thickBot="1" x14ac:dyDescent="0.35">
      <c r="B91" s="18">
        <v>370</v>
      </c>
      <c r="F91" s="26">
        <v>0.58109999999999995</v>
      </c>
      <c r="L91" s="18"/>
      <c r="P91" s="26"/>
    </row>
    <row r="92" spans="2:18" ht="15" thickBot="1" x14ac:dyDescent="0.35">
      <c r="B92" s="18">
        <v>380</v>
      </c>
      <c r="F92" s="26">
        <v>0.58589999999999998</v>
      </c>
      <c r="L92" s="18"/>
      <c r="P92" s="26"/>
    </row>
    <row r="93" spans="2:18" ht="15" thickBot="1" x14ac:dyDescent="0.35">
      <c r="B93" s="18">
        <v>390</v>
      </c>
      <c r="F93" s="26">
        <v>0.59130000000000005</v>
      </c>
      <c r="L93" s="18"/>
      <c r="P93" s="26"/>
    </row>
    <row r="94" spans="2:18" ht="15" thickBot="1" x14ac:dyDescent="0.35">
      <c r="B94" s="18">
        <v>400</v>
      </c>
      <c r="F94" s="26">
        <v>0.59770000000000001</v>
      </c>
      <c r="L94" s="18"/>
      <c r="P94" s="26"/>
    </row>
    <row r="95" spans="2:18" ht="15" thickBot="1" x14ac:dyDescent="0.35">
      <c r="B95" s="18">
        <v>410</v>
      </c>
      <c r="F95" s="26">
        <v>0.60499999999999998</v>
      </c>
      <c r="L95" s="18"/>
      <c r="P95" s="26"/>
    </row>
    <row r="96" spans="2:18" ht="15" thickBot="1" x14ac:dyDescent="0.35">
      <c r="B96" s="18">
        <v>420</v>
      </c>
      <c r="F96" s="26">
        <v>0.60740000000000005</v>
      </c>
      <c r="L96" s="18"/>
      <c r="P96" s="26"/>
    </row>
    <row r="97" spans="2:16" ht="15" thickBot="1" x14ac:dyDescent="0.35">
      <c r="B97" s="18">
        <v>430</v>
      </c>
      <c r="F97" s="26">
        <v>0.60350000000000004</v>
      </c>
      <c r="L97" s="18"/>
      <c r="P97" s="26"/>
    </row>
    <row r="98" spans="2:16" ht="15" thickBot="1" x14ac:dyDescent="0.35">
      <c r="B98" s="18">
        <v>440</v>
      </c>
      <c r="F98" s="26">
        <v>0.61719999999999997</v>
      </c>
      <c r="L98" s="18"/>
      <c r="P98" s="26"/>
    </row>
    <row r="99" spans="2:16" ht="15" thickBot="1" x14ac:dyDescent="0.35">
      <c r="B99" s="18">
        <v>450</v>
      </c>
      <c r="F99" s="26">
        <v>0.63229999999999997</v>
      </c>
      <c r="L99" s="18"/>
      <c r="P99" s="26"/>
    </row>
    <row r="100" spans="2:16" x14ac:dyDescent="0.3">
      <c r="B100" s="18">
        <v>460</v>
      </c>
      <c r="F100" s="26">
        <v>0.62890000000000001</v>
      </c>
      <c r="L100" s="18"/>
      <c r="P100" s="26"/>
    </row>
  </sheetData>
  <hyperlinks>
    <hyperlink ref="B8" r:id="rId1" display="https://finance.yahoo.com/quote/BABA/options?strike=45&amp;straddle=false" xr:uid="{A9FDD7F2-A362-4DC5-8402-E810DB816C95}"/>
    <hyperlink ref="B10" r:id="rId2" display="https://finance.yahoo.com/quote/BABA/options?strike=55&amp;straddle=false" xr:uid="{08FB2DBF-FC34-4ECF-ACA9-27A4903B0D37}"/>
    <hyperlink ref="B13" r:id="rId3" display="https://finance.yahoo.com/quote/BABA/options?strike=70&amp;straddle=false" xr:uid="{BD661930-4674-4E8E-B403-81FB254EEF65}"/>
    <hyperlink ref="B14" r:id="rId4" display="https://finance.yahoo.com/quote/BABA/options?strike=75&amp;straddle=false" xr:uid="{B629639A-5034-4FE3-8EE5-6A7F4E5B9F82}"/>
    <hyperlink ref="B15" r:id="rId5" display="https://finance.yahoo.com/quote/BABA/options?strike=80&amp;straddle=false" xr:uid="{ACCF554A-B4B6-4BC3-8739-376F780FF840}"/>
    <hyperlink ref="B16" r:id="rId6" display="https://finance.yahoo.com/quote/BABA/options?strike=85&amp;straddle=false" xr:uid="{9DA0FAC1-DB13-46DF-B99D-69D04FBFCD33}"/>
    <hyperlink ref="B17" r:id="rId7" display="https://finance.yahoo.com/quote/BABA/options?strike=90&amp;straddle=false" xr:uid="{666FCF45-1491-4533-A9F7-EC1587414A56}"/>
    <hyperlink ref="B18" r:id="rId8" display="https://finance.yahoo.com/quote/BABA/options?strike=95&amp;straddle=false" xr:uid="{AE30549E-5F54-470D-ADB2-DE399AA58E14}"/>
    <hyperlink ref="B19" r:id="rId9" display="https://finance.yahoo.com/quote/BABA/options?strike=99&amp;straddle=false" xr:uid="{45683494-4E78-439B-941E-A774110DDD2D}"/>
    <hyperlink ref="B20" r:id="rId10" display="https://finance.yahoo.com/quote/BABA/options?strike=100&amp;straddle=false" xr:uid="{259913AB-32F2-49E7-B490-666FC8D0CA37}"/>
    <hyperlink ref="B21" r:id="rId11" display="https://finance.yahoo.com/quote/BABA/options?strike=101&amp;straddle=false" xr:uid="{C7EC6AB9-1721-421D-A999-6639B9B8DB7A}"/>
    <hyperlink ref="B22" r:id="rId12" display="https://finance.yahoo.com/quote/BABA/options?strike=102&amp;straddle=false" xr:uid="{3C27B0D8-5F6E-4A08-8C17-69325BFD764B}"/>
    <hyperlink ref="B23" r:id="rId13" display="https://finance.yahoo.com/quote/BABA/options?strike=103&amp;straddle=false" xr:uid="{033B9496-C6F2-4E32-AAD5-74AD23E871A1}"/>
    <hyperlink ref="B24" r:id="rId14" display="https://finance.yahoo.com/quote/BABA/options?strike=104&amp;straddle=false" xr:uid="{72BCFDE5-8948-4B08-9EF8-87D04130FD9D}"/>
    <hyperlink ref="B25" r:id="rId15" display="https://finance.yahoo.com/quote/BABA/options?strike=105&amp;straddle=false" xr:uid="{10DF82AB-D4AC-45B1-854E-112D617EE4DB}"/>
    <hyperlink ref="B26" r:id="rId16" display="https://finance.yahoo.com/quote/BABA/options?strike=107&amp;straddle=false" xr:uid="{14EBC32C-7C8D-4DEC-9C4E-CC5A84A6490F}"/>
    <hyperlink ref="B27" r:id="rId17" display="https://finance.yahoo.com/quote/BABA/options?strike=108&amp;straddle=false" xr:uid="{6F374CF4-D54A-48C9-9874-2BFDED2A570D}"/>
    <hyperlink ref="B28" r:id="rId18" display="https://finance.yahoo.com/quote/BABA/options?strike=109&amp;straddle=false" xr:uid="{5E9DDC8E-B553-4DD0-B87F-0DD6BA82DD20}"/>
    <hyperlink ref="B29" r:id="rId19" display="https://finance.yahoo.com/quote/BABA/options?strike=110&amp;straddle=false" xr:uid="{D46B6709-E41D-4DC2-8B3C-14CE1268DD7B}"/>
    <hyperlink ref="B30" r:id="rId20" display="https://finance.yahoo.com/quote/BABA/options?strike=111&amp;straddle=false" xr:uid="{6D6E60E0-018E-4CF6-AFC9-1CFE70AEEDB6}"/>
    <hyperlink ref="B31" r:id="rId21" display="https://finance.yahoo.com/quote/BABA/options?strike=112&amp;straddle=false" xr:uid="{2BE37905-A011-4A8C-BBFA-C506A1393E3D}"/>
    <hyperlink ref="B32" r:id="rId22" display="https://finance.yahoo.com/quote/BABA/options?strike=113&amp;straddle=false" xr:uid="{F1902818-4134-469E-AADC-E4E8DF352C67}"/>
    <hyperlink ref="B33" r:id="rId23" display="https://finance.yahoo.com/quote/BABA/options?strike=114&amp;straddle=false" xr:uid="{30C375C0-D07D-4DBE-AA25-B308B35C3062}"/>
    <hyperlink ref="B34" r:id="rId24" display="https://finance.yahoo.com/quote/BABA/options?strike=115&amp;straddle=false" xr:uid="{ED02A535-6593-4BFA-98DC-1835B540487F}"/>
    <hyperlink ref="B35" r:id="rId25" display="https://finance.yahoo.com/quote/BABA/options?strike=116&amp;straddle=false" xr:uid="{475BA620-5BE1-403B-83F2-2ED855D0F1DA}"/>
    <hyperlink ref="B36" r:id="rId26" display="https://finance.yahoo.com/quote/BABA/options?strike=117&amp;straddle=false" xr:uid="{15BA3445-65D4-4D70-82BB-0905004B0217}"/>
    <hyperlink ref="B37" r:id="rId27" display="https://finance.yahoo.com/quote/BABA/options?strike=118&amp;straddle=false" xr:uid="{FA7F4D07-D2DD-483F-A241-89B99AB7BB22}"/>
    <hyperlink ref="B38" r:id="rId28" display="https://finance.yahoo.com/quote/BABA/options?strike=119&amp;straddle=false" xr:uid="{1FF6C8F0-59E2-4201-93E7-30FC5BDDF221}"/>
    <hyperlink ref="B39" r:id="rId29" display="https://finance.yahoo.com/quote/BABA/options?strike=120&amp;straddle=false" xr:uid="{C757FF5D-081F-42D9-81FE-F10A2F461360}"/>
    <hyperlink ref="B40" r:id="rId30" display="https://finance.yahoo.com/quote/BABA/options?strike=121&amp;straddle=false" xr:uid="{AA732D9A-5068-4208-BBF9-98EB23C07437}"/>
    <hyperlink ref="B41" r:id="rId31" display="https://finance.yahoo.com/quote/BABA/options?strike=122&amp;straddle=false" xr:uid="{D5B9E26D-D2F1-4783-9504-C8F06506E30F}"/>
    <hyperlink ref="B42" r:id="rId32" display="https://finance.yahoo.com/quote/BABA/options?strike=123&amp;straddle=false" xr:uid="{C99CD51F-2279-4853-83D8-5B50DE84B207}"/>
    <hyperlink ref="B43" r:id="rId33" display="https://finance.yahoo.com/quote/BABA/options?strike=124&amp;straddle=false" xr:uid="{C7DB8C33-80CA-43DB-AB0E-1FD71FC6CCD0}"/>
    <hyperlink ref="B44" r:id="rId34" display="https://finance.yahoo.com/quote/BABA/options?strike=125&amp;straddle=false" xr:uid="{DA70ECB2-D1E5-4577-BBC7-F9A5C665648A}"/>
    <hyperlink ref="B45" r:id="rId35" display="https://finance.yahoo.com/quote/BABA/options?strike=126&amp;straddle=false" xr:uid="{A5573D13-EE13-4EF8-92DB-03FF943D7B98}"/>
    <hyperlink ref="B46" r:id="rId36" display="https://finance.yahoo.com/quote/BABA/options?strike=127&amp;straddle=false" xr:uid="{BE323DAF-1530-4CA0-A7DE-042AD919520E}"/>
    <hyperlink ref="B47" r:id="rId37" display="https://finance.yahoo.com/quote/BABA/options?strike=128&amp;straddle=false" xr:uid="{17E799D6-7A10-4E6B-BE1A-601631383127}"/>
    <hyperlink ref="B48" r:id="rId38" display="https://finance.yahoo.com/quote/BABA/options?strike=130&amp;straddle=false" xr:uid="{D95D6812-8532-45EE-AFE1-7BFF211BF766}"/>
    <hyperlink ref="B49" r:id="rId39" display="https://finance.yahoo.com/quote/BABA/options?strike=135&amp;straddle=false" xr:uid="{A77E6BC6-B904-49A0-A418-53964603F315}"/>
    <hyperlink ref="B50" r:id="rId40" display="https://finance.yahoo.com/quote/BABA/options?strike=140&amp;straddle=false" xr:uid="{0E94C83B-683A-4F1B-8FFD-930AB3C5CC00}"/>
    <hyperlink ref="B51" r:id="rId41" display="https://finance.yahoo.com/quote/BABA/options?strike=145&amp;straddle=false" xr:uid="{BBDA0705-BA70-466E-8A4A-508AD59B67BF}"/>
    <hyperlink ref="B52" r:id="rId42" display="https://finance.yahoo.com/quote/BABA/options?strike=150&amp;straddle=false" xr:uid="{841DFAE5-141B-406E-AF66-20C58DF2CFF4}"/>
    <hyperlink ref="B53" r:id="rId43" display="https://finance.yahoo.com/quote/BABA/options?strike=155&amp;straddle=false" xr:uid="{14A1E13E-EFD5-4B59-B7FF-39595A002919}"/>
    <hyperlink ref="B54" r:id="rId44" display="https://finance.yahoo.com/quote/BABA/options?strike=160&amp;straddle=false" xr:uid="{2B9F2391-32C1-498B-8922-47AAA92CB0ED}"/>
    <hyperlink ref="B55" r:id="rId45" display="https://finance.yahoo.com/quote/BABA/options?strike=165&amp;straddle=false" xr:uid="{D3577288-1149-47D3-BBB8-36EAEDE1F24C}"/>
    <hyperlink ref="B56" r:id="rId46" display="https://finance.yahoo.com/quote/BABA/options?strike=170&amp;straddle=false" xr:uid="{381AADDF-11FD-41F2-8A78-ED0844788278}"/>
    <hyperlink ref="B57" r:id="rId47" display="https://finance.yahoo.com/quote/BABA/options?strike=175&amp;straddle=false" xr:uid="{8BB98C4B-384B-4BF7-A756-B09E9F7EAEA1}"/>
    <hyperlink ref="B58" r:id="rId48" display="https://finance.yahoo.com/quote/BABA/options?strike=180&amp;straddle=false" xr:uid="{F913F37B-ACAB-42EF-9CF2-8849BB8D763B}"/>
    <hyperlink ref="B59" r:id="rId49" display="https://finance.yahoo.com/quote/BABA/options?strike=185&amp;straddle=false" xr:uid="{B31036F0-3A95-4E64-8729-38DDA55E6E15}"/>
    <hyperlink ref="B7" r:id="rId50" display="https://finance.yahoo.com/quote/BABA/options?strike=40&amp;straddle=false" xr:uid="{E189A173-4C25-41B0-9FA3-9C1805E70C5C}"/>
    <hyperlink ref="B9" r:id="rId51" display="https://finance.yahoo.com/quote/BABA/options?strike=50&amp;straddle=false" xr:uid="{26F3129A-0667-4FFE-BBA2-BD663D564565}"/>
    <hyperlink ref="B11" r:id="rId52" display="https://finance.yahoo.com/quote/BABA/options?strike=60&amp;straddle=false" xr:uid="{4D02D86A-813B-4FDA-B6B3-E6486D1C71E9}"/>
    <hyperlink ref="B12" r:id="rId53" display="https://finance.yahoo.com/quote/BABA/options?strike=65&amp;straddle=false" xr:uid="{B4F1C471-2DE7-4CBA-B5A8-52CB55033D16}"/>
    <hyperlink ref="B60" r:id="rId54" display="https://finance.yahoo.com/quote/BABA/options?strike=190&amp;straddle=false" xr:uid="{A2A13689-1355-448E-A97D-559A4685C232}"/>
    <hyperlink ref="B61" r:id="rId55" display="https://finance.yahoo.com/quote/BABA/options?strike=195&amp;straddle=false" xr:uid="{7AA1FF81-9DFE-4336-811B-283D3D0A29A6}"/>
    <hyperlink ref="B62" r:id="rId56" display="https://finance.yahoo.com/quote/BABA/options?strike=200&amp;straddle=false" xr:uid="{103004B8-3ACC-40B1-A09F-6F4992EFD7C6}"/>
    <hyperlink ref="B63" r:id="rId57" display="https://finance.yahoo.com/quote/BABA/options?strike=205&amp;straddle=false" xr:uid="{A5899FB7-3DFD-4825-98E7-F190EC2D8C4D}"/>
    <hyperlink ref="B64" r:id="rId58" display="https://finance.yahoo.com/quote/BABA/options?strike=210&amp;straddle=false" xr:uid="{40F395DD-FDE9-4033-B19D-E65508A189BE}"/>
    <hyperlink ref="B65" r:id="rId59" display="https://finance.yahoo.com/quote/BABA/options?strike=215&amp;straddle=false" xr:uid="{B1582009-4307-4A64-A23A-893522A549B2}"/>
    <hyperlink ref="B66" r:id="rId60" display="https://finance.yahoo.com/quote/BABA/options?strike=220&amp;straddle=false" xr:uid="{0151FE98-1697-43A5-8B69-E7AAAAF195F9}"/>
    <hyperlink ref="B67" r:id="rId61" display="https://finance.yahoo.com/quote/BABA/options?strike=225&amp;straddle=false" xr:uid="{1E518340-6DB0-407C-A376-E338C6E2E83A}"/>
    <hyperlink ref="B68" r:id="rId62" display="https://finance.yahoo.com/quote/BABA/options?strike=230&amp;straddle=false" xr:uid="{92DA0C47-9260-40BA-8573-78261B2528D1}"/>
    <hyperlink ref="B69" r:id="rId63" display="https://finance.yahoo.com/quote/BABA/options?strike=235&amp;straddle=false" xr:uid="{DF9D6467-05DA-4749-9579-15A16B747669}"/>
    <hyperlink ref="B70" r:id="rId64" display="https://finance.yahoo.com/quote/BABA/options?strike=240&amp;straddle=false" xr:uid="{60A2F628-8ED8-4160-85AA-3B06DF540C7B}"/>
    <hyperlink ref="B71" r:id="rId65" display="https://finance.yahoo.com/quote/BABA/options?strike=245&amp;straddle=false" xr:uid="{7607670F-CD1E-4BB9-A9E1-D19E5D7CE57C}"/>
    <hyperlink ref="B72" r:id="rId66" display="https://finance.yahoo.com/quote/BABA/options?strike=250&amp;straddle=false" xr:uid="{772C152A-A16C-4A72-AD7A-8AADC879469B}"/>
    <hyperlink ref="B73" r:id="rId67" display="https://finance.yahoo.com/quote/BABA/options?strike=255&amp;straddle=false" xr:uid="{4A60FE08-A9B6-4AEF-B29B-B622A02B2812}"/>
    <hyperlink ref="B74" r:id="rId68" display="https://finance.yahoo.com/quote/BABA/options?strike=260&amp;straddle=false" xr:uid="{7D61B051-C4E8-40F2-81B9-A749E2D06CE4}"/>
    <hyperlink ref="B75" r:id="rId69" display="https://finance.yahoo.com/quote/BABA/options?strike=265&amp;straddle=false" xr:uid="{345398C3-9F77-4C98-85FE-E591DFBBA07B}"/>
    <hyperlink ref="B76" r:id="rId70" display="https://finance.yahoo.com/quote/BABA/options?strike=270&amp;straddle=false" xr:uid="{3A1B3AC9-ED5E-4167-B950-0A35CE80B49C}"/>
    <hyperlink ref="B4" r:id="rId71" display="https://finance.yahoo.com/quote/BABA/options?strike=25&amp;straddle=false" xr:uid="{E54D614E-E773-4DA6-AA46-CC2CD8378201}"/>
    <hyperlink ref="B5" r:id="rId72" display="https://finance.yahoo.com/quote/BABA/options?strike=30&amp;straddle=false" xr:uid="{C9426435-1A66-4F47-997F-94D4A14B1CD8}"/>
    <hyperlink ref="B6" r:id="rId73" display="https://finance.yahoo.com/quote/BABA/options?strike=35&amp;straddle=false" xr:uid="{33861984-59B1-43C4-9575-1F7B927D372B}"/>
    <hyperlink ref="B3" r:id="rId74" display="https://finance.yahoo.com/quote/BABA/options?strike=20&amp;straddle=false" xr:uid="{FC8F7506-00FB-4C45-9007-DA8508A7A4E3}"/>
    <hyperlink ref="B77" r:id="rId75" display="https://finance.yahoo.com/quote/BABA/options?strike=275&amp;straddle=false" xr:uid="{86E316CC-F37C-4FD4-8AA4-A3F82A3F8C07}"/>
    <hyperlink ref="B78" r:id="rId76" display="https://finance.yahoo.com/quote/BABA/options?strike=280&amp;straddle=false" xr:uid="{D928F414-25C5-434C-AF71-521E06BD21B6}"/>
    <hyperlink ref="B79" r:id="rId77" display="https://finance.yahoo.com/quote/BABA/options?strike=285&amp;straddle=false" xr:uid="{74DB29EF-79E2-4060-86A9-C0F33A8923E4}"/>
    <hyperlink ref="B80" r:id="rId78" display="https://finance.yahoo.com/quote/BABA/options?strike=290&amp;straddle=false" xr:uid="{8DBC7146-6F36-43D1-AE6F-B880FAC93AA6}"/>
    <hyperlink ref="B81" r:id="rId79" display="https://finance.yahoo.com/quote/BABA/options?strike=295&amp;straddle=false" xr:uid="{1FDAF717-879E-4B2B-B992-9CBAA1FF3BF7}"/>
    <hyperlink ref="B82" r:id="rId80" display="https://finance.yahoo.com/quote/BABA/options?strike=300&amp;straddle=false" xr:uid="{A8F81282-2DCC-4054-8B23-309BB791BA53}"/>
    <hyperlink ref="B83" r:id="rId81" display="https://finance.yahoo.com/quote/BABA/options?strike=305&amp;straddle=false" xr:uid="{3FC045E7-E37E-47B8-B18C-755CB4AAE3E2}"/>
    <hyperlink ref="B84" r:id="rId82" display="https://finance.yahoo.com/quote/BABA/options?strike=310&amp;straddle=false" xr:uid="{C358B6CF-57B3-4387-BBAA-4D4B669CCD13}"/>
    <hyperlink ref="B85" r:id="rId83" display="https://finance.yahoo.com/quote/BABA/options?strike=315&amp;straddle=false" xr:uid="{98618D57-415C-4BF2-A0B5-3B2386A4E5E3}"/>
    <hyperlink ref="B86" r:id="rId84" display="https://finance.yahoo.com/quote/BABA/options?strike=320&amp;straddle=false" xr:uid="{CAFE3DD3-1B36-4A8C-B0CA-029E9718420D}"/>
    <hyperlink ref="B87" r:id="rId85" display="https://finance.yahoo.com/quote/BABA/options?strike=330&amp;straddle=false" xr:uid="{0A4F77F3-34BB-414C-A9C3-F750DF9EC47E}"/>
    <hyperlink ref="B88" r:id="rId86" display="https://finance.yahoo.com/quote/BABA/options?strike=340&amp;straddle=false" xr:uid="{5BAA4403-0BF4-4C91-9938-D52D4F9D3CE7}"/>
    <hyperlink ref="B89" r:id="rId87" display="https://finance.yahoo.com/quote/BABA/options?strike=350&amp;straddle=false" xr:uid="{0602B6E5-B130-499F-BE55-F8C86BF9F1D0}"/>
    <hyperlink ref="B90" r:id="rId88" display="https://finance.yahoo.com/quote/BABA/options?strike=360&amp;straddle=false" xr:uid="{592636C0-D5F5-4081-BE6B-BF7D8FBA3AFF}"/>
    <hyperlink ref="B91" r:id="rId89" display="https://finance.yahoo.com/quote/BABA/options?strike=370&amp;straddle=false" xr:uid="{589CFA12-96FB-4814-9A31-BD3BC983BF30}"/>
    <hyperlink ref="B92" r:id="rId90" display="https://finance.yahoo.com/quote/BABA/options?strike=380&amp;straddle=false" xr:uid="{44801B5F-A7B7-410E-A0B4-62A7A271A53B}"/>
    <hyperlink ref="B93" r:id="rId91" display="https://finance.yahoo.com/quote/BABA/options?strike=390&amp;straddle=false" xr:uid="{652A5B84-CE94-4B2F-9649-DF5B2DF5AEE5}"/>
    <hyperlink ref="B94" r:id="rId92" display="https://finance.yahoo.com/quote/BABA/options?strike=400&amp;straddle=false" xr:uid="{DE483074-4ECC-4EA9-B77A-F63BD9AA94DA}"/>
    <hyperlink ref="B95" r:id="rId93" display="https://finance.yahoo.com/quote/BABA/options?strike=410&amp;straddle=false" xr:uid="{2E738713-1A87-45BF-8213-17A515300D3E}"/>
    <hyperlink ref="B96" r:id="rId94" display="https://finance.yahoo.com/quote/BABA/options?strike=420&amp;straddle=false" xr:uid="{6650EEB4-2BA8-4EA4-A4F9-B397AC49AB31}"/>
    <hyperlink ref="B97" r:id="rId95" display="https://finance.yahoo.com/quote/BABA/options?strike=430&amp;straddle=false" xr:uid="{643A68DB-0EF3-4E6D-A81B-3178DE55485B}"/>
    <hyperlink ref="B98" r:id="rId96" display="https://finance.yahoo.com/quote/BABA/options?strike=440&amp;straddle=false" xr:uid="{5BD56CC0-F537-4334-8F77-0DAE86B2E092}"/>
    <hyperlink ref="B99" r:id="rId97" display="https://finance.yahoo.com/quote/BABA/options?strike=450&amp;straddle=false" xr:uid="{EE8FB512-3B0E-4B47-94EC-2C4A72A6FCDC}"/>
    <hyperlink ref="B100" r:id="rId98" display="https://finance.yahoo.com/quote/BABA/options?strike=460&amp;straddle=false" xr:uid="{9DA6294C-4E7C-416A-B02A-B6262E3A259C}"/>
    <hyperlink ref="L4" r:id="rId99" display="https://finance.yahoo.com/quote/BABA/options?strike=45&amp;straddle=false" xr:uid="{33960E53-A10B-41AC-9DF9-CA11DC09DA88}"/>
    <hyperlink ref="L6" r:id="rId100" display="https://finance.yahoo.com/quote/BABA/options?strike=55&amp;straddle=false" xr:uid="{B250AFED-574E-4F10-ACAC-51F0622F9340}"/>
    <hyperlink ref="L9" r:id="rId101" display="https://finance.yahoo.com/quote/BABA/options?strike=70&amp;straddle=false" xr:uid="{4387A4FE-9B56-49B7-8492-5917F19B16D8}"/>
    <hyperlink ref="L10" r:id="rId102" display="https://finance.yahoo.com/quote/BABA/options?strike=75&amp;straddle=false" xr:uid="{B50EB63A-3BFB-4C2A-AC09-88307406075D}"/>
    <hyperlink ref="L11" r:id="rId103" display="https://finance.yahoo.com/quote/BABA/options?strike=80&amp;straddle=false" xr:uid="{503D1A1A-3742-4BB7-9B63-5FAA5F410128}"/>
    <hyperlink ref="L12" r:id="rId104" display="https://finance.yahoo.com/quote/BABA/options?strike=85&amp;straddle=false" xr:uid="{FBBA6B1B-8F4F-4A51-AF6F-92D886F21ED4}"/>
    <hyperlink ref="L13" r:id="rId105" display="https://finance.yahoo.com/quote/BABA/options?strike=90&amp;straddle=false" xr:uid="{0C2524B4-9C40-4A28-B182-34DD1E97E165}"/>
    <hyperlink ref="L14" r:id="rId106" display="https://finance.yahoo.com/quote/BABA/options?strike=95&amp;straddle=false" xr:uid="{6DB52315-30C9-42A1-8EBA-A7559D662BA3}"/>
    <hyperlink ref="L15" r:id="rId107" display="https://finance.yahoo.com/quote/BABA/options?strike=100&amp;straddle=false" xr:uid="{432ECF98-01FF-42B4-B17D-B98E13A26B38}"/>
    <hyperlink ref="L16" r:id="rId108" display="https://finance.yahoo.com/quote/BABA/options?strike=105&amp;straddle=false" xr:uid="{74659AEC-18B2-454B-8EC8-F705F17B3AFB}"/>
    <hyperlink ref="L17" r:id="rId109" display="https://finance.yahoo.com/quote/BABA/options?strike=110&amp;straddle=false" xr:uid="{5BE07023-ABFA-4ACF-B5C1-338838E42864}"/>
    <hyperlink ref="L18" r:id="rId110" display="https://finance.yahoo.com/quote/BABA/options?strike=115&amp;straddle=false" xr:uid="{5540849F-64F3-449F-A7A5-C84D003C6D67}"/>
    <hyperlink ref="L19" r:id="rId111" display="https://finance.yahoo.com/quote/BABA/options?strike=120&amp;straddle=false" xr:uid="{13666797-291F-4FC5-8ACE-070460441DD9}"/>
    <hyperlink ref="L20" r:id="rId112" display="https://finance.yahoo.com/quote/BABA/options?strike=125&amp;straddle=false" xr:uid="{8D6B583F-EEDC-4703-A750-97F7B5CB4BD5}"/>
    <hyperlink ref="L21" r:id="rId113" display="https://finance.yahoo.com/quote/BABA/options?strike=130&amp;straddle=false" xr:uid="{5C1465F3-C800-4852-9868-B79E8F0BE3FF}"/>
    <hyperlink ref="L22" r:id="rId114" display="https://finance.yahoo.com/quote/BABA/options?strike=135&amp;straddle=false" xr:uid="{10B51A4B-ECCE-4854-852E-79AE9E4FA8F7}"/>
    <hyperlink ref="L23" r:id="rId115" display="https://finance.yahoo.com/quote/BABA/options?strike=140&amp;straddle=false" xr:uid="{4B390664-7FCD-456B-86F0-D7775037A8A4}"/>
    <hyperlink ref="L24" r:id="rId116" display="https://finance.yahoo.com/quote/BABA/options?strike=145&amp;straddle=false" xr:uid="{71E35B07-FCE3-4776-84D2-CF5A2C642DC3}"/>
    <hyperlink ref="L25" r:id="rId117" display="https://finance.yahoo.com/quote/BABA/options?strike=150&amp;straddle=false" xr:uid="{34348A9E-5787-480A-BCE2-BE015E08336E}"/>
    <hyperlink ref="L26" r:id="rId118" display="https://finance.yahoo.com/quote/BABA/options?strike=155&amp;straddle=false" xr:uid="{85C21592-7CCC-40EA-9EAA-66C448F3B919}"/>
    <hyperlink ref="L27" r:id="rId119" display="https://finance.yahoo.com/quote/BABA/options?strike=160&amp;straddle=false" xr:uid="{F78A60FB-F081-416C-8074-B52505A03764}"/>
    <hyperlink ref="L28" r:id="rId120" display="https://finance.yahoo.com/quote/BABA/options?strike=165&amp;straddle=false" xr:uid="{94BE8115-23A5-483C-9557-6333A1681BD3}"/>
    <hyperlink ref="L29" r:id="rId121" display="https://finance.yahoo.com/quote/BABA/options?strike=170&amp;straddle=false" xr:uid="{82F57A21-098F-411B-A625-EBB6AC886367}"/>
    <hyperlink ref="L30" r:id="rId122" display="https://finance.yahoo.com/quote/BABA/options?strike=175&amp;straddle=false" xr:uid="{6B3FFBCA-C9B7-4E83-AC01-E8E6D8C66820}"/>
    <hyperlink ref="L31" r:id="rId123" display="https://finance.yahoo.com/quote/BABA/options?strike=180&amp;straddle=false" xr:uid="{A640FE1F-AB28-4AFF-B532-A15F7948FFB4}"/>
    <hyperlink ref="L32" r:id="rId124" display="https://finance.yahoo.com/quote/BABA/options?strike=185&amp;straddle=false" xr:uid="{D5832D07-1693-447E-B259-3A61743828AE}"/>
    <hyperlink ref="L3" r:id="rId125" display="https://finance.yahoo.com/quote/BABA/options?strike=40&amp;straddle=false" xr:uid="{4F01672D-7A7E-4A77-901E-6EC86F04FDDC}"/>
    <hyperlink ref="L5" r:id="rId126" display="https://finance.yahoo.com/quote/BABA/options?strike=50&amp;straddle=false" xr:uid="{CC6E3ACD-9DA4-4AB0-823A-DAF87FD7D625}"/>
    <hyperlink ref="L7" r:id="rId127" display="https://finance.yahoo.com/quote/BABA/options?strike=60&amp;straddle=false" xr:uid="{C54CD7BC-C155-4690-B3E1-66D8775F12C3}"/>
    <hyperlink ref="L8" r:id="rId128" display="https://finance.yahoo.com/quote/BABA/options?strike=65&amp;straddle=false" xr:uid="{2554E51B-E55C-4D9A-A7F0-810C4E72D901}"/>
    <hyperlink ref="L33" r:id="rId129" display="https://finance.yahoo.com/quote/BABA/options?strike=190&amp;straddle=false" xr:uid="{35B7EBF7-8A70-4FC1-9A91-63EDAEB6668A}"/>
    <hyperlink ref="L34" r:id="rId130" display="https://finance.yahoo.com/quote/BABA/options?strike=195&amp;straddle=false" xr:uid="{8E8C0524-D9D0-457E-8C47-E7C797EFEE04}"/>
    <hyperlink ref="L35" r:id="rId131" display="https://finance.yahoo.com/quote/BABA/options?strike=200&amp;straddle=false" xr:uid="{31AA907A-BF65-40A4-8C1F-14DC69B97F5A}"/>
    <hyperlink ref="L36" r:id="rId132" display="https://finance.yahoo.com/quote/BABA/options?strike=205&amp;straddle=false" xr:uid="{42F16F99-30A5-47AA-ADD3-CB1B863AE3A7}"/>
    <hyperlink ref="L37" r:id="rId133" display="https://finance.yahoo.com/quote/BABA/options?strike=210&amp;straddle=false" xr:uid="{712BD137-AFDC-4D22-8039-1B7BECB6DFEF}"/>
    <hyperlink ref="L38" r:id="rId134" display="https://finance.yahoo.com/quote/BABA/options?strike=215&amp;straddle=false" xr:uid="{1E878D1C-72ED-42B9-9C5F-ECF82F4092DC}"/>
    <hyperlink ref="L39" r:id="rId135" display="https://finance.yahoo.com/quote/BABA/options?strike=220&amp;straddle=false" xr:uid="{E1645017-9ECC-4A67-8A57-CF24532D391B}"/>
    <hyperlink ref="L40" r:id="rId136" display="https://finance.yahoo.com/quote/BABA/options?strike=225&amp;straddle=false" xr:uid="{D8486F13-18C7-422F-BB3B-F45732FFB64E}"/>
    <hyperlink ref="L41" r:id="rId137" display="https://finance.yahoo.com/quote/BABA/options?strike=230&amp;straddle=false" xr:uid="{0C747B69-86E2-4B24-BDBE-998E270DD8C0}"/>
    <hyperlink ref="L42" r:id="rId138" display="https://finance.yahoo.com/quote/BABA/options?strike=235&amp;straddle=false" xr:uid="{843A96FC-6748-4409-A5B3-4272EC8064BE}"/>
    <hyperlink ref="L43" r:id="rId139" display="https://finance.yahoo.com/quote/BABA/options?strike=240&amp;straddle=false" xr:uid="{C5833526-B43A-4125-9B60-438151A67DE5}"/>
    <hyperlink ref="L44" r:id="rId140" display="https://finance.yahoo.com/quote/BABA/options?strike=245&amp;straddle=false" xr:uid="{8DD0CE02-6AA8-47ED-8AB0-00F5D57049C2}"/>
    <hyperlink ref="L45" r:id="rId141" display="https://finance.yahoo.com/quote/BABA/options?strike=250&amp;straddle=false" xr:uid="{E70AD48B-BD12-46C5-90AB-273FFABC28F4}"/>
    <hyperlink ref="L46" r:id="rId142" display="https://finance.yahoo.com/quote/BABA/options?strike=255&amp;straddle=false" xr:uid="{ED0443AD-A399-4EBC-825A-AF8D01E7F9A4}"/>
    <hyperlink ref="L47" r:id="rId143" display="https://finance.yahoo.com/quote/BABA/options?strike=260&amp;straddle=false" xr:uid="{14EB3D38-6D93-4DC8-977D-DE9120361A16}"/>
    <hyperlink ref="L48" r:id="rId144" display="https://finance.yahoo.com/quote/BABA/options?strike=265&amp;straddle=false" xr:uid="{BCE6B3C0-FCE6-48A6-B47D-D2E1C4EA6DE5}"/>
    <hyperlink ref="L49" r:id="rId145" display="https://finance.yahoo.com/quote/BABA/options?strike=270&amp;straddle=false" xr:uid="{984C0B88-5D87-4084-BBA1-B28B667B0E99}"/>
    <hyperlink ref="V3" r:id="rId146" display="https://finance.yahoo.com/quote/BABA/options?strike=70&amp;straddle=false" xr:uid="{A50913DC-53A1-48F4-8B7C-6302BFF46EAC}"/>
    <hyperlink ref="V4" r:id="rId147" display="https://finance.yahoo.com/quote/BABA/options?strike=75&amp;straddle=false" xr:uid="{97D71F1A-9918-4E21-A5FD-03358DB31584}"/>
    <hyperlink ref="V5" r:id="rId148" display="https://finance.yahoo.com/quote/BABA/options?strike=80&amp;straddle=false" xr:uid="{69B80D62-1C0B-456F-A94A-321711D99CBD}"/>
    <hyperlink ref="V6" r:id="rId149" display="https://finance.yahoo.com/quote/BABA/options?strike=85&amp;straddle=false" xr:uid="{98D30A80-1BE6-4C3C-B777-B74B88310156}"/>
    <hyperlink ref="V7" r:id="rId150" display="https://finance.yahoo.com/quote/BABA/options?strike=90&amp;straddle=false" xr:uid="{DA1ABDD9-515A-434E-B699-52E34E2F5D63}"/>
    <hyperlink ref="V8" r:id="rId151" display="https://finance.yahoo.com/quote/BABA/options?strike=95&amp;straddle=false" xr:uid="{DE622DEB-2565-4C56-A472-735B2C262C11}"/>
    <hyperlink ref="V9" r:id="rId152" display="https://finance.yahoo.com/quote/BABA/options?strike=100&amp;straddle=false" xr:uid="{E1C318EF-A096-478A-89DA-CF8D09CC2F19}"/>
    <hyperlink ref="V10" r:id="rId153" display="https://finance.yahoo.com/quote/BABA/options?strike=105&amp;straddle=false" xr:uid="{A8783622-5427-4621-BD4B-82502CF3431E}"/>
    <hyperlink ref="V11" r:id="rId154" display="https://finance.yahoo.com/quote/BABA/options?strike=110&amp;straddle=false" xr:uid="{0CC8DE38-55C3-4DEB-BA2F-2C2B20D51F66}"/>
    <hyperlink ref="V12" r:id="rId155" display="https://finance.yahoo.com/quote/BABA/options?strike=115&amp;straddle=false" xr:uid="{71FA6844-5A55-4DC0-8FD0-4511BBB3378F}"/>
    <hyperlink ref="V13" r:id="rId156" display="https://finance.yahoo.com/quote/BABA/options?strike=120&amp;straddle=false" xr:uid="{D3D04FC6-97CB-485C-8524-D6C68AA52183}"/>
    <hyperlink ref="V14" r:id="rId157" display="https://finance.yahoo.com/quote/BABA/options?strike=125&amp;straddle=false" xr:uid="{0FC6AF88-6542-4190-9062-4FE7170C03B2}"/>
    <hyperlink ref="V15" r:id="rId158" display="https://finance.yahoo.com/quote/BABA/options?strike=130&amp;straddle=false" xr:uid="{58E5EFB2-A1A7-4987-8F19-476EA2BFF8C2}"/>
    <hyperlink ref="V16" r:id="rId159" display="https://finance.yahoo.com/quote/BABA/options?strike=135&amp;straddle=false" xr:uid="{1A9AAFF1-FA84-4FD7-AF38-E127605A921B}"/>
    <hyperlink ref="V17" r:id="rId160" display="https://finance.yahoo.com/quote/BABA/options?strike=140&amp;straddle=false" xr:uid="{5BF43B11-9585-43D9-910D-499904FBAE73}"/>
    <hyperlink ref="V18" r:id="rId161" display="https://finance.yahoo.com/quote/BABA/options?strike=145&amp;straddle=false" xr:uid="{2813A76B-D01F-403D-A24B-6CC9B6389B2C}"/>
    <hyperlink ref="V19" r:id="rId162" display="https://finance.yahoo.com/quote/BABA/options?strike=150&amp;straddle=false" xr:uid="{B47DDA27-A021-4BD8-BB7B-3B1D4B89C648}"/>
    <hyperlink ref="V20" r:id="rId163" display="https://finance.yahoo.com/quote/BABA/options?strike=155&amp;straddle=false" xr:uid="{F3A7EE06-2770-4F15-B1F7-AB3979C409D3}"/>
    <hyperlink ref="V21" r:id="rId164" display="https://finance.yahoo.com/quote/BABA/options?strike=160&amp;straddle=false" xr:uid="{6BACA1A3-B521-4DCD-BE6D-8474E0C57891}"/>
    <hyperlink ref="V22" r:id="rId165" display="https://finance.yahoo.com/quote/BABA/options?strike=165&amp;straddle=false" xr:uid="{8B1E288F-57CD-4A86-A469-DAD8DD861ACB}"/>
    <hyperlink ref="V23" r:id="rId166" display="https://finance.yahoo.com/quote/BABA/options?strike=170&amp;straddle=false" xr:uid="{D72E6B88-F059-4BBA-BA4E-D1FBF4B44546}"/>
    <hyperlink ref="V24" r:id="rId167" display="https://finance.yahoo.com/quote/BABA/options?strike=175&amp;straddle=false" xr:uid="{A02C0BB7-3FF3-4D74-A038-8F7F7F6AA2E0}"/>
    <hyperlink ref="V25" r:id="rId168" display="https://finance.yahoo.com/quote/BABA/options?strike=180&amp;straddle=false" xr:uid="{D3D4C80F-EB42-4445-9054-12E155A5F36E}"/>
    <hyperlink ref="V26" r:id="rId169" display="https://finance.yahoo.com/quote/BABA/options?strike=185&amp;straddle=false" xr:uid="{15A60206-64D5-47A4-ACDF-44269AB51CA0}"/>
  </hyperlinks>
  <pageMargins left="0.7" right="0.7" top="0.75" bottom="0.75" header="0.3" footer="0.3"/>
  <drawing r:id="rId17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Greeks</vt:lpstr>
      <vt:lpstr>T=1m</vt:lpstr>
      <vt:lpstr>T=3m</vt:lpstr>
      <vt:lpstr>T=6m</vt:lpstr>
      <vt:lpstr>T=9m</vt:lpstr>
      <vt:lpstr>T=1y</vt:lpstr>
      <vt:lpstr>T=2y</vt:lpstr>
      <vt:lpstr>Smile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Sebastiano Monti</dc:creator>
  <cp:lastModifiedBy>Sebastiano Monti</cp:lastModifiedBy>
  <dcterms:created xsi:type="dcterms:W3CDTF">2022-04-01T14:48:26Z</dcterms:created>
  <dcterms:modified xsi:type="dcterms:W3CDTF">2022-04-08T00:59:14Z</dcterms:modified>
</cp:coreProperties>
</file>