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Sebastiano\Desktop\PHYSICS OF DATA\Primo Anno\Secondo Semestre\Stochastic methods for finance\Lab sessions\02-03\"/>
    </mc:Choice>
  </mc:AlternateContent>
  <xr:revisionPtr revIDLastSave="0" documentId="13_ncr:1_{8B4D58A8-7863-473C-AE07-D5BBF8C550A0}" xr6:coauthVersionLast="47" xr6:coauthVersionMax="47" xr10:uidLastSave="{00000000-0000-0000-0000-000000000000}"/>
  <bookViews>
    <workbookView xWindow="-108" yWindow="-108" windowWidth="23256" windowHeight="12576" activeTab="1" xr2:uid="{F67A6B92-FF87-4210-AFE5-80736FAAF965}"/>
  </bookViews>
  <sheets>
    <sheet name="Report 2" sheetId="2" r:id="rId1"/>
    <sheet name="Report 3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7" i="2" l="1"/>
  <c r="D38" i="2"/>
  <c r="D50" i="2"/>
  <c r="D11" i="2"/>
  <c r="D13" i="2"/>
  <c r="D49" i="2"/>
  <c r="D37" i="2"/>
  <c r="D26" i="2"/>
  <c r="D12" i="2"/>
  <c r="D48" i="2"/>
  <c r="D25" i="2"/>
  <c r="D36" i="2"/>
  <c r="M45" i="2"/>
  <c r="M46" i="2"/>
  <c r="M33" i="2"/>
  <c r="M34" i="2"/>
  <c r="M22" i="2"/>
  <c r="M23" i="2"/>
  <c r="M6" i="2"/>
  <c r="M7" i="2"/>
  <c r="B49" i="2"/>
  <c r="B48" i="2"/>
  <c r="M42" i="2"/>
  <c r="M43" i="2"/>
  <c r="M44" i="2"/>
  <c r="M41" i="2"/>
  <c r="B37" i="2"/>
  <c r="B36" i="2"/>
  <c r="M30" i="2"/>
  <c r="M31" i="2"/>
  <c r="M32" i="2"/>
  <c r="M29" i="2"/>
  <c r="B26" i="2"/>
  <c r="B12" i="2"/>
  <c r="B25" i="2"/>
  <c r="M19" i="2"/>
  <c r="M20" i="2"/>
  <c r="M21" i="2"/>
  <c r="M18" i="2"/>
  <c r="B11" i="2"/>
  <c r="M4" i="2"/>
  <c r="M5" i="2"/>
  <c r="M3" i="2"/>
  <c r="M2" i="2"/>
  <c r="T3" i="1" a="1"/>
  <c r="T12" i="1" a="1"/>
  <c r="T36" i="1" a="1"/>
  <c r="T48" i="1" a="1"/>
  <c r="T56" i="1" a="1"/>
  <c r="T64" i="1" a="1"/>
  <c r="T72" i="1" a="1"/>
  <c r="T80" i="1" a="1"/>
  <c r="T88" i="1" a="1"/>
  <c r="T96" i="1" a="1"/>
  <c r="T85" i="1" a="1"/>
  <c r="T97" i="1" a="1"/>
  <c r="T70" i="1" a="1"/>
  <c r="T86" i="1" a="1"/>
  <c r="T83" i="1" a="1"/>
  <c r="T4" i="1" a="1"/>
  <c r="T8" i="1" a="1"/>
  <c r="T16" i="1" a="1"/>
  <c r="T20" i="1" a="1"/>
  <c r="T24" i="1" a="1"/>
  <c r="T28" i="1" a="1"/>
  <c r="T32" i="1" a="1"/>
  <c r="T40" i="1" a="1"/>
  <c r="T44" i="1" a="1"/>
  <c r="T52" i="1" a="1"/>
  <c r="T60" i="1" a="1"/>
  <c r="T68" i="1" a="1"/>
  <c r="T76" i="1" a="1"/>
  <c r="T84" i="1" a="1"/>
  <c r="T92" i="1" a="1"/>
  <c r="T100" i="1" a="1"/>
  <c r="T89" i="1" a="1"/>
  <c r="T62" i="1" a="1"/>
  <c r="T78" i="1" a="1"/>
  <c r="T13" i="1" a="1"/>
  <c r="T25" i="1" a="1"/>
  <c r="T33" i="1" a="1"/>
  <c r="T37" i="1" a="1"/>
  <c r="T41" i="1" a="1"/>
  <c r="T49" i="1" a="1"/>
  <c r="T53" i="1" a="1"/>
  <c r="T61" i="1" a="1"/>
  <c r="T65" i="1" a="1"/>
  <c r="T69" i="1" a="1"/>
  <c r="T77" i="1" a="1"/>
  <c r="T81" i="1" a="1"/>
  <c r="T93" i="1" a="1"/>
  <c r="T66" i="1" a="1"/>
  <c r="T82" i="1" a="1"/>
  <c r="T94" i="1" a="1"/>
  <c r="T95" i="1" a="1"/>
  <c r="T5" i="1" a="1"/>
  <c r="T9" i="1" a="1"/>
  <c r="T17" i="1" a="1"/>
  <c r="T21" i="1" a="1"/>
  <c r="T29" i="1" a="1"/>
  <c r="T45" i="1" a="1"/>
  <c r="T57" i="1" a="1"/>
  <c r="T73" i="1" a="1"/>
  <c r="T101" i="1" a="1"/>
  <c r="T98" i="1" a="1"/>
  <c r="T6" i="1" a="1"/>
  <c r="T10" i="1" a="1"/>
  <c r="T14" i="1" a="1"/>
  <c r="T18" i="1" a="1"/>
  <c r="T22" i="1" a="1"/>
  <c r="T26" i="1" a="1"/>
  <c r="T30" i="1" a="1"/>
  <c r="T34" i="1" a="1"/>
  <c r="T38" i="1" a="1"/>
  <c r="T42" i="1" a="1"/>
  <c r="T46" i="1" a="1"/>
  <c r="T50" i="1" a="1"/>
  <c r="T54" i="1" a="1"/>
  <c r="T58" i="1" a="1"/>
  <c r="T74" i="1" a="1"/>
  <c r="T90" i="1" a="1"/>
  <c r="T87" i="1" a="1"/>
  <c r="T99" i="1" a="1"/>
  <c r="T7" i="1" a="1"/>
  <c r="T11" i="1" a="1"/>
  <c r="T15" i="1" a="1"/>
  <c r="T19" i="1" a="1"/>
  <c r="T23" i="1" a="1"/>
  <c r="T27" i="1" a="1"/>
  <c r="T31" i="1" a="1"/>
  <c r="T35" i="1" a="1"/>
  <c r="T39" i="1" a="1"/>
  <c r="T43" i="1" a="1"/>
  <c r="T47" i="1" a="1"/>
  <c r="T51" i="1" a="1"/>
  <c r="T55" i="1" a="1"/>
  <c r="T59" i="1" a="1"/>
  <c r="T63" i="1" a="1"/>
  <c r="T67" i="1" a="1"/>
  <c r="T71" i="1" a="1"/>
  <c r="T75" i="1" a="1"/>
  <c r="T79" i="1" a="1"/>
  <c r="T91" i="1" a="1"/>
  <c r="T2" i="1" a="1"/>
  <c r="S3" i="1" a="1"/>
  <c r="S7" i="1" a="1"/>
  <c r="S15" i="1" a="1"/>
  <c r="S19" i="1" a="1"/>
  <c r="S23" i="1" a="1"/>
  <c r="S27" i="1" a="1"/>
  <c r="S31" i="1" a="1"/>
  <c r="S39" i="1" a="1"/>
  <c r="S43" i="1" a="1"/>
  <c r="S51" i="1" a="1"/>
  <c r="S63" i="1" a="1"/>
  <c r="S71" i="1" a="1"/>
  <c r="S79" i="1" a="1"/>
  <c r="S87" i="1" a="1"/>
  <c r="S95" i="1" a="1"/>
  <c r="S100" i="1" a="1"/>
  <c r="S50" i="1" a="1"/>
  <c r="S78" i="1" a="1"/>
  <c r="S40" i="1" a="1"/>
  <c r="S72" i="1" a="1"/>
  <c r="S84" i="1" a="1"/>
  <c r="S92" i="1" a="1"/>
  <c r="S42" i="1" a="1"/>
  <c r="S70" i="1" a="1"/>
  <c r="S4" i="1" a="1"/>
  <c r="S8" i="1" a="1"/>
  <c r="S12" i="1" a="1"/>
  <c r="S16" i="1" a="1"/>
  <c r="S20" i="1" a="1"/>
  <c r="S24" i="1" a="1"/>
  <c r="S28" i="1" a="1"/>
  <c r="S32" i="1" a="1"/>
  <c r="S36" i="1" a="1"/>
  <c r="S44" i="1" a="1"/>
  <c r="S48" i="1" a="1"/>
  <c r="S52" i="1" a="1"/>
  <c r="S56" i="1" a="1"/>
  <c r="S60" i="1" a="1"/>
  <c r="S64" i="1" a="1"/>
  <c r="S68" i="1" a="1"/>
  <c r="S76" i="1" a="1"/>
  <c r="S80" i="1" a="1"/>
  <c r="S88" i="1" a="1"/>
  <c r="S34" i="1" a="1"/>
  <c r="S62" i="1" a="1"/>
  <c r="S90" i="1" a="1"/>
  <c r="S13" i="1" a="1"/>
  <c r="S33" i="1" a="1"/>
  <c r="S41" i="1" a="1"/>
  <c r="S49" i="1" a="1"/>
  <c r="S57" i="1" a="1"/>
  <c r="S65" i="1" a="1"/>
  <c r="S73" i="1" a="1"/>
  <c r="S81" i="1" a="1"/>
  <c r="S89" i="1" a="1"/>
  <c r="S97" i="1" a="1"/>
  <c r="S22" i="1" a="1"/>
  <c r="S54" i="1" a="1"/>
  <c r="S74" i="1" a="1"/>
  <c r="S98" i="1" a="1"/>
  <c r="S5" i="1" a="1"/>
  <c r="S9" i="1" a="1"/>
  <c r="S17" i="1" a="1"/>
  <c r="S21" i="1" a="1"/>
  <c r="S25" i="1" a="1"/>
  <c r="S29" i="1" a="1"/>
  <c r="S37" i="1" a="1"/>
  <c r="S45" i="1" a="1"/>
  <c r="S53" i="1" a="1"/>
  <c r="S61" i="1" a="1"/>
  <c r="S69" i="1" a="1"/>
  <c r="S77" i="1" a="1"/>
  <c r="S85" i="1" a="1"/>
  <c r="S93" i="1" a="1"/>
  <c r="S101" i="1" a="1"/>
  <c r="S30" i="1" a="1"/>
  <c r="S66" i="1" a="1"/>
  <c r="S94" i="1" a="1"/>
  <c r="S6" i="1" a="1"/>
  <c r="S10" i="1" a="1"/>
  <c r="S14" i="1" a="1"/>
  <c r="S18" i="1" a="1"/>
  <c r="S26" i="1" a="1"/>
  <c r="S38" i="1" a="1"/>
  <c r="S58" i="1" a="1"/>
  <c r="S86" i="1" a="1"/>
  <c r="S11" i="1" a="1"/>
  <c r="S35" i="1" a="1"/>
  <c r="S47" i="1" a="1"/>
  <c r="S55" i="1" a="1"/>
  <c r="S59" i="1" a="1"/>
  <c r="S67" i="1" a="1"/>
  <c r="S75" i="1" a="1"/>
  <c r="S83" i="1" a="1"/>
  <c r="S91" i="1" a="1"/>
  <c r="S99" i="1" a="1"/>
  <c r="S96" i="1" a="1"/>
  <c r="S46" i="1" a="1"/>
  <c r="S82" i="1" a="1"/>
  <c r="S2" i="1" a="1"/>
  <c r="R3" i="1" a="1"/>
  <c r="R7" i="1" a="1"/>
  <c r="R11" i="1" a="1"/>
  <c r="R15" i="1" a="1"/>
  <c r="R19" i="1" a="1"/>
  <c r="R23" i="1" a="1"/>
  <c r="R27" i="1" a="1"/>
  <c r="R31" i="1" a="1"/>
  <c r="R35" i="1" a="1"/>
  <c r="R39" i="1" a="1"/>
  <c r="R43" i="1" a="1"/>
  <c r="R47" i="1" a="1"/>
  <c r="R51" i="1" a="1"/>
  <c r="R55" i="1" a="1"/>
  <c r="R59" i="1" a="1"/>
  <c r="R63" i="1" a="1"/>
  <c r="R67" i="1" a="1"/>
  <c r="R71" i="1" a="1"/>
  <c r="R75" i="1" a="1"/>
  <c r="R79" i="1" a="1"/>
  <c r="R99" i="1" a="1"/>
  <c r="R4" i="1" a="1"/>
  <c r="R8" i="1" a="1"/>
  <c r="R12" i="1" a="1"/>
  <c r="R16" i="1" a="1"/>
  <c r="R20" i="1" a="1"/>
  <c r="R24" i="1" a="1"/>
  <c r="R28" i="1" a="1"/>
  <c r="R32" i="1" a="1"/>
  <c r="R36" i="1" a="1"/>
  <c r="R40" i="1" a="1"/>
  <c r="R44" i="1" a="1"/>
  <c r="R48" i="1" a="1"/>
  <c r="R52" i="1" a="1"/>
  <c r="R56" i="1" a="1"/>
  <c r="R60" i="1" a="1"/>
  <c r="R64" i="1" a="1"/>
  <c r="R68" i="1" a="1"/>
  <c r="R72" i="1" a="1"/>
  <c r="R76" i="1" a="1"/>
  <c r="R80" i="1" a="1"/>
  <c r="R84" i="1" a="1"/>
  <c r="R88" i="1" a="1"/>
  <c r="R92" i="1" a="1"/>
  <c r="R96" i="1" a="1"/>
  <c r="R100" i="1" a="1"/>
  <c r="R9" i="1" a="1"/>
  <c r="R29" i="1" a="1"/>
  <c r="R37" i="1" a="1"/>
  <c r="R45" i="1" a="1"/>
  <c r="R53" i="1" a="1"/>
  <c r="R61" i="1" a="1"/>
  <c r="R69" i="1" a="1"/>
  <c r="R77" i="1" a="1"/>
  <c r="R85" i="1" a="1"/>
  <c r="R93" i="1" a="1"/>
  <c r="R101" i="1" a="1"/>
  <c r="R91" i="1" a="1"/>
  <c r="R5" i="1" a="1"/>
  <c r="R13" i="1" a="1"/>
  <c r="R17" i="1" a="1"/>
  <c r="R21" i="1" a="1"/>
  <c r="R25" i="1" a="1"/>
  <c r="R33" i="1" a="1"/>
  <c r="R41" i="1" a="1"/>
  <c r="R49" i="1" a="1"/>
  <c r="R57" i="1" a="1"/>
  <c r="R65" i="1" a="1"/>
  <c r="R73" i="1" a="1"/>
  <c r="R81" i="1" a="1"/>
  <c r="R89" i="1" a="1"/>
  <c r="R97" i="1" a="1"/>
  <c r="R95" i="1" a="1"/>
  <c r="R10" i="1" a="1"/>
  <c r="R42" i="1" a="1"/>
  <c r="R50" i="1" a="1"/>
  <c r="R58" i="1" a="1"/>
  <c r="R66" i="1" a="1"/>
  <c r="R74" i="1" a="1"/>
  <c r="R82" i="1" a="1"/>
  <c r="R90" i="1" a="1"/>
  <c r="R98" i="1" a="1"/>
  <c r="R87" i="1" a="1"/>
  <c r="R6" i="1" a="1"/>
  <c r="R14" i="1" a="1"/>
  <c r="R18" i="1" a="1"/>
  <c r="R22" i="1" a="1"/>
  <c r="R26" i="1" a="1"/>
  <c r="R30" i="1" a="1"/>
  <c r="R34" i="1" a="1"/>
  <c r="R38" i="1" a="1"/>
  <c r="R46" i="1" a="1"/>
  <c r="R54" i="1" a="1"/>
  <c r="R62" i="1" a="1"/>
  <c r="R70" i="1" a="1"/>
  <c r="R78" i="1" a="1"/>
  <c r="R86" i="1" a="1"/>
  <c r="R94" i="1" a="1"/>
  <c r="R83" i="1" a="1"/>
  <c r="R2" i="1" a="1"/>
  <c r="M3" i="1" a="1"/>
  <c r="M7" i="1" a="1"/>
  <c r="M11" i="1" a="1"/>
  <c r="M15" i="1" a="1"/>
  <c r="M19" i="1" a="1"/>
  <c r="M23" i="1" a="1"/>
  <c r="M27" i="1" a="1"/>
  <c r="M31" i="1" a="1"/>
  <c r="M35" i="1" a="1"/>
  <c r="M39" i="1" a="1"/>
  <c r="M43" i="1" a="1"/>
  <c r="M47" i="1" a="1"/>
  <c r="M51" i="1" a="1"/>
  <c r="M55" i="1" a="1"/>
  <c r="M59" i="1" a="1"/>
  <c r="M63" i="1" a="1"/>
  <c r="M67" i="1" a="1"/>
  <c r="M71" i="1" a="1"/>
  <c r="M75" i="1" a="1"/>
  <c r="M79" i="1" a="1"/>
  <c r="M83" i="1" a="1"/>
  <c r="M8" i="1" a="1"/>
  <c r="M16" i="1" a="1"/>
  <c r="M24" i="1" a="1"/>
  <c r="M32" i="1" a="1"/>
  <c r="M40" i="1" a="1"/>
  <c r="M48" i="1" a="1"/>
  <c r="M56" i="1" a="1"/>
  <c r="M64" i="1" a="1"/>
  <c r="M72" i="1" a="1"/>
  <c r="M84" i="1" a="1"/>
  <c r="M92" i="1" a="1"/>
  <c r="M100" i="1" a="1"/>
  <c r="M70" i="1" a="1"/>
  <c r="M94" i="1" a="1"/>
  <c r="M91" i="1" a="1"/>
  <c r="M4" i="1" a="1"/>
  <c r="M12" i="1" a="1"/>
  <c r="M20" i="1" a="1"/>
  <c r="M28" i="1" a="1"/>
  <c r="M36" i="1" a="1"/>
  <c r="M44" i="1" a="1"/>
  <c r="M52" i="1" a="1"/>
  <c r="M60" i="1" a="1"/>
  <c r="M68" i="1" a="1"/>
  <c r="M76" i="1" a="1"/>
  <c r="M80" i="1" a="1"/>
  <c r="M88" i="1" a="1"/>
  <c r="M96" i="1" a="1"/>
  <c r="M66" i="1" a="1"/>
  <c r="M90" i="1" a="1"/>
  <c r="M95" i="1" a="1"/>
  <c r="M9" i="1" a="1"/>
  <c r="M17" i="1" a="1"/>
  <c r="M29" i="1" a="1"/>
  <c r="M37" i="1" a="1"/>
  <c r="M45" i="1" a="1"/>
  <c r="M57" i="1" a="1"/>
  <c r="M65" i="1" a="1"/>
  <c r="M73" i="1" a="1"/>
  <c r="M81" i="1" a="1"/>
  <c r="M89" i="1" a="1"/>
  <c r="M97" i="1" a="1"/>
  <c r="M78" i="1" a="1"/>
  <c r="M98" i="1" a="1"/>
  <c r="M5" i="1" a="1"/>
  <c r="M13" i="1" a="1"/>
  <c r="M21" i="1" a="1"/>
  <c r="M25" i="1" a="1"/>
  <c r="M33" i="1" a="1"/>
  <c r="M41" i="1" a="1"/>
  <c r="M49" i="1" a="1"/>
  <c r="M53" i="1" a="1"/>
  <c r="M61" i="1" a="1"/>
  <c r="M69" i="1" a="1"/>
  <c r="M77" i="1" a="1"/>
  <c r="M85" i="1" a="1"/>
  <c r="M93" i="1" a="1"/>
  <c r="M101" i="1" a="1"/>
  <c r="M82" i="1" a="1"/>
  <c r="M99" i="1" a="1"/>
  <c r="M6" i="1" a="1"/>
  <c r="M10" i="1" a="1"/>
  <c r="M14" i="1" a="1"/>
  <c r="M18" i="1" a="1"/>
  <c r="M22" i="1" a="1"/>
  <c r="M26" i="1" a="1"/>
  <c r="M30" i="1" a="1"/>
  <c r="M34" i="1" a="1"/>
  <c r="M38" i="1" a="1"/>
  <c r="M42" i="1" a="1"/>
  <c r="M46" i="1" a="1"/>
  <c r="M50" i="1" a="1"/>
  <c r="M54" i="1" a="1"/>
  <c r="M58" i="1" a="1"/>
  <c r="M62" i="1" a="1"/>
  <c r="M74" i="1" a="1"/>
  <c r="M86" i="1" a="1"/>
  <c r="M87" i="1" a="1"/>
  <c r="M2" i="1" a="1"/>
  <c r="F2" i="1" a="1"/>
  <c r="F3" i="1" a="1"/>
  <c r="F7" i="1" a="1"/>
  <c r="F11" i="1" a="1"/>
  <c r="F15" i="1" a="1"/>
  <c r="F19" i="1" a="1"/>
  <c r="F23" i="1" a="1"/>
  <c r="F27" i="1" a="1"/>
  <c r="F31" i="1" a="1"/>
  <c r="F35" i="1" a="1"/>
  <c r="F39" i="1" a="1"/>
  <c r="F43" i="1" a="1"/>
  <c r="F47" i="1" a="1"/>
  <c r="F51" i="1" a="1"/>
  <c r="F55" i="1" a="1"/>
  <c r="F59" i="1" a="1"/>
  <c r="F63" i="1" a="1"/>
  <c r="F67" i="1" a="1"/>
  <c r="F71" i="1" a="1"/>
  <c r="F75" i="1" a="1"/>
  <c r="F79" i="1" a="1"/>
  <c r="F83" i="1" a="1"/>
  <c r="F87" i="1" a="1"/>
  <c r="F91" i="1" a="1"/>
  <c r="F95" i="1" a="1"/>
  <c r="F8" i="1" a="1"/>
  <c r="F20" i="1" a="1"/>
  <c r="F28" i="1" a="1"/>
  <c r="F36" i="1" a="1"/>
  <c r="F40" i="1" a="1"/>
  <c r="F44" i="1" a="1"/>
  <c r="F52" i="1" a="1"/>
  <c r="F56" i="1" a="1"/>
  <c r="F64" i="1" a="1"/>
  <c r="F68" i="1" a="1"/>
  <c r="F76" i="1" a="1"/>
  <c r="F80" i="1" a="1"/>
  <c r="F84" i="1" a="1"/>
  <c r="F92" i="1" a="1"/>
  <c r="F96" i="1" a="1"/>
  <c r="F4" i="1" a="1"/>
  <c r="F12" i="1" a="1"/>
  <c r="F16" i="1" a="1"/>
  <c r="F24" i="1" a="1"/>
  <c r="F32" i="1" a="1"/>
  <c r="F48" i="1" a="1"/>
  <c r="F60" i="1" a="1"/>
  <c r="F72" i="1" a="1"/>
  <c r="F88" i="1" a="1"/>
  <c r="F100" i="1" a="1"/>
  <c r="F99" i="1" a="1"/>
  <c r="F9" i="1" a="1"/>
  <c r="F33" i="1" a="1"/>
  <c r="F41" i="1" a="1"/>
  <c r="F49" i="1" a="1"/>
  <c r="F61" i="1" a="1"/>
  <c r="F65" i="1" a="1"/>
  <c r="F73" i="1" a="1"/>
  <c r="F81" i="1" a="1"/>
  <c r="F89" i="1" a="1"/>
  <c r="F97" i="1" a="1"/>
  <c r="F62" i="1" a="1"/>
  <c r="F78" i="1" a="1"/>
  <c r="F90" i="1" a="1"/>
  <c r="F5" i="1" a="1"/>
  <c r="F13" i="1" a="1"/>
  <c r="F17" i="1" a="1"/>
  <c r="F21" i="1" a="1"/>
  <c r="F25" i="1" a="1"/>
  <c r="F29" i="1" a="1"/>
  <c r="F37" i="1" a="1"/>
  <c r="F45" i="1" a="1"/>
  <c r="F53" i="1" a="1"/>
  <c r="F57" i="1" a="1"/>
  <c r="F69" i="1" a="1"/>
  <c r="F77" i="1" a="1"/>
  <c r="F85" i="1" a="1"/>
  <c r="F93" i="1" a="1"/>
  <c r="F101" i="1" a="1"/>
  <c r="F70" i="1" a="1"/>
  <c r="F82" i="1" a="1"/>
  <c r="F94" i="1" a="1"/>
  <c r="F10" i="1" a="1"/>
  <c r="F14" i="1" a="1"/>
  <c r="F18" i="1" a="1"/>
  <c r="F22" i="1" a="1"/>
  <c r="F26" i="1" a="1"/>
  <c r="F30" i="1" a="1"/>
  <c r="F34" i="1" a="1"/>
  <c r="F38" i="1" a="1"/>
  <c r="F42" i="1" a="1"/>
  <c r="F46" i="1" a="1"/>
  <c r="F50" i="1" a="1"/>
  <c r="F54" i="1" a="1"/>
  <c r="F58" i="1" a="1"/>
  <c r="F66" i="1" a="1"/>
  <c r="F74" i="1" a="1"/>
  <c r="F86" i="1" a="1"/>
  <c r="F98" i="1" a="1"/>
  <c r="F6" i="1" a="1"/>
  <c r="L7" i="1" a="1"/>
  <c r="L35" i="1" a="1"/>
  <c r="L47" i="1" a="1"/>
  <c r="L51" i="1" a="1"/>
  <c r="L59" i="1" a="1"/>
  <c r="L67" i="1" a="1"/>
  <c r="L75" i="1" a="1"/>
  <c r="L83" i="1" a="1"/>
  <c r="L91" i="1" a="1"/>
  <c r="L99" i="1" a="1"/>
  <c r="L100" i="1" a="1"/>
  <c r="L46" i="1" a="1"/>
  <c r="L78" i="1" a="1"/>
  <c r="L98" i="1" a="1"/>
  <c r="L12" i="1" a="1"/>
  <c r="L4" i="1" a="1"/>
  <c r="L8" i="1" a="1"/>
  <c r="L16" i="1" a="1"/>
  <c r="L20" i="1" a="1"/>
  <c r="L24" i="1" a="1"/>
  <c r="L28" i="1" a="1"/>
  <c r="L32" i="1" a="1"/>
  <c r="L36" i="1" a="1"/>
  <c r="L40" i="1" a="1"/>
  <c r="L44" i="1" a="1"/>
  <c r="L48" i="1" a="1"/>
  <c r="L52" i="1" a="1"/>
  <c r="L56" i="1" a="1"/>
  <c r="L60" i="1" a="1"/>
  <c r="L64" i="1" a="1"/>
  <c r="L68" i="1" a="1"/>
  <c r="L72" i="1" a="1"/>
  <c r="L76" i="1" a="1"/>
  <c r="L80" i="1" a="1"/>
  <c r="L88" i="1" a="1"/>
  <c r="L92" i="1" a="1"/>
  <c r="L50" i="1" a="1"/>
  <c r="L74" i="1" a="1"/>
  <c r="L90" i="1" a="1"/>
  <c r="L9" i="1" a="1"/>
  <c r="L17" i="1" a="1"/>
  <c r="L25" i="1" a="1"/>
  <c r="L29" i="1" a="1"/>
  <c r="L37" i="1" a="1"/>
  <c r="L41" i="1" a="1"/>
  <c r="L45" i="1" a="1"/>
  <c r="L53" i="1" a="1"/>
  <c r="L57" i="1" a="1"/>
  <c r="L65" i="1" a="1"/>
  <c r="L69" i="1" a="1"/>
  <c r="L77" i="1" a="1"/>
  <c r="L81" i="1" a="1"/>
  <c r="L85" i="1" a="1"/>
  <c r="L93" i="1" a="1"/>
  <c r="L97" i="1" a="1"/>
  <c r="L66" i="1" a="1"/>
  <c r="L86" i="1" a="1"/>
  <c r="L5" i="1" a="1"/>
  <c r="L13" i="1" a="1"/>
  <c r="L21" i="1" a="1"/>
  <c r="L33" i="1" a="1"/>
  <c r="L49" i="1" a="1"/>
  <c r="L61" i="1" a="1"/>
  <c r="L73" i="1" a="1"/>
  <c r="L89" i="1" a="1"/>
  <c r="L58" i="1" a="1"/>
  <c r="L6" i="1" a="1"/>
  <c r="L10" i="1" a="1"/>
  <c r="L14" i="1" a="1"/>
  <c r="L18" i="1" a="1"/>
  <c r="L22" i="1" a="1"/>
  <c r="L26" i="1" a="1"/>
  <c r="L30" i="1" a="1"/>
  <c r="L34" i="1" a="1"/>
  <c r="L38" i="1" a="1"/>
  <c r="L42" i="1" a="1"/>
  <c r="L54" i="1" a="1"/>
  <c r="L70" i="1" a="1"/>
  <c r="L94" i="1" a="1"/>
  <c r="L3" i="1" a="1"/>
  <c r="L11" i="1" a="1"/>
  <c r="L15" i="1" a="1"/>
  <c r="L19" i="1" a="1"/>
  <c r="L23" i="1" a="1"/>
  <c r="L27" i="1" a="1"/>
  <c r="L31" i="1" a="1"/>
  <c r="L39" i="1" a="1"/>
  <c r="L43" i="1" a="1"/>
  <c r="L55" i="1" a="1"/>
  <c r="L63" i="1" a="1"/>
  <c r="L71" i="1" a="1"/>
  <c r="L79" i="1" a="1"/>
  <c r="L87" i="1" a="1"/>
  <c r="L95" i="1" a="1"/>
  <c r="L84" i="1" a="1"/>
  <c r="L96" i="1" a="1"/>
  <c r="L101" i="1" a="1"/>
  <c r="L62" i="1" a="1"/>
  <c r="L82" i="1" a="1"/>
  <c r="L2" i="1" a="1"/>
  <c r="K3" i="1" a="1"/>
  <c r="K7" i="1" a="1"/>
  <c r="K11" i="1" a="1"/>
  <c r="K15" i="1" a="1"/>
  <c r="K19" i="1" a="1"/>
  <c r="K23" i="1" a="1"/>
  <c r="K27" i="1" a="1"/>
  <c r="K31" i="1" a="1"/>
  <c r="K35" i="1" a="1"/>
  <c r="K39" i="1" a="1"/>
  <c r="K43" i="1" a="1"/>
  <c r="K47" i="1" a="1"/>
  <c r="K51" i="1" a="1"/>
  <c r="K55" i="1" a="1"/>
  <c r="K59" i="1" a="1"/>
  <c r="K63" i="1" a="1"/>
  <c r="K67" i="1" a="1"/>
  <c r="K71" i="1" a="1"/>
  <c r="K75" i="1" a="1"/>
  <c r="K79" i="1" a="1"/>
  <c r="K83" i="1" a="1"/>
  <c r="K87" i="1" a="1"/>
  <c r="K4" i="1" a="1"/>
  <c r="K8" i="1" a="1"/>
  <c r="K12" i="1" a="1"/>
  <c r="K16" i="1" a="1"/>
  <c r="K20" i="1" a="1"/>
  <c r="K24" i="1" a="1"/>
  <c r="K28" i="1" a="1"/>
  <c r="K32" i="1" a="1"/>
  <c r="K36" i="1" a="1"/>
  <c r="K40" i="1" a="1"/>
  <c r="K44" i="1" a="1"/>
  <c r="K48" i="1" a="1"/>
  <c r="K52" i="1" a="1"/>
  <c r="K56" i="1" a="1"/>
  <c r="K60" i="1" a="1"/>
  <c r="K64" i="1" a="1"/>
  <c r="K68" i="1" a="1"/>
  <c r="K72" i="1" a="1"/>
  <c r="K76" i="1" a="1"/>
  <c r="K80" i="1" a="1"/>
  <c r="K84" i="1" a="1"/>
  <c r="K88" i="1" a="1"/>
  <c r="K92" i="1" a="1"/>
  <c r="K96" i="1" a="1"/>
  <c r="K100" i="1" a="1"/>
  <c r="K13" i="1" a="1"/>
  <c r="K41" i="1" a="1"/>
  <c r="K53" i="1" a="1"/>
  <c r="K61" i="1" a="1"/>
  <c r="K69" i="1" a="1"/>
  <c r="K77" i="1" a="1"/>
  <c r="K85" i="1" a="1"/>
  <c r="K97" i="1" a="1"/>
  <c r="K95" i="1" a="1"/>
  <c r="K5" i="1" a="1"/>
  <c r="K9" i="1" a="1"/>
  <c r="K17" i="1" a="1"/>
  <c r="K21" i="1" a="1"/>
  <c r="K25" i="1" a="1"/>
  <c r="K29" i="1" a="1"/>
  <c r="K33" i="1" a="1"/>
  <c r="K37" i="1" a="1"/>
  <c r="K45" i="1" a="1"/>
  <c r="K49" i="1" a="1"/>
  <c r="K57" i="1" a="1"/>
  <c r="K65" i="1" a="1"/>
  <c r="K73" i="1" a="1"/>
  <c r="K81" i="1" a="1"/>
  <c r="K89" i="1" a="1"/>
  <c r="K93" i="1" a="1"/>
  <c r="K101" i="1" a="1"/>
  <c r="K91" i="1" a="1"/>
  <c r="K18" i="1" a="1"/>
  <c r="K58" i="1" a="1"/>
  <c r="K74" i="1" a="1"/>
  <c r="K86" i="1" a="1"/>
  <c r="K6" i="1" a="1"/>
  <c r="K10" i="1" a="1"/>
  <c r="K14" i="1" a="1"/>
  <c r="K22" i="1" a="1"/>
  <c r="K26" i="1" a="1"/>
  <c r="K30" i="1" a="1"/>
  <c r="K34" i="1" a="1"/>
  <c r="K38" i="1" a="1"/>
  <c r="K42" i="1" a="1"/>
  <c r="K46" i="1" a="1"/>
  <c r="K50" i="1" a="1"/>
  <c r="K54" i="1" a="1"/>
  <c r="K62" i="1" a="1"/>
  <c r="K66" i="1" a="1"/>
  <c r="K70" i="1" a="1"/>
  <c r="K78" i="1" a="1"/>
  <c r="K82" i="1" a="1"/>
  <c r="K90" i="1" a="1"/>
  <c r="K94" i="1" a="1"/>
  <c r="K98" i="1" a="1"/>
  <c r="K99" i="1" a="1"/>
  <c r="K2" i="1" a="1"/>
  <c r="D2" i="1" a="1"/>
  <c r="D45" i="1" a="1"/>
  <c r="E23" i="1" a="1"/>
  <c r="D87" i="1" a="1"/>
  <c r="D58" i="1" a="1"/>
  <c r="E31" i="1" a="1"/>
  <c r="E34" i="1" a="1"/>
  <c r="D34" i="1" a="1"/>
  <c r="E63" i="1" a="1"/>
  <c r="D25" i="1" a="1"/>
  <c r="E19" i="1" a="1"/>
  <c r="E45" i="1" a="1"/>
  <c r="E78" i="1" a="1"/>
  <c r="E61" i="1" a="1"/>
  <c r="E51" i="1" a="1"/>
  <c r="D66" i="1" a="1"/>
  <c r="E83" i="1" a="1"/>
  <c r="E13" i="1" a="1"/>
  <c r="E65" i="1" a="1"/>
  <c r="D96" i="1" a="1"/>
  <c r="D7" i="1" a="1"/>
  <c r="D85" i="1" a="1"/>
  <c r="D54" i="1" a="1"/>
  <c r="E68" i="1" a="1"/>
  <c r="E8" i="1" a="1"/>
  <c r="D79" i="1" a="1"/>
  <c r="D29" i="1" a="1"/>
  <c r="D39" i="1" a="1"/>
  <c r="D50" i="1" a="1"/>
  <c r="E2" i="1" a="1"/>
  <c r="E75" i="1" a="1"/>
  <c r="D5" i="1" a="1"/>
  <c r="D3" i="1" a="1"/>
  <c r="E55" i="1" a="1"/>
  <c r="E18" i="1" a="1"/>
  <c r="D90" i="1" a="1"/>
  <c r="E87" i="1" a="1"/>
  <c r="E17" i="1" a="1"/>
  <c r="E71" i="1" a="1"/>
  <c r="E89" i="1" a="1"/>
  <c r="D75" i="1" a="1"/>
  <c r="E32" i="1" a="1"/>
  <c r="D83" i="1" a="1"/>
  <c r="D60" i="1" a="1"/>
  <c r="E20" i="1" a="1"/>
  <c r="E49" i="1" a="1"/>
  <c r="D80" i="1" a="1"/>
  <c r="E41" i="1" a="1"/>
  <c r="E79" i="1" a="1"/>
  <c r="E86" i="1" a="1"/>
  <c r="E54" i="1" a="1"/>
  <c r="D27" i="1" a="1"/>
  <c r="E36" i="1" a="1"/>
  <c r="E30" i="1" a="1"/>
  <c r="E80" i="1" a="1"/>
  <c r="D47" i="1" a="1"/>
  <c r="D97" i="1" a="1"/>
  <c r="E91" i="1" a="1"/>
  <c r="E16" i="1" a="1"/>
  <c r="E33" i="1" a="1"/>
  <c r="D8" i="1" a="1"/>
  <c r="E42" i="1" a="1"/>
  <c r="E5" i="1" a="1"/>
  <c r="D42" i="1" a="1"/>
  <c r="E24" i="1" a="1"/>
  <c r="E57" i="1" a="1"/>
  <c r="D88" i="1" a="1"/>
  <c r="E29" i="1" a="1"/>
  <c r="D99" i="1" a="1"/>
  <c r="D74" i="1" a="1"/>
  <c r="D14" i="1" a="1"/>
  <c r="D9" i="1" a="1"/>
  <c r="E40" i="1" a="1"/>
  <c r="E70" i="1" a="1"/>
  <c r="D53" i="1" a="1"/>
  <c r="E66" i="1" a="1"/>
  <c r="D11" i="1" a="1"/>
  <c r="E56" i="1" a="1"/>
  <c r="E14" i="1" a="1"/>
  <c r="D69" i="1" a="1"/>
  <c r="E98" i="1" a="1"/>
  <c r="D10" i="1" a="1"/>
  <c r="D32" i="1" a="1"/>
  <c r="E11" i="1" a="1"/>
  <c r="E37" i="1" a="1"/>
  <c r="E3" i="1" a="1"/>
  <c r="D91" i="1" a="1"/>
  <c r="D76" i="1" a="1"/>
  <c r="E50" i="1" a="1"/>
  <c r="D33" i="1" a="1"/>
  <c r="E52" i="1" a="1"/>
  <c r="E101" i="1" a="1"/>
  <c r="D68" i="1" a="1"/>
  <c r="D98" i="1" a="1"/>
  <c r="E90" i="1" a="1"/>
  <c r="D73" i="1" a="1"/>
  <c r="E9" i="1" a="1"/>
  <c r="D21" i="1" a="1"/>
  <c r="D4" i="1" a="1"/>
  <c r="E95" i="1" a="1"/>
  <c r="E27" i="1" a="1"/>
  <c r="E92" i="1" a="1"/>
  <c r="D72" i="1" a="1"/>
  <c r="D44" i="1" a="1"/>
  <c r="E62" i="1" a="1"/>
  <c r="E48" i="1" a="1"/>
  <c r="D17" i="1" a="1"/>
  <c r="D70" i="1" a="1"/>
  <c r="D20" i="1" a="1"/>
  <c r="E97" i="1" a="1"/>
  <c r="D19" i="1" a="1"/>
  <c r="D64" i="1" a="1"/>
  <c r="D95" i="1" a="1"/>
  <c r="E53" i="1" a="1"/>
  <c r="D41" i="1" a="1"/>
  <c r="E59" i="1" a="1"/>
  <c r="D24" i="1" a="1"/>
  <c r="D40" i="1" a="1"/>
  <c r="E6" i="1" a="1"/>
  <c r="D46" i="1" a="1"/>
  <c r="D12" i="1" a="1"/>
  <c r="E47" i="1" a="1"/>
  <c r="E74" i="1" a="1"/>
  <c r="D52" i="1" a="1"/>
  <c r="D31" i="1" a="1"/>
  <c r="E12" i="1" a="1"/>
  <c r="E64" i="1" a="1"/>
  <c r="E4" i="1" a="1"/>
  <c r="E73" i="1" a="1"/>
  <c r="E10" i="1" a="1"/>
  <c r="E93" i="1" a="1"/>
  <c r="D101" i="1" a="1"/>
  <c r="D16" i="1" a="1"/>
  <c r="E84" i="1" a="1"/>
  <c r="D22" i="1" a="1"/>
  <c r="E44" i="1" a="1"/>
  <c r="D100" i="1" a="1"/>
  <c r="D48" i="1" a="1"/>
  <c r="D18" i="1" a="1"/>
  <c r="D81" i="1" a="1"/>
  <c r="D89" i="1" a="1"/>
  <c r="E100" i="1" a="1"/>
  <c r="E43" i="1" a="1"/>
  <c r="D51" i="1" a="1"/>
  <c r="E21" i="1" a="1"/>
  <c r="D56" i="1" a="1"/>
  <c r="E76" i="1" a="1"/>
  <c r="D92" i="1" a="1"/>
  <c r="D37" i="1" a="1"/>
  <c r="E96" i="1" a="1"/>
  <c r="D15" i="1" a="1"/>
  <c r="E15" i="1" a="1"/>
  <c r="E88" i="1" a="1"/>
  <c r="D63" i="1" a="1"/>
  <c r="E60" i="1" a="1"/>
  <c r="E22" i="1" a="1"/>
  <c r="D26" i="1" a="1"/>
  <c r="D6" i="1" a="1"/>
  <c r="D82" i="1" a="1"/>
  <c r="E38" i="1" a="1"/>
  <c r="E94" i="1" a="1"/>
  <c r="D62" i="1" a="1"/>
  <c r="D84" i="1" a="1"/>
  <c r="E26" i="1" a="1"/>
  <c r="E82" i="1" a="1"/>
  <c r="D30" i="1" a="1"/>
  <c r="E7" i="1" a="1"/>
  <c r="E72" i="1" a="1"/>
  <c r="D86" i="1" a="1"/>
  <c r="D77" i="1" a="1"/>
  <c r="E25" i="1" a="1"/>
  <c r="D43" i="1" a="1"/>
  <c r="E58" i="1" a="1"/>
  <c r="D94" i="1" a="1"/>
  <c r="D28" i="1" a="1"/>
  <c r="E85" i="1" a="1"/>
  <c r="D36" i="1" a="1"/>
  <c r="D23" i="1" a="1"/>
  <c r="E35" i="1" a="1"/>
  <c r="D59" i="1" a="1"/>
  <c r="D57" i="1" a="1"/>
  <c r="D38" i="1" a="1"/>
  <c r="E67" i="1" a="1"/>
  <c r="E77" i="1" a="1"/>
  <c r="D78" i="1" a="1"/>
  <c r="E99" i="1" a="1"/>
  <c r="E46" i="1" a="1"/>
  <c r="D71" i="1" a="1"/>
  <c r="D93" i="1" a="1"/>
  <c r="D13" i="1" a="1"/>
  <c r="E28" i="1" a="1"/>
  <c r="D65" i="1" a="1"/>
  <c r="E81" i="1" a="1"/>
  <c r="D55" i="1" a="1"/>
  <c r="D49" i="1" a="1"/>
  <c r="E69" i="1" a="1"/>
  <c r="D35" i="1" a="1"/>
  <c r="D61" i="1" a="1"/>
  <c r="E39" i="1" a="1"/>
  <c r="D67" i="1" a="1"/>
  <c r="T91" i="1" l="1"/>
  <c r="T79" i="1"/>
  <c r="T75" i="1"/>
  <c r="T71" i="1"/>
  <c r="T67" i="1"/>
  <c r="T63" i="1"/>
  <c r="T59" i="1"/>
  <c r="T55" i="1"/>
  <c r="T51" i="1"/>
  <c r="T47" i="1"/>
  <c r="T43" i="1"/>
  <c r="T39" i="1"/>
  <c r="T35" i="1"/>
  <c r="T31" i="1"/>
  <c r="T27" i="1"/>
  <c r="T23" i="1"/>
  <c r="T19" i="1"/>
  <c r="T15" i="1"/>
  <c r="T11" i="1"/>
  <c r="T7" i="1"/>
  <c r="T99" i="1"/>
  <c r="T87" i="1"/>
  <c r="T90" i="1"/>
  <c r="T74" i="1"/>
  <c r="T58" i="1"/>
  <c r="T54" i="1"/>
  <c r="T50" i="1"/>
  <c r="T46" i="1"/>
  <c r="T42" i="1"/>
  <c r="T38" i="1"/>
  <c r="T34" i="1"/>
  <c r="T30" i="1"/>
  <c r="T26" i="1"/>
  <c r="T22" i="1"/>
  <c r="T18" i="1"/>
  <c r="T14" i="1"/>
  <c r="T10" i="1"/>
  <c r="T6" i="1"/>
  <c r="T98" i="1"/>
  <c r="T101" i="1"/>
  <c r="T73" i="1"/>
  <c r="T57" i="1"/>
  <c r="T45" i="1"/>
  <c r="T29" i="1"/>
  <c r="T21" i="1"/>
  <c r="T17" i="1"/>
  <c r="T9" i="1"/>
  <c r="T5" i="1"/>
  <c r="T95" i="1"/>
  <c r="T94" i="1"/>
  <c r="T82" i="1"/>
  <c r="T66" i="1"/>
  <c r="T93" i="1"/>
  <c r="T81" i="1"/>
  <c r="T77" i="1"/>
  <c r="T69" i="1"/>
  <c r="T65" i="1"/>
  <c r="T61" i="1"/>
  <c r="T53" i="1"/>
  <c r="T49" i="1"/>
  <c r="T41" i="1"/>
  <c r="T37" i="1"/>
  <c r="T33" i="1"/>
  <c r="T25" i="1"/>
  <c r="T13" i="1"/>
  <c r="T78" i="1"/>
  <c r="T62" i="1"/>
  <c r="T89" i="1"/>
  <c r="T100" i="1"/>
  <c r="T92" i="1"/>
  <c r="T84" i="1"/>
  <c r="T76" i="1"/>
  <c r="T68" i="1"/>
  <c r="T60" i="1"/>
  <c r="T52" i="1"/>
  <c r="T44" i="1"/>
  <c r="T40" i="1"/>
  <c r="T32" i="1"/>
  <c r="T28" i="1"/>
  <c r="T24" i="1"/>
  <c r="T20" i="1"/>
  <c r="T16" i="1"/>
  <c r="T8" i="1"/>
  <c r="T4" i="1"/>
  <c r="T83" i="1"/>
  <c r="T86" i="1"/>
  <c r="T70" i="1"/>
  <c r="T97" i="1"/>
  <c r="T85" i="1"/>
  <c r="T96" i="1"/>
  <c r="T88" i="1"/>
  <c r="T80" i="1"/>
  <c r="T72" i="1"/>
  <c r="T64" i="1"/>
  <c r="T56" i="1"/>
  <c r="T48" i="1"/>
  <c r="T36" i="1"/>
  <c r="T12" i="1"/>
  <c r="T3" i="1"/>
  <c r="T2" i="1"/>
  <c r="S82" i="1"/>
  <c r="S46" i="1"/>
  <c r="S96" i="1"/>
  <c r="S99" i="1"/>
  <c r="S91" i="1"/>
  <c r="S83" i="1"/>
  <c r="S75" i="1"/>
  <c r="S67" i="1"/>
  <c r="S59" i="1"/>
  <c r="S55" i="1"/>
  <c r="S47" i="1"/>
  <c r="S35" i="1"/>
  <c r="S11" i="1"/>
  <c r="S86" i="1"/>
  <c r="S58" i="1"/>
  <c r="S38" i="1"/>
  <c r="S26" i="1"/>
  <c r="S18" i="1"/>
  <c r="S14" i="1"/>
  <c r="S10" i="1"/>
  <c r="S6" i="1"/>
  <c r="S94" i="1"/>
  <c r="S66" i="1"/>
  <c r="S30" i="1"/>
  <c r="S101" i="1"/>
  <c r="S93" i="1"/>
  <c r="S85" i="1"/>
  <c r="S77" i="1"/>
  <c r="S69" i="1"/>
  <c r="S61" i="1"/>
  <c r="S53" i="1"/>
  <c r="S45" i="1"/>
  <c r="S37" i="1"/>
  <c r="S29" i="1"/>
  <c r="S25" i="1"/>
  <c r="S21" i="1"/>
  <c r="S17" i="1"/>
  <c r="S9" i="1"/>
  <c r="S5" i="1"/>
  <c r="S98" i="1"/>
  <c r="S74" i="1"/>
  <c r="S54" i="1"/>
  <c r="S22" i="1"/>
  <c r="S97" i="1"/>
  <c r="S89" i="1"/>
  <c r="S81" i="1"/>
  <c r="S73" i="1"/>
  <c r="S65" i="1"/>
  <c r="S57" i="1"/>
  <c r="S49" i="1"/>
  <c r="S41" i="1"/>
  <c r="S33" i="1"/>
  <c r="S13" i="1"/>
  <c r="S90" i="1"/>
  <c r="S62" i="1"/>
  <c r="S34" i="1"/>
  <c r="S88" i="1"/>
  <c r="S80" i="1"/>
  <c r="S76" i="1"/>
  <c r="S68" i="1"/>
  <c r="S64" i="1"/>
  <c r="S60" i="1"/>
  <c r="S56" i="1"/>
  <c r="S52" i="1"/>
  <c r="S48" i="1"/>
  <c r="S44" i="1"/>
  <c r="S36" i="1"/>
  <c r="S32" i="1"/>
  <c r="S28" i="1"/>
  <c r="S24" i="1"/>
  <c r="S20" i="1"/>
  <c r="S16" i="1"/>
  <c r="S12" i="1"/>
  <c r="S8" i="1"/>
  <c r="S4" i="1"/>
  <c r="S70" i="1"/>
  <c r="S42" i="1"/>
  <c r="S92" i="1"/>
  <c r="S84" i="1"/>
  <c r="S72" i="1"/>
  <c r="S40" i="1"/>
  <c r="S78" i="1"/>
  <c r="S50" i="1"/>
  <c r="S100" i="1"/>
  <c r="S95" i="1"/>
  <c r="S87" i="1"/>
  <c r="S79" i="1"/>
  <c r="S71" i="1"/>
  <c r="S63" i="1"/>
  <c r="S51" i="1"/>
  <c r="S43" i="1"/>
  <c r="S39" i="1"/>
  <c r="S31" i="1"/>
  <c r="S27" i="1"/>
  <c r="S23" i="1"/>
  <c r="S19" i="1"/>
  <c r="S15" i="1"/>
  <c r="S7" i="1"/>
  <c r="S3" i="1"/>
  <c r="S2" i="1"/>
  <c r="R83" i="1"/>
  <c r="R94" i="1"/>
  <c r="R86" i="1"/>
  <c r="R78" i="1"/>
  <c r="R70" i="1"/>
  <c r="R62" i="1"/>
  <c r="R54" i="1"/>
  <c r="R46" i="1"/>
  <c r="R38" i="1"/>
  <c r="R34" i="1"/>
  <c r="R30" i="1"/>
  <c r="R26" i="1"/>
  <c r="R22" i="1"/>
  <c r="R18" i="1"/>
  <c r="R14" i="1"/>
  <c r="R6" i="1"/>
  <c r="R87" i="1"/>
  <c r="R98" i="1"/>
  <c r="R90" i="1"/>
  <c r="R82" i="1"/>
  <c r="R74" i="1"/>
  <c r="R66" i="1"/>
  <c r="R58" i="1"/>
  <c r="R50" i="1"/>
  <c r="R42" i="1"/>
  <c r="R10" i="1"/>
  <c r="R95" i="1"/>
  <c r="R97" i="1"/>
  <c r="R89" i="1"/>
  <c r="R81" i="1"/>
  <c r="R73" i="1"/>
  <c r="R65" i="1"/>
  <c r="R57" i="1"/>
  <c r="R49" i="1"/>
  <c r="R41" i="1"/>
  <c r="R33" i="1"/>
  <c r="R25" i="1"/>
  <c r="R21" i="1"/>
  <c r="R17" i="1"/>
  <c r="R13" i="1"/>
  <c r="R5" i="1"/>
  <c r="R91" i="1"/>
  <c r="R101" i="1"/>
  <c r="R93" i="1"/>
  <c r="R85" i="1"/>
  <c r="R77" i="1"/>
  <c r="R69" i="1"/>
  <c r="R61" i="1"/>
  <c r="R53" i="1"/>
  <c r="R45" i="1"/>
  <c r="R37" i="1"/>
  <c r="R29" i="1"/>
  <c r="R9" i="1"/>
  <c r="R100" i="1"/>
  <c r="R96" i="1"/>
  <c r="R92" i="1"/>
  <c r="R88" i="1"/>
  <c r="R84" i="1"/>
  <c r="R80" i="1"/>
  <c r="R76" i="1"/>
  <c r="R72" i="1"/>
  <c r="R68" i="1"/>
  <c r="R64" i="1"/>
  <c r="R60" i="1"/>
  <c r="R56" i="1"/>
  <c r="R52" i="1"/>
  <c r="R48" i="1"/>
  <c r="R44" i="1"/>
  <c r="R40" i="1"/>
  <c r="R36" i="1"/>
  <c r="R32" i="1"/>
  <c r="R28" i="1"/>
  <c r="R24" i="1"/>
  <c r="R20" i="1"/>
  <c r="R16" i="1"/>
  <c r="R12" i="1"/>
  <c r="R8" i="1"/>
  <c r="R4" i="1"/>
  <c r="R99" i="1"/>
  <c r="R79" i="1"/>
  <c r="R75" i="1"/>
  <c r="R71" i="1"/>
  <c r="R67" i="1"/>
  <c r="R63" i="1"/>
  <c r="R59" i="1"/>
  <c r="R55" i="1"/>
  <c r="R51" i="1"/>
  <c r="R47" i="1"/>
  <c r="R43" i="1"/>
  <c r="R39" i="1"/>
  <c r="R35" i="1"/>
  <c r="R31" i="1"/>
  <c r="R27" i="1"/>
  <c r="R23" i="1"/>
  <c r="R19" i="1"/>
  <c r="R15" i="1"/>
  <c r="R11" i="1"/>
  <c r="R7" i="1"/>
  <c r="R3" i="1"/>
  <c r="R2" i="1"/>
  <c r="M87" i="1"/>
  <c r="M86" i="1"/>
  <c r="M74" i="1"/>
  <c r="M62" i="1"/>
  <c r="M58" i="1"/>
  <c r="M54" i="1"/>
  <c r="M50" i="1"/>
  <c r="M46" i="1"/>
  <c r="M42" i="1"/>
  <c r="M38" i="1"/>
  <c r="M34" i="1"/>
  <c r="M30" i="1"/>
  <c r="M26" i="1"/>
  <c r="M22" i="1"/>
  <c r="M18" i="1"/>
  <c r="M14" i="1"/>
  <c r="M10" i="1"/>
  <c r="M6" i="1"/>
  <c r="M99" i="1"/>
  <c r="M82" i="1"/>
  <c r="M101" i="1"/>
  <c r="M93" i="1"/>
  <c r="M85" i="1"/>
  <c r="M77" i="1"/>
  <c r="M69" i="1"/>
  <c r="M61" i="1"/>
  <c r="M53" i="1"/>
  <c r="M49" i="1"/>
  <c r="M41" i="1"/>
  <c r="M33" i="1"/>
  <c r="M25" i="1"/>
  <c r="M21" i="1"/>
  <c r="M13" i="1"/>
  <c r="M5" i="1"/>
  <c r="M98" i="1"/>
  <c r="M78" i="1"/>
  <c r="M97" i="1"/>
  <c r="M89" i="1"/>
  <c r="M81" i="1"/>
  <c r="M73" i="1"/>
  <c r="M65" i="1"/>
  <c r="M57" i="1"/>
  <c r="M45" i="1"/>
  <c r="M37" i="1"/>
  <c r="M29" i="1"/>
  <c r="M17" i="1"/>
  <c r="M9" i="1"/>
  <c r="M95" i="1"/>
  <c r="M90" i="1"/>
  <c r="M66" i="1"/>
  <c r="M96" i="1"/>
  <c r="M88" i="1"/>
  <c r="M80" i="1"/>
  <c r="M76" i="1"/>
  <c r="M68" i="1"/>
  <c r="M60" i="1"/>
  <c r="M52" i="1"/>
  <c r="M44" i="1"/>
  <c r="M36" i="1"/>
  <c r="M28" i="1"/>
  <c r="M20" i="1"/>
  <c r="M12" i="1"/>
  <c r="M4" i="1"/>
  <c r="M91" i="1"/>
  <c r="M94" i="1"/>
  <c r="M70" i="1"/>
  <c r="M100" i="1"/>
  <c r="M92" i="1"/>
  <c r="M84" i="1"/>
  <c r="M72" i="1"/>
  <c r="M64" i="1"/>
  <c r="M56" i="1"/>
  <c r="M48" i="1"/>
  <c r="M40" i="1"/>
  <c r="M32" i="1"/>
  <c r="M24" i="1"/>
  <c r="M16" i="1"/>
  <c r="M8" i="1"/>
  <c r="M83" i="1"/>
  <c r="M79" i="1"/>
  <c r="M75" i="1"/>
  <c r="M71" i="1"/>
  <c r="M67" i="1"/>
  <c r="M63" i="1"/>
  <c r="M59" i="1"/>
  <c r="M55" i="1"/>
  <c r="M51" i="1"/>
  <c r="M47" i="1"/>
  <c r="M43" i="1"/>
  <c r="M39" i="1"/>
  <c r="M35" i="1"/>
  <c r="M31" i="1"/>
  <c r="M27" i="1"/>
  <c r="M23" i="1"/>
  <c r="M19" i="1"/>
  <c r="M15" i="1"/>
  <c r="M11" i="1"/>
  <c r="M7" i="1"/>
  <c r="M3" i="1"/>
  <c r="M2" i="1"/>
  <c r="F2" i="1"/>
  <c r="F6" i="1"/>
  <c r="F98" i="1"/>
  <c r="F86" i="1"/>
  <c r="F74" i="1"/>
  <c r="F66" i="1"/>
  <c r="F58" i="1"/>
  <c r="F54" i="1"/>
  <c r="F50" i="1"/>
  <c r="F46" i="1"/>
  <c r="F42" i="1"/>
  <c r="F38" i="1"/>
  <c r="F34" i="1"/>
  <c r="F30" i="1"/>
  <c r="F26" i="1"/>
  <c r="F22" i="1"/>
  <c r="F18" i="1"/>
  <c r="F14" i="1"/>
  <c r="F10" i="1"/>
  <c r="F94" i="1"/>
  <c r="F82" i="1"/>
  <c r="F70" i="1"/>
  <c r="F101" i="1"/>
  <c r="F93" i="1"/>
  <c r="F85" i="1"/>
  <c r="F77" i="1"/>
  <c r="F69" i="1"/>
  <c r="F57" i="1"/>
  <c r="F53" i="1"/>
  <c r="F45" i="1"/>
  <c r="F37" i="1"/>
  <c r="F29" i="1"/>
  <c r="F25" i="1"/>
  <c r="F21" i="1"/>
  <c r="F17" i="1"/>
  <c r="F13" i="1"/>
  <c r="F5" i="1"/>
  <c r="F90" i="1"/>
  <c r="F78" i="1"/>
  <c r="F62" i="1"/>
  <c r="F97" i="1"/>
  <c r="F89" i="1"/>
  <c r="F81" i="1"/>
  <c r="F73" i="1"/>
  <c r="F65" i="1"/>
  <c r="F61" i="1"/>
  <c r="F49" i="1"/>
  <c r="F41" i="1"/>
  <c r="F33" i="1"/>
  <c r="F9" i="1"/>
  <c r="F99" i="1"/>
  <c r="F100" i="1"/>
  <c r="F88" i="1"/>
  <c r="F72" i="1"/>
  <c r="F60" i="1"/>
  <c r="F48" i="1"/>
  <c r="F32" i="1"/>
  <c r="F24" i="1"/>
  <c r="F16" i="1"/>
  <c r="F12" i="1"/>
  <c r="F4" i="1"/>
  <c r="F96" i="1"/>
  <c r="F92" i="1"/>
  <c r="F84" i="1"/>
  <c r="F80" i="1"/>
  <c r="F76" i="1"/>
  <c r="F68" i="1"/>
  <c r="F64" i="1"/>
  <c r="F56" i="1"/>
  <c r="F52" i="1"/>
  <c r="F44" i="1"/>
  <c r="F40" i="1"/>
  <c r="F36" i="1"/>
  <c r="F28" i="1"/>
  <c r="F20" i="1"/>
  <c r="F8" i="1"/>
  <c r="F95" i="1"/>
  <c r="F91" i="1"/>
  <c r="F87" i="1"/>
  <c r="F83" i="1"/>
  <c r="F79" i="1"/>
  <c r="F75" i="1"/>
  <c r="F71" i="1"/>
  <c r="F67" i="1"/>
  <c r="F63" i="1"/>
  <c r="F59" i="1"/>
  <c r="F55" i="1"/>
  <c r="F51" i="1"/>
  <c r="F47" i="1"/>
  <c r="F43" i="1"/>
  <c r="F39" i="1"/>
  <c r="F35" i="1"/>
  <c r="F31" i="1"/>
  <c r="F27" i="1"/>
  <c r="F23" i="1"/>
  <c r="F19" i="1"/>
  <c r="F15" i="1"/>
  <c r="F11" i="1"/>
  <c r="F7" i="1"/>
  <c r="F3" i="1"/>
  <c r="L82" i="1"/>
  <c r="L62" i="1"/>
  <c r="L101" i="1"/>
  <c r="L96" i="1"/>
  <c r="L84" i="1"/>
  <c r="L95" i="1"/>
  <c r="L87" i="1"/>
  <c r="L79" i="1"/>
  <c r="L71" i="1"/>
  <c r="L63" i="1"/>
  <c r="L55" i="1"/>
  <c r="L43" i="1"/>
  <c r="L39" i="1"/>
  <c r="L31" i="1"/>
  <c r="L27" i="1"/>
  <c r="L23" i="1"/>
  <c r="L19" i="1"/>
  <c r="L15" i="1"/>
  <c r="L11" i="1"/>
  <c r="L3" i="1"/>
  <c r="L94" i="1"/>
  <c r="L70" i="1"/>
  <c r="L54" i="1"/>
  <c r="L42" i="1"/>
  <c r="L38" i="1"/>
  <c r="L34" i="1"/>
  <c r="L30" i="1"/>
  <c r="L26" i="1"/>
  <c r="L22" i="1"/>
  <c r="L18" i="1"/>
  <c r="L14" i="1"/>
  <c r="L10" i="1"/>
  <c r="L6" i="1"/>
  <c r="L58" i="1"/>
  <c r="L89" i="1"/>
  <c r="L73" i="1"/>
  <c r="L61" i="1"/>
  <c r="L49" i="1"/>
  <c r="L33" i="1"/>
  <c r="L21" i="1"/>
  <c r="L13" i="1"/>
  <c r="L5" i="1"/>
  <c r="L86" i="1"/>
  <c r="L66" i="1"/>
  <c r="L97" i="1"/>
  <c r="L93" i="1"/>
  <c r="L85" i="1"/>
  <c r="L81" i="1"/>
  <c r="L77" i="1"/>
  <c r="L69" i="1"/>
  <c r="L65" i="1"/>
  <c r="L57" i="1"/>
  <c r="L53" i="1"/>
  <c r="L45" i="1"/>
  <c r="L41" i="1"/>
  <c r="L37" i="1"/>
  <c r="L29" i="1"/>
  <c r="L25" i="1"/>
  <c r="L17" i="1"/>
  <c r="L9" i="1"/>
  <c r="L90" i="1"/>
  <c r="L74" i="1"/>
  <c r="L50" i="1"/>
  <c r="L92" i="1"/>
  <c r="L88" i="1"/>
  <c r="L80" i="1"/>
  <c r="L76" i="1"/>
  <c r="L72" i="1"/>
  <c r="L68" i="1"/>
  <c r="L64" i="1"/>
  <c r="L60" i="1"/>
  <c r="L56" i="1"/>
  <c r="L52" i="1"/>
  <c r="L48" i="1"/>
  <c r="L44" i="1"/>
  <c r="L40" i="1"/>
  <c r="L36" i="1"/>
  <c r="L32" i="1"/>
  <c r="L28" i="1"/>
  <c r="L24" i="1"/>
  <c r="L20" i="1"/>
  <c r="L16" i="1"/>
  <c r="L8" i="1"/>
  <c r="L4" i="1"/>
  <c r="L12" i="1"/>
  <c r="L98" i="1"/>
  <c r="L78" i="1"/>
  <c r="L46" i="1"/>
  <c r="L100" i="1"/>
  <c r="L99" i="1"/>
  <c r="L91" i="1"/>
  <c r="L83" i="1"/>
  <c r="L75" i="1"/>
  <c r="L67" i="1"/>
  <c r="L59" i="1"/>
  <c r="L51" i="1"/>
  <c r="L47" i="1"/>
  <c r="L35" i="1"/>
  <c r="L7" i="1"/>
  <c r="L2" i="1"/>
  <c r="K99" i="1"/>
  <c r="K98" i="1"/>
  <c r="K94" i="1"/>
  <c r="K90" i="1"/>
  <c r="K82" i="1"/>
  <c r="K78" i="1"/>
  <c r="K70" i="1"/>
  <c r="K66" i="1"/>
  <c r="K62" i="1"/>
  <c r="K54" i="1"/>
  <c r="K50" i="1"/>
  <c r="K46" i="1"/>
  <c r="K42" i="1"/>
  <c r="K38" i="1"/>
  <c r="K34" i="1"/>
  <c r="K30" i="1"/>
  <c r="K26" i="1"/>
  <c r="K22" i="1"/>
  <c r="K14" i="1"/>
  <c r="K10" i="1"/>
  <c r="K6" i="1"/>
  <c r="K86" i="1"/>
  <c r="K74" i="1"/>
  <c r="K58" i="1"/>
  <c r="K18" i="1"/>
  <c r="K91" i="1"/>
  <c r="K101" i="1"/>
  <c r="K93" i="1"/>
  <c r="K89" i="1"/>
  <c r="K81" i="1"/>
  <c r="K73" i="1"/>
  <c r="K65" i="1"/>
  <c r="K57" i="1"/>
  <c r="K49" i="1"/>
  <c r="K45" i="1"/>
  <c r="K37" i="1"/>
  <c r="K33" i="1"/>
  <c r="K29" i="1"/>
  <c r="K25" i="1"/>
  <c r="K21" i="1"/>
  <c r="K17" i="1"/>
  <c r="K9" i="1"/>
  <c r="K5" i="1"/>
  <c r="K95" i="1"/>
  <c r="K97" i="1"/>
  <c r="K85" i="1"/>
  <c r="K77" i="1"/>
  <c r="K69" i="1"/>
  <c r="K61" i="1"/>
  <c r="K53" i="1"/>
  <c r="K41" i="1"/>
  <c r="K13" i="1"/>
  <c r="K100" i="1"/>
  <c r="K96" i="1"/>
  <c r="K92" i="1"/>
  <c r="K88" i="1"/>
  <c r="K84" i="1"/>
  <c r="K80" i="1"/>
  <c r="K76" i="1"/>
  <c r="K72" i="1"/>
  <c r="K68" i="1"/>
  <c r="K64" i="1"/>
  <c r="K60" i="1"/>
  <c r="K56" i="1"/>
  <c r="K52" i="1"/>
  <c r="K48" i="1"/>
  <c r="K44" i="1"/>
  <c r="K40" i="1"/>
  <c r="K36" i="1"/>
  <c r="K32" i="1"/>
  <c r="K28" i="1"/>
  <c r="K24" i="1"/>
  <c r="K20" i="1"/>
  <c r="K16" i="1"/>
  <c r="K12" i="1"/>
  <c r="K8" i="1"/>
  <c r="K4" i="1"/>
  <c r="K87" i="1"/>
  <c r="K83" i="1"/>
  <c r="K79" i="1"/>
  <c r="K75" i="1"/>
  <c r="K71" i="1"/>
  <c r="K67" i="1"/>
  <c r="K63" i="1"/>
  <c r="K59" i="1"/>
  <c r="K55" i="1"/>
  <c r="K51" i="1"/>
  <c r="K47" i="1"/>
  <c r="K43" i="1"/>
  <c r="K39" i="1"/>
  <c r="K35" i="1"/>
  <c r="K31" i="1"/>
  <c r="K27" i="1"/>
  <c r="K23" i="1"/>
  <c r="K19" i="1"/>
  <c r="K15" i="1"/>
  <c r="K11" i="1"/>
  <c r="K7" i="1"/>
  <c r="K3" i="1"/>
  <c r="K2" i="1"/>
  <c r="D2" i="1"/>
  <c r="E2" i="1"/>
  <c r="D38" i="1"/>
  <c r="D63" i="1"/>
  <c r="E85" i="1"/>
  <c r="E9" i="1"/>
  <c r="D98" i="1"/>
  <c r="D17" i="1"/>
  <c r="D69" i="1"/>
  <c r="D84" i="1"/>
  <c r="D36" i="1"/>
  <c r="D26" i="1"/>
  <c r="D88" i="1"/>
  <c r="D42" i="1"/>
  <c r="D79" i="1"/>
  <c r="D47" i="1"/>
  <c r="D11" i="1"/>
  <c r="D22" i="1"/>
  <c r="E38" i="1"/>
  <c r="E73" i="1"/>
  <c r="E17" i="1"/>
  <c r="E18" i="1"/>
  <c r="E53" i="1"/>
  <c r="E100" i="1"/>
  <c r="E54" i="1"/>
  <c r="E48" i="1"/>
  <c r="E12" i="1"/>
  <c r="E95" i="1"/>
  <c r="E63" i="1"/>
  <c r="E31" i="1"/>
  <c r="D8" i="1"/>
  <c r="D95" i="1"/>
  <c r="E41" i="1"/>
  <c r="E66" i="1"/>
  <c r="D6" i="1"/>
  <c r="D74" i="1"/>
  <c r="D13" i="1"/>
  <c r="D61" i="1"/>
  <c r="D76" i="1"/>
  <c r="D32" i="1"/>
  <c r="D85" i="1"/>
  <c r="D80" i="1"/>
  <c r="D101" i="1"/>
  <c r="D75" i="1"/>
  <c r="D43" i="1"/>
  <c r="D86" i="1"/>
  <c r="D18" i="1"/>
  <c r="E30" i="1"/>
  <c r="E65" i="1"/>
  <c r="E13" i="1"/>
  <c r="E10" i="1"/>
  <c r="E45" i="1"/>
  <c r="E88" i="1"/>
  <c r="E96" i="1"/>
  <c r="E44" i="1"/>
  <c r="E8" i="1"/>
  <c r="E91" i="1"/>
  <c r="E59" i="1"/>
  <c r="E27" i="1"/>
  <c r="D41" i="1"/>
  <c r="D31" i="1"/>
  <c r="E47" i="1"/>
  <c r="D5" i="1"/>
  <c r="D50" i="1"/>
  <c r="D78" i="1"/>
  <c r="D57" i="1"/>
  <c r="D72" i="1"/>
  <c r="D28" i="1"/>
  <c r="D73" i="1"/>
  <c r="D68" i="1"/>
  <c r="D93" i="1"/>
  <c r="D71" i="1"/>
  <c r="D39" i="1"/>
  <c r="D62" i="1"/>
  <c r="D14" i="1"/>
  <c r="E22" i="1"/>
  <c r="E57" i="1"/>
  <c r="E5" i="1"/>
  <c r="E97" i="1"/>
  <c r="E37" i="1"/>
  <c r="E80" i="1"/>
  <c r="E84" i="1"/>
  <c r="E40" i="1"/>
  <c r="E4" i="1"/>
  <c r="E87" i="1"/>
  <c r="E55" i="1"/>
  <c r="E23" i="1"/>
  <c r="D89" i="1"/>
  <c r="D48" i="1"/>
  <c r="E62" i="1"/>
  <c r="E32" i="1"/>
  <c r="D4" i="1"/>
  <c r="D34" i="1"/>
  <c r="D58" i="1"/>
  <c r="D49" i="1"/>
  <c r="D64" i="1"/>
  <c r="D20" i="1"/>
  <c r="D53" i="1"/>
  <c r="D60" i="1"/>
  <c r="D99" i="1"/>
  <c r="D67" i="1"/>
  <c r="D35" i="1"/>
  <c r="D30" i="1"/>
  <c r="D10" i="1"/>
  <c r="E14" i="1"/>
  <c r="E49" i="1"/>
  <c r="E78" i="1"/>
  <c r="E89" i="1"/>
  <c r="E25" i="1"/>
  <c r="E72" i="1"/>
  <c r="E76" i="1"/>
  <c r="E36" i="1"/>
  <c r="E86" i="1"/>
  <c r="E83" i="1"/>
  <c r="E51" i="1"/>
  <c r="E19" i="1"/>
  <c r="E15" i="1"/>
  <c r="D37" i="1"/>
  <c r="E6" i="1"/>
  <c r="E68" i="1"/>
  <c r="D7" i="1"/>
  <c r="D65" i="1"/>
  <c r="D97" i="1"/>
  <c r="D29" i="1"/>
  <c r="D52" i="1"/>
  <c r="D12" i="1"/>
  <c r="D33" i="1"/>
  <c r="D24" i="1"/>
  <c r="D91" i="1"/>
  <c r="D59" i="1"/>
  <c r="D23" i="1"/>
  <c r="D94" i="1"/>
  <c r="E90" i="1"/>
  <c r="E101" i="1"/>
  <c r="E33" i="1"/>
  <c r="E46" i="1"/>
  <c r="E77" i="1"/>
  <c r="E94" i="1"/>
  <c r="E28" i="1"/>
  <c r="E60" i="1"/>
  <c r="E24" i="1"/>
  <c r="E42" i="1"/>
  <c r="E75" i="1"/>
  <c r="E43" i="1"/>
  <c r="E11" i="1"/>
  <c r="D16" i="1"/>
  <c r="E64" i="1"/>
  <c r="D3" i="1"/>
  <c r="D45" i="1"/>
  <c r="D81" i="1"/>
  <c r="D100" i="1"/>
  <c r="D44" i="1"/>
  <c r="D82" i="1"/>
  <c r="D21" i="1"/>
  <c r="D90" i="1"/>
  <c r="D87" i="1"/>
  <c r="D55" i="1"/>
  <c r="D19" i="1"/>
  <c r="D70" i="1"/>
  <c r="E70" i="1"/>
  <c r="E93" i="1"/>
  <c r="E29" i="1"/>
  <c r="E34" i="1"/>
  <c r="E69" i="1"/>
  <c r="E82" i="1"/>
  <c r="E98" i="1"/>
  <c r="E56" i="1"/>
  <c r="E20" i="1"/>
  <c r="E92" i="1"/>
  <c r="E71" i="1"/>
  <c r="E39" i="1"/>
  <c r="E7" i="1"/>
  <c r="D56" i="1"/>
  <c r="D27" i="1"/>
  <c r="E79" i="1"/>
  <c r="D9" i="1"/>
  <c r="D25" i="1"/>
  <c r="D77" i="1"/>
  <c r="D92" i="1"/>
  <c r="D40" i="1"/>
  <c r="D54" i="1"/>
  <c r="D96" i="1"/>
  <c r="D66" i="1"/>
  <c r="D83" i="1"/>
  <c r="D51" i="1"/>
  <c r="D15" i="1"/>
  <c r="D46" i="1"/>
  <c r="E50" i="1"/>
  <c r="E81" i="1"/>
  <c r="E21" i="1"/>
  <c r="E26" i="1"/>
  <c r="E61" i="1"/>
  <c r="E58" i="1"/>
  <c r="E74" i="1"/>
  <c r="E52" i="1"/>
  <c r="E16" i="1"/>
  <c r="E99" i="1"/>
  <c r="E67" i="1"/>
  <c r="E35" i="1"/>
  <c r="E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<sst xmlns="http://schemas.openxmlformats.org/spreadsheetml/2006/main" count="199" uniqueCount="91">
  <si>
    <t>S</t>
  </si>
  <si>
    <t>x</t>
  </si>
  <si>
    <t>r</t>
  </si>
  <si>
    <t>sd</t>
  </si>
  <si>
    <t>n</t>
  </si>
  <si>
    <t>Binomial Call</t>
  </si>
  <si>
    <t>Black Scholes Call</t>
  </si>
  <si>
    <t>Contract Name</t>
  </si>
  <si>
    <t>Last Trade Date</t>
  </si>
  <si>
    <t>Last Price</t>
  </si>
  <si>
    <t>Bid</t>
  </si>
  <si>
    <t>Ask</t>
  </si>
  <si>
    <t>Change</t>
  </si>
  <si>
    <t>% Change</t>
  </si>
  <si>
    <t>Volume</t>
  </si>
  <si>
    <t>Open Interest</t>
  </si>
  <si>
    <t>Implied Volatility</t>
  </si>
  <si>
    <t>IBM220429C00110000</t>
  </si>
  <si>
    <t>-</t>
  </si>
  <si>
    <t>IBM220429P00130000</t>
  </si>
  <si>
    <t>1m</t>
  </si>
  <si>
    <t>April 29 2022</t>
  </si>
  <si>
    <t>Strike K</t>
  </si>
  <si>
    <t>Maturity T</t>
  </si>
  <si>
    <t>K2-K1</t>
  </si>
  <si>
    <t>Mid price</t>
  </si>
  <si>
    <t>2022-03-28 9:39AM EDT</t>
  </si>
  <si>
    <t>CK1</t>
  </si>
  <si>
    <t>IBM220429P00110000</t>
  </si>
  <si>
    <t>2022-03-29 10:36AM EDT</t>
  </si>
  <si>
    <t>PK1</t>
  </si>
  <si>
    <t>IBM220429C00136000</t>
  </si>
  <si>
    <t>2022-03-29 9:59AM EDT</t>
  </si>
  <si>
    <t>CK2</t>
  </si>
  <si>
    <t>IBM220429P00136000</t>
  </si>
  <si>
    <t>2022-03-23 3:00PM EDT</t>
  </si>
  <si>
    <t>PK2</t>
  </si>
  <si>
    <t>2022-03-29 01:25PM EDT</t>
  </si>
  <si>
    <t>D(0; T)   closing prices</t>
  </si>
  <si>
    <t>IBM220617C00060000</t>
  </si>
  <si>
    <t>2022-03-02 4:14PM EDT</t>
  </si>
  <si>
    <t>IBM220617P00060000</t>
  </si>
  <si>
    <t>2022-03-18 3:14PM EDT</t>
  </si>
  <si>
    <t>IBM220617C00220000</t>
  </si>
  <si>
    <t>2021-10-29 12:51PM EDT</t>
  </si>
  <si>
    <t>IBM220617P00220000</t>
  </si>
  <si>
    <t>2021-10-25 9:53AM EDT</t>
  </si>
  <si>
    <t>June 17 2022</t>
  </si>
  <si>
    <t>IBM221021C00085000</t>
  </si>
  <si>
    <t>2022-03-09 4:39PM EDT</t>
  </si>
  <si>
    <t>IBM221021P00085000</t>
  </si>
  <si>
    <t>2022-03-21 1:51PM EDT</t>
  </si>
  <si>
    <t>IBM221021C00160000</t>
  </si>
  <si>
    <t>2022-03-29 9:50AM EDT</t>
  </si>
  <si>
    <t>IBM221021P00160000</t>
  </si>
  <si>
    <t>2022-03-28 12:28PM EDT</t>
  </si>
  <si>
    <t>October 21 2022</t>
  </si>
  <si>
    <r>
      <rPr>
        <sz val="11"/>
        <color theme="1"/>
        <rFont val="Calibri"/>
        <family val="2"/>
      </rPr>
      <t>~</t>
    </r>
    <r>
      <rPr>
        <sz val="11"/>
        <color theme="1"/>
        <rFont val="Calibri"/>
        <family val="2"/>
        <scheme val="minor"/>
      </rPr>
      <t>3m</t>
    </r>
  </si>
  <si>
    <t>~6m</t>
  </si>
  <si>
    <t>~1y</t>
  </si>
  <si>
    <t>IBM230120C00055000</t>
  </si>
  <si>
    <t>2021-10-19 12:01PM EDT</t>
  </si>
  <si>
    <t>IBM230120P00055000</t>
  </si>
  <si>
    <t>2021-11-01 11:04AM EDT</t>
  </si>
  <si>
    <t>IBM230120C00220000</t>
  </si>
  <si>
    <t>2021-10-28 1:49PM EDT</t>
  </si>
  <si>
    <t>IBM230120P00220000</t>
  </si>
  <si>
    <t>2021-08-25 5:34PM EDT</t>
  </si>
  <si>
    <t>ATM Call</t>
  </si>
  <si>
    <t>ATM Put</t>
  </si>
  <si>
    <t>IBM220617C00130000</t>
  </si>
  <si>
    <t>2022-03-29 2:39PM EDT</t>
  </si>
  <si>
    <t>IBM220617P00130000</t>
  </si>
  <si>
    <t>2022-03-29 3:34PM EDT</t>
  </si>
  <si>
    <t>IBM221021C00130000</t>
  </si>
  <si>
    <t>2022-03-25 2:25PM EDT</t>
  </si>
  <si>
    <t>IBM221021P00130000</t>
  </si>
  <si>
    <t>2022-03-16 1:07PM EDT</t>
  </si>
  <si>
    <t>January 20 2023</t>
  </si>
  <si>
    <t>IBM230120C00130000</t>
  </si>
  <si>
    <t>2022-03-29 1:36PM EDT</t>
  </si>
  <si>
    <t>IBM230120P00130000</t>
  </si>
  <si>
    <t>2022-03-25 9:34AM EDT</t>
  </si>
  <si>
    <t>IBM220429C00130000</t>
  </si>
  <si>
    <t>2022-03-29 2:10PM EDT</t>
  </si>
  <si>
    <t>2022-03-29 1:22PM EDT</t>
  </si>
  <si>
    <t>F(0; T)</t>
  </si>
  <si>
    <t>d</t>
  </si>
  <si>
    <t>q</t>
  </si>
  <si>
    <t>T</t>
  </si>
  <si>
    <t>Leisen Reimer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</si>
</sst>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32A3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rgb="FF000000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5">
    <xf numFmtId="0" fontId="0" fillId="0" borderId="0" xfId="0"/>
    <xf numFmtId="0" fontId="1" fillId="2" borderId="1" xfId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10" fontId="2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</a:t>
            </a:r>
            <a:r>
              <a:rPr lang="it-IT" baseline="0"/>
              <a:t> option pricing using different models 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Binomial model</c:v>
          </c:tx>
          <c:spPr>
            <a:ln w="952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'Report 3'!$C$2:$C$101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'Report 3'!$D$2:$D$101</c:f>
              <c:numCache>
                <c:formatCode>General</c:formatCode>
                <c:ptCount val="100"/>
                <c:pt idx="0">
                  <c:v>10.41459862337868</c:v>
                </c:pt>
                <c:pt idx="1">
                  <c:v>7.7697841484472487</c:v>
                </c:pt>
                <c:pt idx="2">
                  <c:v>9.0955389976946908</c:v>
                </c:pt>
                <c:pt idx="3">
                  <c:v>8.1336249364981317</c:v>
                </c:pt>
                <c:pt idx="4">
                  <c:v>8.8243709276863989</c:v>
                </c:pt>
                <c:pt idx="5">
                  <c:v>8.2562207592388308</c:v>
                </c:pt>
                <c:pt idx="6">
                  <c:v>8.7086912519583564</c:v>
                </c:pt>
                <c:pt idx="7">
                  <c:v>8.3156383283357886</c:v>
                </c:pt>
                <c:pt idx="8">
                  <c:v>8.6447208278529057</c:v>
                </c:pt>
                <c:pt idx="9">
                  <c:v>8.3499500153194752</c:v>
                </c:pt>
                <c:pt idx="10">
                  <c:v>8.6041605238417418</c:v>
                </c:pt>
                <c:pt idx="11">
                  <c:v>8.3719325301950853</c:v>
                </c:pt>
                <c:pt idx="12">
                  <c:v>8.5761531609566699</c:v>
                </c:pt>
                <c:pt idx="13">
                  <c:v>8.3870036140042572</c:v>
                </c:pt>
                <c:pt idx="14">
                  <c:v>8.5556492346671806</c:v>
                </c:pt>
                <c:pt idx="15">
                  <c:v>8.3978806307281122</c:v>
                </c:pt>
                <c:pt idx="16">
                  <c:v>8.5400116455310595</c:v>
                </c:pt>
                <c:pt idx="17">
                  <c:v>8.406021395832985</c:v>
                </c:pt>
                <c:pt idx="18">
                  <c:v>8.5276683143209961</c:v>
                </c:pt>
                <c:pt idx="19">
                  <c:v>8.4122624594027133</c:v>
                </c:pt>
                <c:pt idx="20">
                  <c:v>8.5176901656175321</c:v>
                </c:pt>
                <c:pt idx="21">
                  <c:v>8.4171939338852511</c:v>
                </c:pt>
                <c:pt idx="22">
                  <c:v>8.509459700404701</c:v>
                </c:pt>
                <c:pt idx="23">
                  <c:v>8.4211472350753755</c:v>
                </c:pt>
                <c:pt idx="24">
                  <c:v>8.5025426047605226</c:v>
                </c:pt>
                <c:pt idx="25">
                  <c:v>8.4243489667827074</c:v>
                </c:pt>
                <c:pt idx="26">
                  <c:v>8.496660328223955</c:v>
                </c:pt>
                <c:pt idx="27">
                  <c:v>8.4269945732043734</c:v>
                </c:pt>
                <c:pt idx="28">
                  <c:v>8.4915928847595357</c:v>
                </c:pt>
                <c:pt idx="29">
                  <c:v>8.4292068024731535</c:v>
                </c:pt>
                <c:pt idx="30">
                  <c:v>8.4871788253900551</c:v>
                </c:pt>
                <c:pt idx="31">
                  <c:v>8.4310668466488643</c:v>
                </c:pt>
                <c:pt idx="32">
                  <c:v>8.4833010509141928</c:v>
                </c:pt>
                <c:pt idx="33">
                  <c:v>8.4326285251945148</c:v>
                </c:pt>
                <c:pt idx="34">
                  <c:v>8.4798774356366309</c:v>
                </c:pt>
                <c:pt idx="35">
                  <c:v>8.4339919354199715</c:v>
                </c:pt>
                <c:pt idx="36">
                  <c:v>8.4768145002257373</c:v>
                </c:pt>
                <c:pt idx="37">
                  <c:v>8.4351287322838377</c:v>
                </c:pt>
                <c:pt idx="38">
                  <c:v>8.4740669226870384</c:v>
                </c:pt>
                <c:pt idx="39">
                  <c:v>8.4361342911577761</c:v>
                </c:pt>
                <c:pt idx="40">
                  <c:v>8.4715941033478437</c:v>
                </c:pt>
                <c:pt idx="41">
                  <c:v>8.4369916078999072</c:v>
                </c:pt>
                <c:pt idx="42">
                  <c:v>8.4693497750618238</c:v>
                </c:pt>
                <c:pt idx="43">
                  <c:v>8.4377573401533912</c:v>
                </c:pt>
                <c:pt idx="44">
                  <c:v>8.467301835620562</c:v>
                </c:pt>
                <c:pt idx="45">
                  <c:v>8.438402217380446</c:v>
                </c:pt>
                <c:pt idx="46">
                  <c:v>8.4654332937275356</c:v>
                </c:pt>
                <c:pt idx="47">
                  <c:v>8.4390017775284072</c:v>
                </c:pt>
                <c:pt idx="48">
                  <c:v>8.463713934716754</c:v>
                </c:pt>
                <c:pt idx="49">
                  <c:v>8.4395012500087319</c:v>
                </c:pt>
                <c:pt idx="50">
                  <c:v>8.4621229837804179</c:v>
                </c:pt>
                <c:pt idx="51">
                  <c:v>8.439937463106336</c:v>
                </c:pt>
                <c:pt idx="52">
                  <c:v>8.4606717712017296</c:v>
                </c:pt>
                <c:pt idx="53">
                  <c:v>8.4403481878505122</c:v>
                </c:pt>
                <c:pt idx="54">
                  <c:v>8.4593093118909497</c:v>
                </c:pt>
                <c:pt idx="55">
                  <c:v>8.440705086042156</c:v>
                </c:pt>
                <c:pt idx="56">
                  <c:v>8.4580478800737904</c:v>
                </c:pt>
                <c:pt idx="57">
                  <c:v>8.4410053386233876</c:v>
                </c:pt>
                <c:pt idx="58">
                  <c:v>8.4568704805628236</c:v>
                </c:pt>
                <c:pt idx="59">
                  <c:v>8.4412640417884344</c:v>
                </c:pt>
                <c:pt idx="60">
                  <c:v>8.4557714519849778</c:v>
                </c:pt>
                <c:pt idx="61">
                  <c:v>8.4415152014726171</c:v>
                </c:pt>
                <c:pt idx="62">
                  <c:v>8.4547394559049405</c:v>
                </c:pt>
                <c:pt idx="63">
                  <c:v>8.4417399150666004</c:v>
                </c:pt>
                <c:pt idx="64">
                  <c:v>8.4537811103292277</c:v>
                </c:pt>
                <c:pt idx="65">
                  <c:v>8.4419145862331959</c:v>
                </c:pt>
                <c:pt idx="66">
                  <c:v>8.4528765753343844</c:v>
                </c:pt>
                <c:pt idx="67">
                  <c:v>8.4420864257917874</c:v>
                </c:pt>
                <c:pt idx="68">
                  <c:v>8.4520315330391522</c:v>
                </c:pt>
                <c:pt idx="69">
                  <c:v>8.4422422234786332</c:v>
                </c:pt>
                <c:pt idx="70">
                  <c:v>8.4512157571314237</c:v>
                </c:pt>
                <c:pt idx="71">
                  <c:v>8.4423621284010082</c:v>
                </c:pt>
                <c:pt idx="72">
                  <c:v>8.4504556843172658</c:v>
                </c:pt>
                <c:pt idx="73">
                  <c:v>8.4424659946705312</c:v>
                </c:pt>
                <c:pt idx="74">
                  <c:v>8.4497296060673381</c:v>
                </c:pt>
                <c:pt idx="75">
                  <c:v>8.4425774090028725</c:v>
                </c:pt>
                <c:pt idx="76">
                  <c:v>8.4490375197362457</c:v>
                </c:pt>
                <c:pt idx="77">
                  <c:v>8.4426642721480949</c:v>
                </c:pt>
                <c:pt idx="78">
                  <c:v>8.4483907490356653</c:v>
                </c:pt>
                <c:pt idx="79">
                  <c:v>8.4427379223488686</c:v>
                </c:pt>
                <c:pt idx="80">
                  <c:v>8.4477770308117073</c:v>
                </c:pt>
                <c:pt idx="81">
                  <c:v>8.4427879595353801</c:v>
                </c:pt>
                <c:pt idx="82">
                  <c:v>8.4471944693143541</c:v>
                </c:pt>
                <c:pt idx="83">
                  <c:v>8.4428578297547965</c:v>
                </c:pt>
                <c:pt idx="84">
                  <c:v>8.4466270150374534</c:v>
                </c:pt>
                <c:pt idx="85">
                  <c:v>8.4429088142340838</c:v>
                </c:pt>
                <c:pt idx="86">
                  <c:v>8.446098271278986</c:v>
                </c:pt>
                <c:pt idx="87">
                  <c:v>8.4429569702420313</c:v>
                </c:pt>
                <c:pt idx="88">
                  <c:v>8.4455884103954411</c:v>
                </c:pt>
                <c:pt idx="89">
                  <c:v>8.4429862396440836</c:v>
                </c:pt>
                <c:pt idx="90">
                  <c:v>8.4451087639900155</c:v>
                </c:pt>
                <c:pt idx="91">
                  <c:v>8.4430079523379842</c:v>
                </c:pt>
                <c:pt idx="92">
                  <c:v>8.4446357276787811</c:v>
                </c:pt>
                <c:pt idx="93">
                  <c:v>8.4430277824749584</c:v>
                </c:pt>
                <c:pt idx="94">
                  <c:v>8.4441910168213123</c:v>
                </c:pt>
                <c:pt idx="95">
                  <c:v>8.443031561110617</c:v>
                </c:pt>
                <c:pt idx="96">
                  <c:v>8.4437717982338825</c:v>
                </c:pt>
                <c:pt idx="97">
                  <c:v>8.4430693239092989</c:v>
                </c:pt>
                <c:pt idx="98">
                  <c:v>8.4433573014484065</c:v>
                </c:pt>
                <c:pt idx="99">
                  <c:v>8.4430504401746056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15D-4ABB-97CA-F414B02A318D}"/>
            </c:ext>
          </c:extLst>
        </c:ser>
        <c:ser>
          <c:idx val="1"/>
          <c:order val="1"/>
          <c:tx>
            <c:v>Black-Scholes model</c:v>
          </c:tx>
          <c:spPr>
            <a:ln w="15875" cap="rnd">
              <a:solidFill>
                <a:srgbClr val="FFC000">
                  <a:alpha val="5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'Report 3'!$C$2:$C$101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'Report 3'!$E$2:$E$101</c:f>
              <c:numCache>
                <c:formatCode>General</c:formatCode>
                <c:ptCount val="100"/>
                <c:pt idx="0">
                  <c:v>8.4333186901096084</c:v>
                </c:pt>
                <c:pt idx="1">
                  <c:v>8.4333186901096084</c:v>
                </c:pt>
                <c:pt idx="2">
                  <c:v>8.4333186901096084</c:v>
                </c:pt>
                <c:pt idx="3">
                  <c:v>8.4333186901096084</c:v>
                </c:pt>
                <c:pt idx="4">
                  <c:v>8.4333186901096084</c:v>
                </c:pt>
                <c:pt idx="5">
                  <c:v>8.4333186901096084</c:v>
                </c:pt>
                <c:pt idx="6">
                  <c:v>8.4333186901096084</c:v>
                </c:pt>
                <c:pt idx="7">
                  <c:v>8.4333186901096084</c:v>
                </c:pt>
                <c:pt idx="8">
                  <c:v>8.4333186901096084</c:v>
                </c:pt>
                <c:pt idx="9">
                  <c:v>8.4333186901096084</c:v>
                </c:pt>
                <c:pt idx="10">
                  <c:v>8.4333186901096084</c:v>
                </c:pt>
                <c:pt idx="11">
                  <c:v>8.4333186901096084</c:v>
                </c:pt>
                <c:pt idx="12">
                  <c:v>8.4333186901096084</c:v>
                </c:pt>
                <c:pt idx="13">
                  <c:v>8.4333186901096084</c:v>
                </c:pt>
                <c:pt idx="14">
                  <c:v>8.4333186901096084</c:v>
                </c:pt>
                <c:pt idx="15">
                  <c:v>8.4333186901096084</c:v>
                </c:pt>
                <c:pt idx="16">
                  <c:v>8.4333186901096084</c:v>
                </c:pt>
                <c:pt idx="17">
                  <c:v>8.4333186901096084</c:v>
                </c:pt>
                <c:pt idx="18">
                  <c:v>8.4333186901096084</c:v>
                </c:pt>
                <c:pt idx="19">
                  <c:v>8.4333186901096084</c:v>
                </c:pt>
                <c:pt idx="20">
                  <c:v>8.4333186901096084</c:v>
                </c:pt>
                <c:pt idx="21">
                  <c:v>8.4333186901096084</c:v>
                </c:pt>
                <c:pt idx="22">
                  <c:v>8.4333186901096084</c:v>
                </c:pt>
                <c:pt idx="23">
                  <c:v>8.4333186901096084</c:v>
                </c:pt>
                <c:pt idx="24">
                  <c:v>8.4333186901096084</c:v>
                </c:pt>
                <c:pt idx="25">
                  <c:v>8.4333186901096084</c:v>
                </c:pt>
                <c:pt idx="26">
                  <c:v>8.4333186901096084</c:v>
                </c:pt>
                <c:pt idx="27">
                  <c:v>8.4333186901096084</c:v>
                </c:pt>
                <c:pt idx="28">
                  <c:v>8.4333186901096084</c:v>
                </c:pt>
                <c:pt idx="29">
                  <c:v>8.4333186901096084</c:v>
                </c:pt>
                <c:pt idx="30">
                  <c:v>8.4333186901096084</c:v>
                </c:pt>
                <c:pt idx="31">
                  <c:v>8.4333186901096084</c:v>
                </c:pt>
                <c:pt idx="32">
                  <c:v>8.4333186901096084</c:v>
                </c:pt>
                <c:pt idx="33">
                  <c:v>8.4333186901096084</c:v>
                </c:pt>
                <c:pt idx="34">
                  <c:v>8.4333186901096084</c:v>
                </c:pt>
                <c:pt idx="35">
                  <c:v>8.4333186901096084</c:v>
                </c:pt>
                <c:pt idx="36">
                  <c:v>8.4333186901096084</c:v>
                </c:pt>
                <c:pt idx="37">
                  <c:v>8.4333186901096084</c:v>
                </c:pt>
                <c:pt idx="38">
                  <c:v>8.4333186901096084</c:v>
                </c:pt>
                <c:pt idx="39">
                  <c:v>8.4333186901096084</c:v>
                </c:pt>
                <c:pt idx="40">
                  <c:v>8.4333186901096084</c:v>
                </c:pt>
                <c:pt idx="41">
                  <c:v>8.4333186901096084</c:v>
                </c:pt>
                <c:pt idx="42">
                  <c:v>8.4333186901096084</c:v>
                </c:pt>
                <c:pt idx="43">
                  <c:v>8.4333186901096084</c:v>
                </c:pt>
                <c:pt idx="44">
                  <c:v>8.4333186901096084</c:v>
                </c:pt>
                <c:pt idx="45">
                  <c:v>8.4333186901096084</c:v>
                </c:pt>
                <c:pt idx="46">
                  <c:v>8.4333186901096084</c:v>
                </c:pt>
                <c:pt idx="47">
                  <c:v>8.4333186901096084</c:v>
                </c:pt>
                <c:pt idx="48">
                  <c:v>8.4333186901096084</c:v>
                </c:pt>
                <c:pt idx="49">
                  <c:v>8.4333186901096084</c:v>
                </c:pt>
                <c:pt idx="50">
                  <c:v>8.4333186901096084</c:v>
                </c:pt>
                <c:pt idx="51">
                  <c:v>8.4333186901096084</c:v>
                </c:pt>
                <c:pt idx="52">
                  <c:v>8.4333186901096084</c:v>
                </c:pt>
                <c:pt idx="53">
                  <c:v>8.4333186901096084</c:v>
                </c:pt>
                <c:pt idx="54">
                  <c:v>8.4333186901096084</c:v>
                </c:pt>
                <c:pt idx="55">
                  <c:v>8.4333186901096084</c:v>
                </c:pt>
                <c:pt idx="56">
                  <c:v>8.4333186901096084</c:v>
                </c:pt>
                <c:pt idx="57">
                  <c:v>8.4333186901096084</c:v>
                </c:pt>
                <c:pt idx="58">
                  <c:v>8.4333186901096084</c:v>
                </c:pt>
                <c:pt idx="59">
                  <c:v>8.4333186901096084</c:v>
                </c:pt>
                <c:pt idx="60">
                  <c:v>8.4333186901096084</c:v>
                </c:pt>
                <c:pt idx="61">
                  <c:v>8.4333186901096084</c:v>
                </c:pt>
                <c:pt idx="62">
                  <c:v>8.4333186901096084</c:v>
                </c:pt>
                <c:pt idx="63">
                  <c:v>8.4333186901096084</c:v>
                </c:pt>
                <c:pt idx="64">
                  <c:v>8.4333186901096084</c:v>
                </c:pt>
                <c:pt idx="65">
                  <c:v>8.4333186901096084</c:v>
                </c:pt>
                <c:pt idx="66">
                  <c:v>8.4333186901096084</c:v>
                </c:pt>
                <c:pt idx="67">
                  <c:v>8.4333186901096084</c:v>
                </c:pt>
                <c:pt idx="68">
                  <c:v>8.4333186901096084</c:v>
                </c:pt>
                <c:pt idx="69">
                  <c:v>8.4333186901096084</c:v>
                </c:pt>
                <c:pt idx="70">
                  <c:v>8.4333186901096084</c:v>
                </c:pt>
                <c:pt idx="71">
                  <c:v>8.4333186901096084</c:v>
                </c:pt>
                <c:pt idx="72">
                  <c:v>8.4333186901096084</c:v>
                </c:pt>
                <c:pt idx="73">
                  <c:v>8.4333186901096084</c:v>
                </c:pt>
                <c:pt idx="74">
                  <c:v>8.4333186901096084</c:v>
                </c:pt>
                <c:pt idx="75">
                  <c:v>8.4333186901096084</c:v>
                </c:pt>
                <c:pt idx="76">
                  <c:v>8.4333186901096084</c:v>
                </c:pt>
                <c:pt idx="77">
                  <c:v>8.4333186901096084</c:v>
                </c:pt>
                <c:pt idx="78">
                  <c:v>8.4333186901096084</c:v>
                </c:pt>
                <c:pt idx="79">
                  <c:v>8.4333186901096084</c:v>
                </c:pt>
                <c:pt idx="80">
                  <c:v>8.4333186901096084</c:v>
                </c:pt>
                <c:pt idx="81">
                  <c:v>8.4333186901096084</c:v>
                </c:pt>
                <c:pt idx="82">
                  <c:v>8.4333186901096084</c:v>
                </c:pt>
                <c:pt idx="83">
                  <c:v>8.4333186901096084</c:v>
                </c:pt>
                <c:pt idx="84">
                  <c:v>8.4333186901096084</c:v>
                </c:pt>
                <c:pt idx="85">
                  <c:v>8.4333186901096084</c:v>
                </c:pt>
                <c:pt idx="86">
                  <c:v>8.4333186901096084</c:v>
                </c:pt>
                <c:pt idx="87">
                  <c:v>8.4333186901096084</c:v>
                </c:pt>
                <c:pt idx="88">
                  <c:v>8.4333186901096084</c:v>
                </c:pt>
                <c:pt idx="89">
                  <c:v>8.4333186901096084</c:v>
                </c:pt>
                <c:pt idx="90">
                  <c:v>8.4333186901096084</c:v>
                </c:pt>
                <c:pt idx="91">
                  <c:v>8.4333186901096084</c:v>
                </c:pt>
                <c:pt idx="92">
                  <c:v>8.4333186901096084</c:v>
                </c:pt>
                <c:pt idx="93">
                  <c:v>8.4333186901096084</c:v>
                </c:pt>
                <c:pt idx="94">
                  <c:v>8.4333186901096084</c:v>
                </c:pt>
                <c:pt idx="95">
                  <c:v>8.4333186901096084</c:v>
                </c:pt>
                <c:pt idx="96">
                  <c:v>8.4333186901096084</c:v>
                </c:pt>
                <c:pt idx="97">
                  <c:v>8.4333186901096084</c:v>
                </c:pt>
                <c:pt idx="98">
                  <c:v>8.4333186901096084</c:v>
                </c:pt>
                <c:pt idx="99">
                  <c:v>8.4333186901096084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15D-4ABB-97CA-F414B02A318D}"/>
            </c:ext>
          </c:extLst>
        </c:ser>
        <c:ser>
          <c:idx val="2"/>
          <c:order val="2"/>
          <c:tx>
            <c:v>Leisen Reimer model</c:v>
          </c:tx>
          <c:spPr>
            <a:ln w="19050" cap="rnd">
              <a:solidFill>
                <a:srgbClr val="00B050">
                  <a:alpha val="44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'Report 3'!$C$3:$C$101</c:f>
              <c:numCache>
                <c:formatCode>General</c:formatCode>
                <c:ptCount val="9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</c:numCache>
            </c:numRef>
          </c:xVal>
          <c:yVal>
            <c:numRef>
              <c:f>'Report 3'!$F$3:$F$101</c:f>
              <c:numCache>
                <c:formatCode>General</c:formatCode>
                <c:ptCount val="99"/>
                <c:pt idx="0">
                  <c:v>8.403232838109842</c:v>
                </c:pt>
                <c:pt idx="1">
                  <c:v>8.403232838109842</c:v>
                </c:pt>
                <c:pt idx="2">
                  <c:v>8.4209343027405623</c:v>
                </c:pt>
                <c:pt idx="3">
                  <c:v>8.4209343027405623</c:v>
                </c:pt>
                <c:pt idx="4">
                  <c:v>8.4265692233797598</c:v>
                </c:pt>
                <c:pt idx="5">
                  <c:v>8.4265692233797598</c:v>
                </c:pt>
                <c:pt idx="6">
                  <c:v>8.4290713834427908</c:v>
                </c:pt>
                <c:pt idx="7">
                  <c:v>8.4290713834427908</c:v>
                </c:pt>
                <c:pt idx="8">
                  <c:v>8.4303997829056119</c:v>
                </c:pt>
                <c:pt idx="9">
                  <c:v>8.4303997829056119</c:v>
                </c:pt>
                <c:pt idx="10">
                  <c:v>8.4311892752481352</c:v>
                </c:pt>
                <c:pt idx="11">
                  <c:v>8.4311892752481352</c:v>
                </c:pt>
                <c:pt idx="12">
                  <c:v>8.4316966308156438</c:v>
                </c:pt>
                <c:pt idx="13">
                  <c:v>8.4316966308156438</c:v>
                </c:pt>
                <c:pt idx="14">
                  <c:v>8.4320419715266883</c:v>
                </c:pt>
                <c:pt idx="15">
                  <c:v>8.4320419715266883</c:v>
                </c:pt>
                <c:pt idx="16">
                  <c:v>8.4322876414372718</c:v>
                </c:pt>
                <c:pt idx="17">
                  <c:v>8.4322876414372718</c:v>
                </c:pt>
                <c:pt idx="18">
                  <c:v>8.4324686288538029</c:v>
                </c:pt>
                <c:pt idx="19">
                  <c:v>8.4324686288538029</c:v>
                </c:pt>
                <c:pt idx="20">
                  <c:v>8.432605808162096</c:v>
                </c:pt>
                <c:pt idx="21">
                  <c:v>8.432605808162096</c:v>
                </c:pt>
                <c:pt idx="22">
                  <c:v>8.4327122618048769</c:v>
                </c:pt>
                <c:pt idx="23">
                  <c:v>8.4327122618048769</c:v>
                </c:pt>
                <c:pt idx="24">
                  <c:v>8.4327965280501456</c:v>
                </c:pt>
                <c:pt idx="25">
                  <c:v>8.4327965280501456</c:v>
                </c:pt>
                <c:pt idx="26">
                  <c:v>8.4328643720311707</c:v>
                </c:pt>
                <c:pt idx="27">
                  <c:v>8.4328643720311707</c:v>
                </c:pt>
                <c:pt idx="28">
                  <c:v>8.4329198006298984</c:v>
                </c:pt>
                <c:pt idx="29">
                  <c:v>8.4329198006298984</c:v>
                </c:pt>
                <c:pt idx="30">
                  <c:v>8.4329656689516561</c:v>
                </c:pt>
                <c:pt idx="31">
                  <c:v>8.4329656689516561</c:v>
                </c:pt>
                <c:pt idx="32">
                  <c:v>8.4330040560184933</c:v>
                </c:pt>
                <c:pt idx="33">
                  <c:v>8.4330040560184933</c:v>
                </c:pt>
                <c:pt idx="34">
                  <c:v>8.4330365048567586</c:v>
                </c:pt>
                <c:pt idx="35">
                  <c:v>8.4330365048567586</c:v>
                </c:pt>
                <c:pt idx="36">
                  <c:v>8.4330641801908399</c:v>
                </c:pt>
                <c:pt idx="37">
                  <c:v>8.4330641801908399</c:v>
                </c:pt>
                <c:pt idx="38">
                  <c:v>8.4330879745363614</c:v>
                </c:pt>
                <c:pt idx="39">
                  <c:v>8.4330879745363614</c:v>
                </c:pt>
                <c:pt idx="40">
                  <c:v>8.433108581131366</c:v>
                </c:pt>
                <c:pt idx="41">
                  <c:v>8.433108581131366</c:v>
                </c:pt>
                <c:pt idx="42">
                  <c:v>8.4331265450467257</c:v>
                </c:pt>
                <c:pt idx="43">
                  <c:v>8.4331265450467257</c:v>
                </c:pt>
                <c:pt idx="44">
                  <c:v>8.4331422996281731</c:v>
                </c:pt>
                <c:pt idx="45">
                  <c:v>8.4331422996281731</c:v>
                </c:pt>
                <c:pt idx="46">
                  <c:v>8.433156192897151</c:v>
                </c:pt>
                <c:pt idx="47">
                  <c:v>8.433156192897151</c:v>
                </c:pt>
                <c:pt idx="48">
                  <c:v>8.4331685069464193</c:v>
                </c:pt>
                <c:pt idx="49">
                  <c:v>8.4331685069464193</c:v>
                </c:pt>
                <c:pt idx="50">
                  <c:v>8.4331794723739915</c:v>
                </c:pt>
                <c:pt idx="51">
                  <c:v>8.4331794723739915</c:v>
                </c:pt>
                <c:pt idx="52">
                  <c:v>8.4331892791766396</c:v>
                </c:pt>
                <c:pt idx="53">
                  <c:v>8.4331892791766396</c:v>
                </c:pt>
                <c:pt idx="54">
                  <c:v>8.4331980850295611</c:v>
                </c:pt>
                <c:pt idx="55">
                  <c:v>8.4331980850295611</c:v>
                </c:pt>
                <c:pt idx="56">
                  <c:v>8.4332060216648106</c:v>
                </c:pt>
                <c:pt idx="57">
                  <c:v>8.4332060216648106</c:v>
                </c:pt>
                <c:pt idx="58">
                  <c:v>8.4332131998401341</c:v>
                </c:pt>
                <c:pt idx="59">
                  <c:v>8.4332131998401341</c:v>
                </c:pt>
                <c:pt idx="60">
                  <c:v>8.4332197132102777</c:v>
                </c:pt>
                <c:pt idx="61">
                  <c:v>8.4332197132102777</c:v>
                </c:pt>
                <c:pt idx="62">
                  <c:v>8.4332256414101376</c:v>
                </c:pt>
                <c:pt idx="63">
                  <c:v>8.4332256414101376</c:v>
                </c:pt>
                <c:pt idx="64">
                  <c:v>8.4332310525016627</c:v>
                </c:pt>
                <c:pt idx="65">
                  <c:v>8.4332310525016627</c:v>
                </c:pt>
                <c:pt idx="66">
                  <c:v>8.4332360049228434</c:v>
                </c:pt>
                <c:pt idx="67">
                  <c:v>8.4332360049228434</c:v>
                </c:pt>
                <c:pt idx="68">
                  <c:v>8.4332405490925346</c:v>
                </c:pt>
                <c:pt idx="69">
                  <c:v>8.4332405490925346</c:v>
                </c:pt>
                <c:pt idx="70">
                  <c:v>8.4332447286781367</c:v>
                </c:pt>
                <c:pt idx="71">
                  <c:v>8.4332447286781367</c:v>
                </c:pt>
                <c:pt idx="72">
                  <c:v>8.4332485816652571</c:v>
                </c:pt>
                <c:pt idx="73">
                  <c:v>8.4332485816652571</c:v>
                </c:pt>
                <c:pt idx="74">
                  <c:v>8.433252141218615</c:v>
                </c:pt>
                <c:pt idx="75">
                  <c:v>8.433252141218615</c:v>
                </c:pt>
                <c:pt idx="76">
                  <c:v>8.4332554363969123</c:v>
                </c:pt>
                <c:pt idx="77">
                  <c:v>8.4332554363969123</c:v>
                </c:pt>
                <c:pt idx="78">
                  <c:v>8.4332584927495695</c:v>
                </c:pt>
                <c:pt idx="79">
                  <c:v>8.4332584927495695</c:v>
                </c:pt>
                <c:pt idx="80">
                  <c:v>8.4332613328071826</c:v>
                </c:pt>
                <c:pt idx="81">
                  <c:v>8.4332613328071826</c:v>
                </c:pt>
                <c:pt idx="82">
                  <c:v>8.4332639765107071</c:v>
                </c:pt>
                <c:pt idx="83">
                  <c:v>8.4332639765107071</c:v>
                </c:pt>
                <c:pt idx="84">
                  <c:v>8.4332664415526235</c:v>
                </c:pt>
                <c:pt idx="85">
                  <c:v>8.4332664415526235</c:v>
                </c:pt>
                <c:pt idx="86">
                  <c:v>8.4332687436795961</c:v>
                </c:pt>
                <c:pt idx="87">
                  <c:v>8.4332687436795961</c:v>
                </c:pt>
                <c:pt idx="88">
                  <c:v>8.4332708969334789</c:v>
                </c:pt>
                <c:pt idx="89">
                  <c:v>8.4332708969334789</c:v>
                </c:pt>
                <c:pt idx="90">
                  <c:v>8.4332729138820621</c:v>
                </c:pt>
                <c:pt idx="91">
                  <c:v>8.4332729138820621</c:v>
                </c:pt>
                <c:pt idx="92">
                  <c:v>8.4332748057964686</c:v>
                </c:pt>
                <c:pt idx="93">
                  <c:v>8.4332748057964686</c:v>
                </c:pt>
                <c:pt idx="94">
                  <c:v>8.4332765827920486</c:v>
                </c:pt>
                <c:pt idx="95">
                  <c:v>8.4332765827920486</c:v>
                </c:pt>
                <c:pt idx="96">
                  <c:v>8.4332782540009124</c:v>
                </c:pt>
                <c:pt idx="97">
                  <c:v>8.4332782540009124</c:v>
                </c:pt>
                <c:pt idx="98">
                  <c:v>8.4332798276504857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5-4305-B566-851362E39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854032"/>
        <c:axId val="394850424"/>
      </c:scatterChart>
      <c:valAx>
        <c:axId val="394854032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94850424"/>
        <c:crosses val="autoZero"/>
        <c:crossBetween val="midCat"/>
      </c:valAx>
      <c:valAx>
        <c:axId val="394850424"/>
        <c:scaling>
          <c:orientation val="minMax"/>
          <c:max val="10.5"/>
          <c:min val="7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Call</a:t>
                </a:r>
                <a:r>
                  <a:rPr lang="it-IT" baseline="0"/>
                  <a:t> price [$]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9485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BABA option pricing for 3 and 6 months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Binomial model (3)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'Report 3'!$J$2:$J$101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'Report 3'!$K$2:$K$101</c:f>
              <c:numCache>
                <c:formatCode>General</c:formatCode>
                <c:ptCount val="100"/>
                <c:pt idx="0">
                  <c:v>28.679705149100307</c:v>
                </c:pt>
                <c:pt idx="1">
                  <c:v>21.159861800808109</c:v>
                </c:pt>
                <c:pt idx="2">
                  <c:v>25.112591997370714</c:v>
                </c:pt>
                <c:pt idx="3">
                  <c:v>22.256610872169119</c:v>
                </c:pt>
                <c:pt idx="4">
                  <c:v>24.373949188757855</c:v>
                </c:pt>
                <c:pt idx="5">
                  <c:v>22.637145517187125</c:v>
                </c:pt>
                <c:pt idx="6">
                  <c:v>24.058416317623294</c:v>
                </c:pt>
                <c:pt idx="7">
                  <c:v>22.826324432747025</c:v>
                </c:pt>
                <c:pt idx="8">
                  <c:v>23.883833825626461</c:v>
                </c:pt>
                <c:pt idx="9">
                  <c:v>22.938159976459303</c:v>
                </c:pt>
                <c:pt idx="10">
                  <c:v>23.773105718136804</c:v>
                </c:pt>
                <c:pt idx="11">
                  <c:v>23.01142372887093</c:v>
                </c:pt>
                <c:pt idx="12">
                  <c:v>23.696630026822042</c:v>
                </c:pt>
                <c:pt idx="13">
                  <c:v>23.062797598491258</c:v>
                </c:pt>
                <c:pt idx="14">
                  <c:v>23.640645652749065</c:v>
                </c:pt>
                <c:pt idx="15">
                  <c:v>23.100652031763833</c:v>
                </c:pt>
                <c:pt idx="16">
                  <c:v>23.597920037662551</c:v>
                </c:pt>
                <c:pt idx="17">
                  <c:v>23.129544241355141</c:v>
                </c:pt>
                <c:pt idx="18">
                  <c:v>23.564225141973825</c:v>
                </c:pt>
                <c:pt idx="19">
                  <c:v>23.152254236741182</c:v>
                </c:pt>
                <c:pt idx="20">
                  <c:v>23.536971249017828</c:v>
                </c:pt>
                <c:pt idx="21">
                  <c:v>23.170513567716856</c:v>
                </c:pt>
                <c:pt idx="22">
                  <c:v>23.514489590859487</c:v>
                </c:pt>
                <c:pt idx="23">
                  <c:v>23.185475336538016</c:v>
                </c:pt>
                <c:pt idx="24">
                  <c:v>23.495611850231249</c:v>
                </c:pt>
                <c:pt idx="25">
                  <c:v>23.197923496018934</c:v>
                </c:pt>
                <c:pt idx="26">
                  <c:v>23.479531232510716</c:v>
                </c:pt>
                <c:pt idx="27">
                  <c:v>23.208413667519782</c:v>
                </c:pt>
                <c:pt idx="28">
                  <c:v>23.465694021268298</c:v>
                </c:pt>
                <c:pt idx="29">
                  <c:v>23.217351149855823</c:v>
                </c:pt>
                <c:pt idx="30">
                  <c:v>23.453626422676816</c:v>
                </c:pt>
                <c:pt idx="31">
                  <c:v>23.225046094924249</c:v>
                </c:pt>
                <c:pt idx="32">
                  <c:v>23.443056336539588</c:v>
                </c:pt>
                <c:pt idx="33">
                  <c:v>23.231734459078485</c:v>
                </c:pt>
                <c:pt idx="34">
                  <c:v>23.433669790748642</c:v>
                </c:pt>
                <c:pt idx="35">
                  <c:v>23.237583689630519</c:v>
                </c:pt>
                <c:pt idx="36">
                  <c:v>23.42530885950983</c:v>
                </c:pt>
                <c:pt idx="37">
                  <c:v>23.242732682894214</c:v>
                </c:pt>
                <c:pt idx="38">
                  <c:v>23.417825118937625</c:v>
                </c:pt>
                <c:pt idx="39">
                  <c:v>23.247289904907159</c:v>
                </c:pt>
                <c:pt idx="40">
                  <c:v>23.411051131855196</c:v>
                </c:pt>
                <c:pt idx="41">
                  <c:v>23.251367618852857</c:v>
                </c:pt>
                <c:pt idx="42">
                  <c:v>23.40491458099282</c:v>
                </c:pt>
                <c:pt idx="43">
                  <c:v>23.255013396130181</c:v>
                </c:pt>
                <c:pt idx="44">
                  <c:v>23.399326039549397</c:v>
                </c:pt>
                <c:pt idx="45">
                  <c:v>23.258303346539368</c:v>
                </c:pt>
                <c:pt idx="46">
                  <c:v>23.394224615246166</c:v>
                </c:pt>
                <c:pt idx="47">
                  <c:v>23.261252698353402</c:v>
                </c:pt>
                <c:pt idx="48">
                  <c:v>23.389530389839138</c:v>
                </c:pt>
                <c:pt idx="49">
                  <c:v>23.26392233429339</c:v>
                </c:pt>
                <c:pt idx="50">
                  <c:v>23.385186285168881</c:v>
                </c:pt>
                <c:pt idx="51">
                  <c:v>23.266350317381594</c:v>
                </c:pt>
                <c:pt idx="52">
                  <c:v>23.381217029038506</c:v>
                </c:pt>
                <c:pt idx="53">
                  <c:v>23.268588017334277</c:v>
                </c:pt>
                <c:pt idx="54">
                  <c:v>23.377506559601461</c:v>
                </c:pt>
                <c:pt idx="55">
                  <c:v>23.270625922254517</c:v>
                </c:pt>
                <c:pt idx="56">
                  <c:v>23.374054864234708</c:v>
                </c:pt>
                <c:pt idx="57">
                  <c:v>23.272481159591575</c:v>
                </c:pt>
                <c:pt idx="58">
                  <c:v>23.370846733257892</c:v>
                </c:pt>
                <c:pt idx="59">
                  <c:v>23.274178462987386</c:v>
                </c:pt>
                <c:pt idx="60">
                  <c:v>23.367855520721008</c:v>
                </c:pt>
                <c:pt idx="61">
                  <c:v>23.275784431419201</c:v>
                </c:pt>
                <c:pt idx="62">
                  <c:v>23.365046979687573</c:v>
                </c:pt>
                <c:pt idx="63">
                  <c:v>23.277215339481511</c:v>
                </c:pt>
                <c:pt idx="64">
                  <c:v>23.362398272864162</c:v>
                </c:pt>
                <c:pt idx="65">
                  <c:v>23.278608193606001</c:v>
                </c:pt>
                <c:pt idx="66">
                  <c:v>23.359932234927431</c:v>
                </c:pt>
                <c:pt idx="67">
                  <c:v>23.279858336044196</c:v>
                </c:pt>
                <c:pt idx="68">
                  <c:v>23.357591782536677</c:v>
                </c:pt>
                <c:pt idx="69">
                  <c:v>23.280998121969205</c:v>
                </c:pt>
                <c:pt idx="70">
                  <c:v>23.355382626595524</c:v>
                </c:pt>
                <c:pt idx="71">
                  <c:v>23.282077007438065</c:v>
                </c:pt>
                <c:pt idx="72">
                  <c:v>23.353304761193233</c:v>
                </c:pt>
                <c:pt idx="73">
                  <c:v>23.283115944369701</c:v>
                </c:pt>
                <c:pt idx="74">
                  <c:v>23.351322039516138</c:v>
                </c:pt>
                <c:pt idx="75">
                  <c:v>23.284038802609242</c:v>
                </c:pt>
                <c:pt idx="76">
                  <c:v>23.349453482895548</c:v>
                </c:pt>
                <c:pt idx="77">
                  <c:v>23.28491028967089</c:v>
                </c:pt>
                <c:pt idx="78">
                  <c:v>23.34767055143379</c:v>
                </c:pt>
                <c:pt idx="79">
                  <c:v>23.28572849655907</c:v>
                </c:pt>
                <c:pt idx="80">
                  <c:v>23.34598847208234</c:v>
                </c:pt>
                <c:pt idx="81">
                  <c:v>23.286533382041728</c:v>
                </c:pt>
                <c:pt idx="82">
                  <c:v>23.344401531205499</c:v>
                </c:pt>
                <c:pt idx="83">
                  <c:v>23.287254546019959</c:v>
                </c:pt>
                <c:pt idx="84">
                  <c:v>23.342875479066969</c:v>
                </c:pt>
                <c:pt idx="85">
                  <c:v>23.287941458936636</c:v>
                </c:pt>
                <c:pt idx="86">
                  <c:v>23.341406515212242</c:v>
                </c:pt>
                <c:pt idx="87">
                  <c:v>23.288552258905096</c:v>
                </c:pt>
                <c:pt idx="88">
                  <c:v>23.340028883559658</c:v>
                </c:pt>
                <c:pt idx="89">
                  <c:v>23.289159257342405</c:v>
                </c:pt>
                <c:pt idx="90">
                  <c:v>23.338696918273474</c:v>
                </c:pt>
                <c:pt idx="91">
                  <c:v>23.289758640705902</c:v>
                </c:pt>
                <c:pt idx="92">
                  <c:v>23.337408719682543</c:v>
                </c:pt>
                <c:pt idx="93">
                  <c:v>23.290264787828985</c:v>
                </c:pt>
                <c:pt idx="94">
                  <c:v>23.336179505014737</c:v>
                </c:pt>
                <c:pt idx="95">
                  <c:v>23.290788057119588</c:v>
                </c:pt>
                <c:pt idx="96">
                  <c:v>23.335016890209165</c:v>
                </c:pt>
                <c:pt idx="97">
                  <c:v>23.291239023331119</c:v>
                </c:pt>
                <c:pt idx="98">
                  <c:v>23.333892330712715</c:v>
                </c:pt>
                <c:pt idx="99">
                  <c:v>23.291678570216842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E03-43E9-8417-407ED1F1025B}"/>
            </c:ext>
          </c:extLst>
        </c:ser>
        <c:ser>
          <c:idx val="1"/>
          <c:order val="1"/>
          <c:tx>
            <c:v>Black-Scholes model (3)</c:v>
          </c:tx>
          <c:spPr>
            <a:ln w="15875" cap="rnd">
              <a:solidFill>
                <a:schemeClr val="accent2">
                  <a:alpha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'Report 3'!$J$2:$J$101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'Report 3'!$L$2:$L$101</c:f>
              <c:numCache>
                <c:formatCode>General</c:formatCode>
                <c:ptCount val="100"/>
                <c:pt idx="0">
                  <c:v>23.290127674229865</c:v>
                </c:pt>
                <c:pt idx="1">
                  <c:v>23.290127674229865</c:v>
                </c:pt>
                <c:pt idx="2">
                  <c:v>23.290127674229865</c:v>
                </c:pt>
                <c:pt idx="3">
                  <c:v>23.290127674229865</c:v>
                </c:pt>
                <c:pt idx="4">
                  <c:v>23.290127674229865</c:v>
                </c:pt>
                <c:pt idx="5">
                  <c:v>23.290127674229865</c:v>
                </c:pt>
                <c:pt idx="6">
                  <c:v>23.290127674229865</c:v>
                </c:pt>
                <c:pt idx="7">
                  <c:v>23.290127674229865</c:v>
                </c:pt>
                <c:pt idx="8">
                  <c:v>23.290127674229865</c:v>
                </c:pt>
                <c:pt idx="9">
                  <c:v>23.290127674229865</c:v>
                </c:pt>
                <c:pt idx="10">
                  <c:v>23.290127674229865</c:v>
                </c:pt>
                <c:pt idx="11">
                  <c:v>23.290127674229865</c:v>
                </c:pt>
                <c:pt idx="12">
                  <c:v>23.290127674229865</c:v>
                </c:pt>
                <c:pt idx="13">
                  <c:v>23.290127674229865</c:v>
                </c:pt>
                <c:pt idx="14">
                  <c:v>23.290127674229865</c:v>
                </c:pt>
                <c:pt idx="15">
                  <c:v>23.290127674229865</c:v>
                </c:pt>
                <c:pt idx="16">
                  <c:v>23.290127674229865</c:v>
                </c:pt>
                <c:pt idx="17">
                  <c:v>23.290127674229865</c:v>
                </c:pt>
                <c:pt idx="18">
                  <c:v>23.290127674229865</c:v>
                </c:pt>
                <c:pt idx="19">
                  <c:v>23.290127674229865</c:v>
                </c:pt>
                <c:pt idx="20">
                  <c:v>23.290127674229865</c:v>
                </c:pt>
                <c:pt idx="21">
                  <c:v>23.290127674229865</c:v>
                </c:pt>
                <c:pt idx="22">
                  <c:v>23.290127674229865</c:v>
                </c:pt>
                <c:pt idx="23">
                  <c:v>23.290127674229865</c:v>
                </c:pt>
                <c:pt idx="24">
                  <c:v>23.290127674229865</c:v>
                </c:pt>
                <c:pt idx="25">
                  <c:v>23.290127674229865</c:v>
                </c:pt>
                <c:pt idx="26">
                  <c:v>23.290127674229865</c:v>
                </c:pt>
                <c:pt idx="27">
                  <c:v>23.290127674229865</c:v>
                </c:pt>
                <c:pt idx="28">
                  <c:v>23.290127674229865</c:v>
                </c:pt>
                <c:pt idx="29">
                  <c:v>23.290127674229865</c:v>
                </c:pt>
                <c:pt idx="30">
                  <c:v>23.290127674229865</c:v>
                </c:pt>
                <c:pt idx="31">
                  <c:v>23.290127674229865</c:v>
                </c:pt>
                <c:pt idx="32">
                  <c:v>23.290127674229865</c:v>
                </c:pt>
                <c:pt idx="33">
                  <c:v>23.290127674229865</c:v>
                </c:pt>
                <c:pt idx="34">
                  <c:v>23.290127674229865</c:v>
                </c:pt>
                <c:pt idx="35">
                  <c:v>23.290127674229865</c:v>
                </c:pt>
                <c:pt idx="36">
                  <c:v>23.290127674229865</c:v>
                </c:pt>
                <c:pt idx="37">
                  <c:v>23.290127674229865</c:v>
                </c:pt>
                <c:pt idx="38">
                  <c:v>23.290127674229865</c:v>
                </c:pt>
                <c:pt idx="39">
                  <c:v>23.290127674229865</c:v>
                </c:pt>
                <c:pt idx="40">
                  <c:v>23.290127674229865</c:v>
                </c:pt>
                <c:pt idx="41">
                  <c:v>23.290127674229865</c:v>
                </c:pt>
                <c:pt idx="42">
                  <c:v>23.290127674229865</c:v>
                </c:pt>
                <c:pt idx="43">
                  <c:v>23.290127674229865</c:v>
                </c:pt>
                <c:pt idx="44">
                  <c:v>23.290127674229865</c:v>
                </c:pt>
                <c:pt idx="45">
                  <c:v>23.290127674229865</c:v>
                </c:pt>
                <c:pt idx="46">
                  <c:v>23.290127674229865</c:v>
                </c:pt>
                <c:pt idx="47">
                  <c:v>23.290127674229865</c:v>
                </c:pt>
                <c:pt idx="48">
                  <c:v>23.290127674229865</c:v>
                </c:pt>
                <c:pt idx="49">
                  <c:v>23.290127674229865</c:v>
                </c:pt>
                <c:pt idx="50">
                  <c:v>23.290127674229865</c:v>
                </c:pt>
                <c:pt idx="51">
                  <c:v>23.290127674229865</c:v>
                </c:pt>
                <c:pt idx="52">
                  <c:v>23.290127674229865</c:v>
                </c:pt>
                <c:pt idx="53">
                  <c:v>23.290127674229865</c:v>
                </c:pt>
                <c:pt idx="54">
                  <c:v>23.290127674229865</c:v>
                </c:pt>
                <c:pt idx="55">
                  <c:v>23.290127674229865</c:v>
                </c:pt>
                <c:pt idx="56">
                  <c:v>23.290127674229865</c:v>
                </c:pt>
                <c:pt idx="57">
                  <c:v>23.290127674229865</c:v>
                </c:pt>
                <c:pt idx="58">
                  <c:v>23.290127674229865</c:v>
                </c:pt>
                <c:pt idx="59">
                  <c:v>23.290127674229865</c:v>
                </c:pt>
                <c:pt idx="60">
                  <c:v>23.290127674229865</c:v>
                </c:pt>
                <c:pt idx="61">
                  <c:v>23.290127674229865</c:v>
                </c:pt>
                <c:pt idx="62">
                  <c:v>23.290127674229865</c:v>
                </c:pt>
                <c:pt idx="63">
                  <c:v>23.290127674229865</c:v>
                </c:pt>
                <c:pt idx="64">
                  <c:v>23.290127674229865</c:v>
                </c:pt>
                <c:pt idx="65">
                  <c:v>23.290127674229865</c:v>
                </c:pt>
                <c:pt idx="66">
                  <c:v>23.290127674229865</c:v>
                </c:pt>
                <c:pt idx="67">
                  <c:v>23.290127674229865</c:v>
                </c:pt>
                <c:pt idx="68">
                  <c:v>23.290127674229865</c:v>
                </c:pt>
                <c:pt idx="69">
                  <c:v>23.290127674229865</c:v>
                </c:pt>
                <c:pt idx="70">
                  <c:v>23.290127674229865</c:v>
                </c:pt>
                <c:pt idx="71">
                  <c:v>23.290127674229865</c:v>
                </c:pt>
                <c:pt idx="72">
                  <c:v>23.290127674229865</c:v>
                </c:pt>
                <c:pt idx="73">
                  <c:v>23.290127674229865</c:v>
                </c:pt>
                <c:pt idx="74">
                  <c:v>23.290127674229865</c:v>
                </c:pt>
                <c:pt idx="75">
                  <c:v>23.290127674229865</c:v>
                </c:pt>
                <c:pt idx="76">
                  <c:v>23.290127674229865</c:v>
                </c:pt>
                <c:pt idx="77">
                  <c:v>23.290127674229865</c:v>
                </c:pt>
                <c:pt idx="78">
                  <c:v>23.290127674229865</c:v>
                </c:pt>
                <c:pt idx="79">
                  <c:v>23.290127674229865</c:v>
                </c:pt>
                <c:pt idx="80">
                  <c:v>23.290127674229865</c:v>
                </c:pt>
                <c:pt idx="81">
                  <c:v>23.290127674229865</c:v>
                </c:pt>
                <c:pt idx="82">
                  <c:v>23.290127674229865</c:v>
                </c:pt>
                <c:pt idx="83">
                  <c:v>23.290127674229865</c:v>
                </c:pt>
                <c:pt idx="84">
                  <c:v>23.290127674229865</c:v>
                </c:pt>
                <c:pt idx="85">
                  <c:v>23.290127674229865</c:v>
                </c:pt>
                <c:pt idx="86">
                  <c:v>23.290127674229865</c:v>
                </c:pt>
                <c:pt idx="87">
                  <c:v>23.290127674229865</c:v>
                </c:pt>
                <c:pt idx="88">
                  <c:v>23.290127674229865</c:v>
                </c:pt>
                <c:pt idx="89">
                  <c:v>23.290127674229865</c:v>
                </c:pt>
                <c:pt idx="90">
                  <c:v>23.290127674229865</c:v>
                </c:pt>
                <c:pt idx="91">
                  <c:v>23.290127674229865</c:v>
                </c:pt>
                <c:pt idx="92">
                  <c:v>23.290127674229865</c:v>
                </c:pt>
                <c:pt idx="93">
                  <c:v>23.290127674229865</c:v>
                </c:pt>
                <c:pt idx="94">
                  <c:v>23.290127674229865</c:v>
                </c:pt>
                <c:pt idx="95">
                  <c:v>23.290127674229865</c:v>
                </c:pt>
                <c:pt idx="96">
                  <c:v>23.290127674229865</c:v>
                </c:pt>
                <c:pt idx="97">
                  <c:v>23.290127674229865</c:v>
                </c:pt>
                <c:pt idx="98">
                  <c:v>23.290127674229865</c:v>
                </c:pt>
                <c:pt idx="99">
                  <c:v>23.290127674229865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E03-43E9-8417-407ED1F1025B}"/>
            </c:ext>
          </c:extLst>
        </c:ser>
        <c:ser>
          <c:idx val="2"/>
          <c:order val="2"/>
          <c:tx>
            <c:v>Leisen-Reimer model (3)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'Report 3'!$J$3:$J$101</c:f>
              <c:numCache>
                <c:formatCode>General</c:formatCode>
                <c:ptCount val="9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</c:numCache>
            </c:numRef>
          </c:xVal>
          <c:yVal>
            <c:numRef>
              <c:f>'Report 3'!$M$3:$M$101</c:f>
              <c:numCache>
                <c:formatCode>General</c:formatCode>
                <c:ptCount val="99"/>
                <c:pt idx="0">
                  <c:v>23.208049326168108</c:v>
                </c:pt>
                <c:pt idx="1">
                  <c:v>23.208049326168108</c:v>
                </c:pt>
                <c:pt idx="2">
                  <c:v>23.256355911573969</c:v>
                </c:pt>
                <c:pt idx="3">
                  <c:v>23.256355911573969</c:v>
                </c:pt>
                <c:pt idx="4">
                  <c:v>23.271721928773065</c:v>
                </c:pt>
                <c:pt idx="5">
                  <c:v>23.271721928773065</c:v>
                </c:pt>
                <c:pt idx="6">
                  <c:v>23.278544419737671</c:v>
                </c:pt>
                <c:pt idx="7">
                  <c:v>23.278544419737671</c:v>
                </c:pt>
                <c:pt idx="8">
                  <c:v>23.282166608515634</c:v>
                </c:pt>
                <c:pt idx="9">
                  <c:v>23.282166608515634</c:v>
                </c:pt>
                <c:pt idx="10">
                  <c:v>23.284319481521052</c:v>
                </c:pt>
                <c:pt idx="11">
                  <c:v>23.284319481521052</c:v>
                </c:pt>
                <c:pt idx="12">
                  <c:v>23.285703087069287</c:v>
                </c:pt>
                <c:pt idx="13">
                  <c:v>23.285703087069287</c:v>
                </c:pt>
                <c:pt idx="14">
                  <c:v>23.286644922139367</c:v>
                </c:pt>
                <c:pt idx="15">
                  <c:v>23.286644922139367</c:v>
                </c:pt>
                <c:pt idx="16">
                  <c:v>23.287314966138084</c:v>
                </c:pt>
                <c:pt idx="17">
                  <c:v>23.287314966138084</c:v>
                </c:pt>
                <c:pt idx="18">
                  <c:v>23.28780861840475</c:v>
                </c:pt>
                <c:pt idx="19">
                  <c:v>23.28780861840475</c:v>
                </c:pt>
                <c:pt idx="20">
                  <c:v>23.288182798074317</c:v>
                </c:pt>
                <c:pt idx="21">
                  <c:v>23.288182798074317</c:v>
                </c:pt>
                <c:pt idx="22">
                  <c:v>23.288473179412193</c:v>
                </c:pt>
                <c:pt idx="23">
                  <c:v>23.288473179412193</c:v>
                </c:pt>
                <c:pt idx="24">
                  <c:v>23.288703046347791</c:v>
                </c:pt>
                <c:pt idx="25">
                  <c:v>23.288703046347791</c:v>
                </c:pt>
                <c:pt idx="26">
                  <c:v>23.288888121134359</c:v>
                </c:pt>
                <c:pt idx="27">
                  <c:v>23.288888121134359</c:v>
                </c:pt>
                <c:pt idx="28">
                  <c:v>23.289039331482044</c:v>
                </c:pt>
                <c:pt idx="29">
                  <c:v>23.289039331482044</c:v>
                </c:pt>
                <c:pt idx="30">
                  <c:v>23.289164464223585</c:v>
                </c:pt>
                <c:pt idx="31">
                  <c:v>23.289164464223585</c:v>
                </c:pt>
                <c:pt idx="32">
                  <c:v>23.289269189734945</c:v>
                </c:pt>
                <c:pt idx="33">
                  <c:v>23.289269189734945</c:v>
                </c:pt>
                <c:pt idx="34">
                  <c:v>23.289357716643931</c:v>
                </c:pt>
                <c:pt idx="35">
                  <c:v>23.289357716643931</c:v>
                </c:pt>
                <c:pt idx="36">
                  <c:v>23.289433221839445</c:v>
                </c:pt>
                <c:pt idx="37">
                  <c:v>23.289433221839445</c:v>
                </c:pt>
                <c:pt idx="38">
                  <c:v>23.28949813979964</c:v>
                </c:pt>
                <c:pt idx="39">
                  <c:v>23.28949813979964</c:v>
                </c:pt>
                <c:pt idx="40">
                  <c:v>23.289554361488072</c:v>
                </c:pt>
                <c:pt idx="41">
                  <c:v>23.289554361488072</c:v>
                </c:pt>
                <c:pt idx="42">
                  <c:v>23.289603373740984</c:v>
                </c:pt>
                <c:pt idx="43">
                  <c:v>23.289603373740984</c:v>
                </c:pt>
                <c:pt idx="44">
                  <c:v>23.289646358659525</c:v>
                </c:pt>
                <c:pt idx="45">
                  <c:v>23.289646358659525</c:v>
                </c:pt>
                <c:pt idx="46">
                  <c:v>23.289684265608567</c:v>
                </c:pt>
                <c:pt idx="47">
                  <c:v>23.289684265608567</c:v>
                </c:pt>
                <c:pt idx="48">
                  <c:v>23.289717864116472</c:v>
                </c:pt>
                <c:pt idx="49">
                  <c:v>23.289717864116472</c:v>
                </c:pt>
                <c:pt idx="50">
                  <c:v>23.289747783263159</c:v>
                </c:pt>
                <c:pt idx="51">
                  <c:v>23.289747783263159</c:v>
                </c:pt>
                <c:pt idx="52">
                  <c:v>23.289774541358483</c:v>
                </c:pt>
                <c:pt idx="53">
                  <c:v>23.289774541358483</c:v>
                </c:pt>
                <c:pt idx="54">
                  <c:v>23.289798568549422</c:v>
                </c:pt>
                <c:pt idx="55">
                  <c:v>23.289798568549422</c:v>
                </c:pt>
                <c:pt idx="56">
                  <c:v>23.289820224225654</c:v>
                </c:pt>
                <c:pt idx="57">
                  <c:v>23.289820224225654</c:v>
                </c:pt>
                <c:pt idx="58">
                  <c:v>23.289839810537352</c:v>
                </c:pt>
                <c:pt idx="59">
                  <c:v>23.289839810537352</c:v>
                </c:pt>
                <c:pt idx="60">
                  <c:v>23.289857583002608</c:v>
                </c:pt>
                <c:pt idx="61">
                  <c:v>23.289857583002608</c:v>
                </c:pt>
                <c:pt idx="62">
                  <c:v>23.289873758882084</c:v>
                </c:pt>
                <c:pt idx="63">
                  <c:v>23.289873758882084</c:v>
                </c:pt>
                <c:pt idx="64">
                  <c:v>23.289888523851435</c:v>
                </c:pt>
                <c:pt idx="65">
                  <c:v>23.289888523851435</c:v>
                </c:pt>
                <c:pt idx="66">
                  <c:v>23.289902037360644</c:v>
                </c:pt>
                <c:pt idx="67">
                  <c:v>23.289902037360644</c:v>
                </c:pt>
                <c:pt idx="68">
                  <c:v>23.289914436949889</c:v>
                </c:pt>
                <c:pt idx="69">
                  <c:v>23.289914436949889</c:v>
                </c:pt>
                <c:pt idx="70">
                  <c:v>23.289925841774206</c:v>
                </c:pt>
                <c:pt idx="71">
                  <c:v>23.289925841774206</c:v>
                </c:pt>
                <c:pt idx="72">
                  <c:v>23.289936355469795</c:v>
                </c:pt>
                <c:pt idx="73">
                  <c:v>23.289936355469795</c:v>
                </c:pt>
                <c:pt idx="74">
                  <c:v>23.289946068515658</c:v>
                </c:pt>
                <c:pt idx="75">
                  <c:v>23.289946068515658</c:v>
                </c:pt>
                <c:pt idx="76">
                  <c:v>23.289955060197325</c:v>
                </c:pt>
                <c:pt idx="77">
                  <c:v>23.289955060197325</c:v>
                </c:pt>
                <c:pt idx="78">
                  <c:v>23.289963400219744</c:v>
                </c:pt>
                <c:pt idx="79">
                  <c:v>23.289963400219744</c:v>
                </c:pt>
                <c:pt idx="80">
                  <c:v>23.289971150067018</c:v>
                </c:pt>
                <c:pt idx="81">
                  <c:v>23.289971150067018</c:v>
                </c:pt>
                <c:pt idx="82">
                  <c:v>23.289978364141042</c:v>
                </c:pt>
                <c:pt idx="83">
                  <c:v>23.289978364141042</c:v>
                </c:pt>
                <c:pt idx="84">
                  <c:v>23.289985090715795</c:v>
                </c:pt>
                <c:pt idx="85">
                  <c:v>23.289985090715795</c:v>
                </c:pt>
                <c:pt idx="86">
                  <c:v>23.289991372748595</c:v>
                </c:pt>
                <c:pt idx="87">
                  <c:v>23.289991372748595</c:v>
                </c:pt>
                <c:pt idx="88">
                  <c:v>23.289997248563179</c:v>
                </c:pt>
                <c:pt idx="89">
                  <c:v>23.289997248563179</c:v>
                </c:pt>
                <c:pt idx="90">
                  <c:v>23.290002752447176</c:v>
                </c:pt>
                <c:pt idx="91">
                  <c:v>23.290002752447176</c:v>
                </c:pt>
                <c:pt idx="92">
                  <c:v>23.290007915140116</c:v>
                </c:pt>
                <c:pt idx="93">
                  <c:v>23.290007915140116</c:v>
                </c:pt>
                <c:pt idx="94">
                  <c:v>23.29001276427454</c:v>
                </c:pt>
                <c:pt idx="95">
                  <c:v>23.29001276427454</c:v>
                </c:pt>
                <c:pt idx="96">
                  <c:v>23.290017324735771</c:v>
                </c:pt>
                <c:pt idx="97">
                  <c:v>23.290017324735771</c:v>
                </c:pt>
                <c:pt idx="98">
                  <c:v>23.290021618992572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E03-43E9-8417-407ED1F1025B}"/>
            </c:ext>
          </c:extLst>
        </c:ser>
        <c:ser>
          <c:idx val="3"/>
          <c:order val="3"/>
          <c:tx>
            <c:v>Binomial model (6)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'Report 3'!$Q$2:$Q$101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'Report 3'!$R$2:$R$101</c:f>
              <c:numCache>
                <c:formatCode>General</c:formatCode>
                <c:ptCount val="100"/>
                <c:pt idx="0">
                  <c:v>32.509042504398721</c:v>
                </c:pt>
                <c:pt idx="1">
                  <c:v>24.153098217784834</c:v>
                </c:pt>
                <c:pt idx="2">
                  <c:v>28.534370935679817</c:v>
                </c:pt>
                <c:pt idx="3">
                  <c:v>25.377504488781337</c:v>
                </c:pt>
                <c:pt idx="4">
                  <c:v>27.709309143393757</c:v>
                </c:pt>
                <c:pt idx="5">
                  <c:v>25.799859603929555</c:v>
                </c:pt>
                <c:pt idx="6">
                  <c:v>27.356711375385554</c:v>
                </c:pt>
                <c:pt idx="7">
                  <c:v>26.008805795171039</c:v>
                </c:pt>
                <c:pt idx="8">
                  <c:v>27.161587065147934</c:v>
                </c:pt>
                <c:pt idx="9">
                  <c:v>26.131767148560634</c:v>
                </c:pt>
                <c:pt idx="10">
                  <c:v>27.037799858656875</c:v>
                </c:pt>
                <c:pt idx="11">
                  <c:v>26.211991759703892</c:v>
                </c:pt>
                <c:pt idx="12">
                  <c:v>26.952318865837572</c:v>
                </c:pt>
                <c:pt idx="13">
                  <c:v>26.268020012156153</c:v>
                </c:pt>
                <c:pt idx="14">
                  <c:v>26.889742400150652</c:v>
                </c:pt>
                <c:pt idx="15">
                  <c:v>26.309127721034809</c:v>
                </c:pt>
                <c:pt idx="16">
                  <c:v>26.841978512289348</c:v>
                </c:pt>
                <c:pt idx="17">
                  <c:v>26.340410274609976</c:v>
                </c:pt>
                <c:pt idx="18">
                  <c:v>26.804303075440771</c:v>
                </c:pt>
                <c:pt idx="19">
                  <c:v>26.364886997589839</c:v>
                </c:pt>
                <c:pt idx="20">
                  <c:v>26.77383692197062</c:v>
                </c:pt>
                <c:pt idx="21">
                  <c:v>26.384520270713999</c:v>
                </c:pt>
                <c:pt idx="22">
                  <c:v>26.748687754231103</c:v>
                </c:pt>
                <c:pt idx="23">
                  <c:v>26.400514804911769</c:v>
                </c:pt>
                <c:pt idx="24">
                  <c:v>26.727582695771279</c:v>
                </c:pt>
                <c:pt idx="25">
                  <c:v>26.413808234965437</c:v>
                </c:pt>
                <c:pt idx="26">
                  <c:v>26.709621986700157</c:v>
                </c:pt>
                <c:pt idx="27">
                  <c:v>26.424951744902753</c:v>
                </c:pt>
                <c:pt idx="28">
                  <c:v>26.694138871926107</c:v>
                </c:pt>
                <c:pt idx="29">
                  <c:v>26.434413231600494</c:v>
                </c:pt>
                <c:pt idx="30">
                  <c:v>26.68066550389322</c:v>
                </c:pt>
                <c:pt idx="31">
                  <c:v>26.442537419513755</c:v>
                </c:pt>
                <c:pt idx="32">
                  <c:v>26.66882871214758</c:v>
                </c:pt>
                <c:pt idx="33">
                  <c:v>26.449583795533943</c:v>
                </c:pt>
                <c:pt idx="34">
                  <c:v>26.658334902626365</c:v>
                </c:pt>
                <c:pt idx="35">
                  <c:v>26.455702027870906</c:v>
                </c:pt>
                <c:pt idx="36">
                  <c:v>26.649002218871559</c:v>
                </c:pt>
                <c:pt idx="37">
                  <c:v>26.461064483535374</c:v>
                </c:pt>
                <c:pt idx="38">
                  <c:v>26.640605273440094</c:v>
                </c:pt>
                <c:pt idx="39">
                  <c:v>26.4658302681338</c:v>
                </c:pt>
                <c:pt idx="40">
                  <c:v>26.633049361406595</c:v>
                </c:pt>
                <c:pt idx="41">
                  <c:v>26.470025891697382</c:v>
                </c:pt>
                <c:pt idx="42">
                  <c:v>26.626196171999329</c:v>
                </c:pt>
                <c:pt idx="43">
                  <c:v>26.473801024444985</c:v>
                </c:pt>
                <c:pt idx="44">
                  <c:v>26.619937771825967</c:v>
                </c:pt>
                <c:pt idx="45">
                  <c:v>26.477149954825681</c:v>
                </c:pt>
                <c:pt idx="46">
                  <c:v>26.61423057739206</c:v>
                </c:pt>
                <c:pt idx="47">
                  <c:v>26.480188225580534</c:v>
                </c:pt>
                <c:pt idx="48">
                  <c:v>26.608989353349923</c:v>
                </c:pt>
                <c:pt idx="49">
                  <c:v>26.482919655805155</c:v>
                </c:pt>
                <c:pt idx="50">
                  <c:v>26.604149703064273</c:v>
                </c:pt>
                <c:pt idx="51">
                  <c:v>26.485378306329881</c:v>
                </c:pt>
                <c:pt idx="52">
                  <c:v>26.599666159897456</c:v>
                </c:pt>
                <c:pt idx="53">
                  <c:v>26.487658919124346</c:v>
                </c:pt>
                <c:pt idx="54">
                  <c:v>26.595533028954193</c:v>
                </c:pt>
                <c:pt idx="55">
                  <c:v>26.48970654030828</c:v>
                </c:pt>
                <c:pt idx="56">
                  <c:v>26.591695400077882</c:v>
                </c:pt>
                <c:pt idx="57">
                  <c:v>26.491572314678397</c:v>
                </c:pt>
                <c:pt idx="58">
                  <c:v>26.588088861303849</c:v>
                </c:pt>
                <c:pt idx="59">
                  <c:v>26.493296020796063</c:v>
                </c:pt>
                <c:pt idx="60">
                  <c:v>26.584730463240525</c:v>
                </c:pt>
                <c:pt idx="61">
                  <c:v>26.494836000921797</c:v>
                </c:pt>
                <c:pt idx="62">
                  <c:v>26.581603163353947</c:v>
                </c:pt>
                <c:pt idx="63">
                  <c:v>26.496324835351647</c:v>
                </c:pt>
                <c:pt idx="64">
                  <c:v>26.578655799809596</c:v>
                </c:pt>
                <c:pt idx="65">
                  <c:v>26.497645082368845</c:v>
                </c:pt>
                <c:pt idx="66">
                  <c:v>26.575877026719581</c:v>
                </c:pt>
                <c:pt idx="67">
                  <c:v>26.498847896499004</c:v>
                </c:pt>
                <c:pt idx="68">
                  <c:v>26.573263043647529</c:v>
                </c:pt>
                <c:pt idx="69">
                  <c:v>26.500024186933544</c:v>
                </c:pt>
                <c:pt idx="70">
                  <c:v>26.570810060975603</c:v>
                </c:pt>
                <c:pt idx="71">
                  <c:v>26.501075462544691</c:v>
                </c:pt>
                <c:pt idx="72">
                  <c:v>26.568472625955902</c:v>
                </c:pt>
                <c:pt idx="73">
                  <c:v>26.502052864487929</c:v>
                </c:pt>
                <c:pt idx="74">
                  <c:v>26.566265906043711</c:v>
                </c:pt>
                <c:pt idx="75">
                  <c:v>26.502931760277043</c:v>
                </c:pt>
                <c:pt idx="76">
                  <c:v>26.564186082845225</c:v>
                </c:pt>
                <c:pt idx="77">
                  <c:v>26.503803096672904</c:v>
                </c:pt>
                <c:pt idx="78">
                  <c:v>26.562200976054225</c:v>
                </c:pt>
                <c:pt idx="79">
                  <c:v>26.504600553406569</c:v>
                </c:pt>
                <c:pt idx="80">
                  <c:v>26.560306780810585</c:v>
                </c:pt>
                <c:pt idx="81">
                  <c:v>26.505310876534523</c:v>
                </c:pt>
                <c:pt idx="82">
                  <c:v>26.55852813784211</c:v>
                </c:pt>
                <c:pt idx="83">
                  <c:v>26.506015503944521</c:v>
                </c:pt>
                <c:pt idx="84">
                  <c:v>26.556825256309732</c:v>
                </c:pt>
                <c:pt idx="85">
                  <c:v>26.506631125346793</c:v>
                </c:pt>
                <c:pt idx="86">
                  <c:v>26.555179214566241</c:v>
                </c:pt>
                <c:pt idx="87">
                  <c:v>26.507241048259726</c:v>
                </c:pt>
                <c:pt idx="88">
                  <c:v>26.553622177346149</c:v>
                </c:pt>
                <c:pt idx="89">
                  <c:v>26.507788474222</c:v>
                </c:pt>
                <c:pt idx="90">
                  <c:v>26.552144713181249</c:v>
                </c:pt>
                <c:pt idx="91">
                  <c:v>26.50830369435818</c:v>
                </c:pt>
                <c:pt idx="92">
                  <c:v>26.550693766899215</c:v>
                </c:pt>
                <c:pt idx="93">
                  <c:v>26.508799969481032</c:v>
                </c:pt>
                <c:pt idx="94">
                  <c:v>26.549356464629803</c:v>
                </c:pt>
                <c:pt idx="95">
                  <c:v>26.509309513140533</c:v>
                </c:pt>
                <c:pt idx="96">
                  <c:v>26.548051379958494</c:v>
                </c:pt>
                <c:pt idx="97">
                  <c:v>26.50970349420156</c:v>
                </c:pt>
                <c:pt idx="98">
                  <c:v>26.546787939436939</c:v>
                </c:pt>
                <c:pt idx="99">
                  <c:v>26.510116427964011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A7-475B-A306-65F34C0E2503}"/>
            </c:ext>
          </c:extLst>
        </c:ser>
        <c:ser>
          <c:idx val="4"/>
          <c:order val="4"/>
          <c:tx>
            <c:v>Black-Scholes model (6)</c:v>
          </c:tx>
          <c:spPr>
            <a:ln w="12700" cap="rnd">
              <a:solidFill>
                <a:schemeClr val="accent1">
                  <a:alpha val="97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'Report 3'!$Q$2:$Q$101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'Report 3'!$S$2:$S$101</c:f>
              <c:numCache>
                <c:formatCode>General</c:formatCode>
                <c:ptCount val="100"/>
                <c:pt idx="0">
                  <c:v>26.501515084741776</c:v>
                </c:pt>
                <c:pt idx="1">
                  <c:v>26.501515084741776</c:v>
                </c:pt>
                <c:pt idx="2">
                  <c:v>26.501515084741776</c:v>
                </c:pt>
                <c:pt idx="3">
                  <c:v>26.501515084741776</c:v>
                </c:pt>
                <c:pt idx="4">
                  <c:v>26.501515084741776</c:v>
                </c:pt>
                <c:pt idx="5">
                  <c:v>26.501515084741776</c:v>
                </c:pt>
                <c:pt idx="6">
                  <c:v>26.501515084741776</c:v>
                </c:pt>
                <c:pt idx="7">
                  <c:v>26.501515084741776</c:v>
                </c:pt>
                <c:pt idx="8">
                  <c:v>26.501515084741776</c:v>
                </c:pt>
                <c:pt idx="9">
                  <c:v>26.501515084741776</c:v>
                </c:pt>
                <c:pt idx="10">
                  <c:v>26.501515084741776</c:v>
                </c:pt>
                <c:pt idx="11">
                  <c:v>26.501515084741776</c:v>
                </c:pt>
                <c:pt idx="12">
                  <c:v>26.501515084741776</c:v>
                </c:pt>
                <c:pt idx="13">
                  <c:v>26.501515084741776</c:v>
                </c:pt>
                <c:pt idx="14">
                  <c:v>26.501515084741776</c:v>
                </c:pt>
                <c:pt idx="15">
                  <c:v>26.501515084741776</c:v>
                </c:pt>
                <c:pt idx="16">
                  <c:v>26.501515084741776</c:v>
                </c:pt>
                <c:pt idx="17">
                  <c:v>26.501515084741776</c:v>
                </c:pt>
                <c:pt idx="18">
                  <c:v>26.501515084741776</c:v>
                </c:pt>
                <c:pt idx="19">
                  <c:v>26.501515084741776</c:v>
                </c:pt>
                <c:pt idx="20">
                  <c:v>26.501515084741776</c:v>
                </c:pt>
                <c:pt idx="21">
                  <c:v>26.501515084741776</c:v>
                </c:pt>
                <c:pt idx="22">
                  <c:v>26.501515084741776</c:v>
                </c:pt>
                <c:pt idx="23">
                  <c:v>26.501515084741776</c:v>
                </c:pt>
                <c:pt idx="24">
                  <c:v>26.501515084741776</c:v>
                </c:pt>
                <c:pt idx="25">
                  <c:v>26.501515084741776</c:v>
                </c:pt>
                <c:pt idx="26">
                  <c:v>26.501515084741776</c:v>
                </c:pt>
                <c:pt idx="27">
                  <c:v>26.501515084741776</c:v>
                </c:pt>
                <c:pt idx="28">
                  <c:v>26.501515084741776</c:v>
                </c:pt>
                <c:pt idx="29">
                  <c:v>26.501515084741776</c:v>
                </c:pt>
                <c:pt idx="30">
                  <c:v>26.501515084741776</c:v>
                </c:pt>
                <c:pt idx="31">
                  <c:v>26.501515084741776</c:v>
                </c:pt>
                <c:pt idx="32">
                  <c:v>26.501515084741776</c:v>
                </c:pt>
                <c:pt idx="33">
                  <c:v>26.501515084741776</c:v>
                </c:pt>
                <c:pt idx="34">
                  <c:v>26.501515084741776</c:v>
                </c:pt>
                <c:pt idx="35">
                  <c:v>26.501515084741776</c:v>
                </c:pt>
                <c:pt idx="36">
                  <c:v>26.501515084741776</c:v>
                </c:pt>
                <c:pt idx="37">
                  <c:v>26.501515084741776</c:v>
                </c:pt>
                <c:pt idx="38">
                  <c:v>26.501515084741776</c:v>
                </c:pt>
                <c:pt idx="39">
                  <c:v>26.501515084741776</c:v>
                </c:pt>
                <c:pt idx="40">
                  <c:v>26.501515084741776</c:v>
                </c:pt>
                <c:pt idx="41">
                  <c:v>26.501515084741776</c:v>
                </c:pt>
                <c:pt idx="42">
                  <c:v>26.501515084741776</c:v>
                </c:pt>
                <c:pt idx="43">
                  <c:v>26.501515084741776</c:v>
                </c:pt>
                <c:pt idx="44">
                  <c:v>26.501515084741776</c:v>
                </c:pt>
                <c:pt idx="45">
                  <c:v>26.501515084741776</c:v>
                </c:pt>
                <c:pt idx="46">
                  <c:v>26.501515084741776</c:v>
                </c:pt>
                <c:pt idx="47">
                  <c:v>26.501515084741776</c:v>
                </c:pt>
                <c:pt idx="48">
                  <c:v>26.501515084741776</c:v>
                </c:pt>
                <c:pt idx="49">
                  <c:v>26.501515084741776</c:v>
                </c:pt>
                <c:pt idx="50">
                  <c:v>26.501515084741776</c:v>
                </c:pt>
                <c:pt idx="51">
                  <c:v>26.501515084741776</c:v>
                </c:pt>
                <c:pt idx="52">
                  <c:v>26.501515084741776</c:v>
                </c:pt>
                <c:pt idx="53">
                  <c:v>26.501515084741776</c:v>
                </c:pt>
                <c:pt idx="54">
                  <c:v>26.501515084741776</c:v>
                </c:pt>
                <c:pt idx="55">
                  <c:v>26.501515084741776</c:v>
                </c:pt>
                <c:pt idx="56">
                  <c:v>26.501515084741776</c:v>
                </c:pt>
                <c:pt idx="57">
                  <c:v>26.501515084741776</c:v>
                </c:pt>
                <c:pt idx="58">
                  <c:v>26.501515084741776</c:v>
                </c:pt>
                <c:pt idx="59">
                  <c:v>26.501515084741776</c:v>
                </c:pt>
                <c:pt idx="60">
                  <c:v>26.501515084741776</c:v>
                </c:pt>
                <c:pt idx="61">
                  <c:v>26.501515084741776</c:v>
                </c:pt>
                <c:pt idx="62">
                  <c:v>26.501515084741776</c:v>
                </c:pt>
                <c:pt idx="63">
                  <c:v>26.501515084741776</c:v>
                </c:pt>
                <c:pt idx="64">
                  <c:v>26.501515084741776</c:v>
                </c:pt>
                <c:pt idx="65">
                  <c:v>26.501515084741776</c:v>
                </c:pt>
                <c:pt idx="66">
                  <c:v>26.501515084741776</c:v>
                </c:pt>
                <c:pt idx="67">
                  <c:v>26.501515084741776</c:v>
                </c:pt>
                <c:pt idx="68">
                  <c:v>26.501515084741776</c:v>
                </c:pt>
                <c:pt idx="69">
                  <c:v>26.501515084741776</c:v>
                </c:pt>
                <c:pt idx="70">
                  <c:v>26.501515084741776</c:v>
                </c:pt>
                <c:pt idx="71">
                  <c:v>26.501515084741776</c:v>
                </c:pt>
                <c:pt idx="72">
                  <c:v>26.501515084741776</c:v>
                </c:pt>
                <c:pt idx="73">
                  <c:v>26.501515084741776</c:v>
                </c:pt>
                <c:pt idx="74">
                  <c:v>26.501515084741776</c:v>
                </c:pt>
                <c:pt idx="75">
                  <c:v>26.501515084741776</c:v>
                </c:pt>
                <c:pt idx="76">
                  <c:v>26.501515084741776</c:v>
                </c:pt>
                <c:pt idx="77">
                  <c:v>26.501515084741776</c:v>
                </c:pt>
                <c:pt idx="78">
                  <c:v>26.501515084741776</c:v>
                </c:pt>
                <c:pt idx="79">
                  <c:v>26.501515084741776</c:v>
                </c:pt>
                <c:pt idx="80">
                  <c:v>26.501515084741776</c:v>
                </c:pt>
                <c:pt idx="81">
                  <c:v>26.501515084741776</c:v>
                </c:pt>
                <c:pt idx="82">
                  <c:v>26.501515084741776</c:v>
                </c:pt>
                <c:pt idx="83">
                  <c:v>26.501515084741776</c:v>
                </c:pt>
                <c:pt idx="84">
                  <c:v>26.501515084741776</c:v>
                </c:pt>
                <c:pt idx="85">
                  <c:v>26.501515084741776</c:v>
                </c:pt>
                <c:pt idx="86">
                  <c:v>26.501515084741776</c:v>
                </c:pt>
                <c:pt idx="87">
                  <c:v>26.501515084741776</c:v>
                </c:pt>
                <c:pt idx="88">
                  <c:v>26.501515084741776</c:v>
                </c:pt>
                <c:pt idx="89">
                  <c:v>26.501515084741776</c:v>
                </c:pt>
                <c:pt idx="90">
                  <c:v>26.501515084741776</c:v>
                </c:pt>
                <c:pt idx="91">
                  <c:v>26.501515084741776</c:v>
                </c:pt>
                <c:pt idx="92">
                  <c:v>26.501515084741776</c:v>
                </c:pt>
                <c:pt idx="93">
                  <c:v>26.501515084741776</c:v>
                </c:pt>
                <c:pt idx="94">
                  <c:v>26.501515084741776</c:v>
                </c:pt>
                <c:pt idx="95">
                  <c:v>26.501515084741776</c:v>
                </c:pt>
                <c:pt idx="96">
                  <c:v>26.501515084741776</c:v>
                </c:pt>
                <c:pt idx="97">
                  <c:v>26.501515084741776</c:v>
                </c:pt>
                <c:pt idx="98">
                  <c:v>26.501515084741776</c:v>
                </c:pt>
                <c:pt idx="99">
                  <c:v>26.501515084741776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A7-475B-A306-65F34C0E2503}"/>
            </c:ext>
          </c:extLst>
        </c:ser>
        <c:ser>
          <c:idx val="5"/>
          <c:order val="5"/>
          <c:tx>
            <c:v>Leisen-Reimer model (6)</c:v>
          </c:tx>
          <c:spPr>
            <a:ln w="12700" cap="rnd">
              <a:solidFill>
                <a:srgbClr val="FF0000">
                  <a:alpha val="76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'Report 3'!$Q$3:$Q$101</c:f>
              <c:numCache>
                <c:formatCode>General</c:formatCode>
                <c:ptCount val="9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</c:numCache>
            </c:numRef>
          </c:xVal>
          <c:yVal>
            <c:numRef>
              <c:f>'Report 3'!$T$3:$T$101</c:f>
              <c:numCache>
                <c:formatCode>General</c:formatCode>
                <c:ptCount val="99"/>
                <c:pt idx="0">
                  <c:v>26.4099292743768</c:v>
                </c:pt>
                <c:pt idx="1">
                  <c:v>26.4099292743768</c:v>
                </c:pt>
                <c:pt idx="2">
                  <c:v>26.463838206845455</c:v>
                </c:pt>
                <c:pt idx="3">
                  <c:v>26.463838206845455</c:v>
                </c:pt>
                <c:pt idx="4">
                  <c:v>26.480980945029398</c:v>
                </c:pt>
                <c:pt idx="5">
                  <c:v>26.480980945029398</c:v>
                </c:pt>
                <c:pt idx="6">
                  <c:v>26.488591961448311</c:v>
                </c:pt>
                <c:pt idx="7">
                  <c:v>26.488591961448311</c:v>
                </c:pt>
                <c:pt idx="8">
                  <c:v>26.492632849268535</c:v>
                </c:pt>
                <c:pt idx="9">
                  <c:v>26.492632849268535</c:v>
                </c:pt>
                <c:pt idx="10">
                  <c:v>26.495034643836533</c:v>
                </c:pt>
                <c:pt idx="11">
                  <c:v>26.495034643836533</c:v>
                </c:pt>
                <c:pt idx="12">
                  <c:v>26.49657826959103</c:v>
                </c:pt>
                <c:pt idx="13">
                  <c:v>26.49657826959103</c:v>
                </c:pt>
                <c:pt idx="14">
                  <c:v>26.497629059649242</c:v>
                </c:pt>
                <c:pt idx="15">
                  <c:v>26.497629059649242</c:v>
                </c:pt>
                <c:pt idx="16">
                  <c:v>26.498376634303131</c:v>
                </c:pt>
                <c:pt idx="17">
                  <c:v>26.498376634303131</c:v>
                </c:pt>
                <c:pt idx="18">
                  <c:v>26.498927418321163</c:v>
                </c:pt>
                <c:pt idx="19">
                  <c:v>26.498927418321163</c:v>
                </c:pt>
                <c:pt idx="20">
                  <c:v>26.499344910411715</c:v>
                </c:pt>
                <c:pt idx="21">
                  <c:v>26.499344910411715</c:v>
                </c:pt>
                <c:pt idx="22">
                  <c:v>26.499668909438483</c:v>
                </c:pt>
                <c:pt idx="23">
                  <c:v>26.499668909438483</c:v>
                </c:pt>
                <c:pt idx="24">
                  <c:v>26.499925391889061</c:v>
                </c:pt>
                <c:pt idx="25">
                  <c:v>26.499925391889061</c:v>
                </c:pt>
                <c:pt idx="26">
                  <c:v>26.500131898456786</c:v>
                </c:pt>
                <c:pt idx="27">
                  <c:v>26.500131898456786</c:v>
                </c:pt>
                <c:pt idx="28">
                  <c:v>26.500300620958555</c:v>
                </c:pt>
                <c:pt idx="29">
                  <c:v>26.500300620958555</c:v>
                </c:pt>
                <c:pt idx="30">
                  <c:v>26.500440247133493</c:v>
                </c:pt>
                <c:pt idx="31">
                  <c:v>26.500440247133493</c:v>
                </c:pt>
                <c:pt idx="32">
                  <c:v>26.500557103487747</c:v>
                </c:pt>
                <c:pt idx="33">
                  <c:v>26.500557103487747</c:v>
                </c:pt>
                <c:pt idx="34">
                  <c:v>26.500655885696137</c:v>
                </c:pt>
                <c:pt idx="35">
                  <c:v>26.500655885696137</c:v>
                </c:pt>
                <c:pt idx="36">
                  <c:v>26.50074013833877</c:v>
                </c:pt>
                <c:pt idx="37">
                  <c:v>26.50074013833877</c:v>
                </c:pt>
                <c:pt idx="38">
                  <c:v>26.500812577688418</c:v>
                </c:pt>
                <c:pt idx="39">
                  <c:v>26.500812577688418</c:v>
                </c:pt>
                <c:pt idx="40">
                  <c:v>26.500875313612376</c:v>
                </c:pt>
                <c:pt idx="41">
                  <c:v>26.500875313612376</c:v>
                </c:pt>
                <c:pt idx="42">
                  <c:v>26.500930005082612</c:v>
                </c:pt>
                <c:pt idx="43">
                  <c:v>26.500930005082612</c:v>
                </c:pt>
                <c:pt idx="44">
                  <c:v>26.500977971068394</c:v>
                </c:pt>
                <c:pt idx="45">
                  <c:v>26.500977971068394</c:v>
                </c:pt>
                <c:pt idx="46">
                  <c:v>26.501020270860465</c:v>
                </c:pt>
                <c:pt idx="47">
                  <c:v>26.501020270860465</c:v>
                </c:pt>
                <c:pt idx="48">
                  <c:v>26.501057763101652</c:v>
                </c:pt>
                <c:pt idx="49">
                  <c:v>26.501057763101652</c:v>
                </c:pt>
                <c:pt idx="50">
                  <c:v>26.501091149723241</c:v>
                </c:pt>
                <c:pt idx="51">
                  <c:v>26.501091149723241</c:v>
                </c:pt>
                <c:pt idx="52">
                  <c:v>26.501121009062686</c:v>
                </c:pt>
                <c:pt idx="53">
                  <c:v>26.501121009062686</c:v>
                </c:pt>
                <c:pt idx="54">
                  <c:v>26.501147821088864</c:v>
                </c:pt>
                <c:pt idx="55">
                  <c:v>26.501147821088864</c:v>
                </c:pt>
                <c:pt idx="56">
                  <c:v>26.501171986816409</c:v>
                </c:pt>
                <c:pt idx="57">
                  <c:v>26.501171986816409</c:v>
                </c:pt>
                <c:pt idx="58">
                  <c:v>26.501193843397996</c:v>
                </c:pt>
                <c:pt idx="59">
                  <c:v>26.501193843397996</c:v>
                </c:pt>
                <c:pt idx="60">
                  <c:v>26.501213675949433</c:v>
                </c:pt>
                <c:pt idx="61">
                  <c:v>26.501213675949433</c:v>
                </c:pt>
                <c:pt idx="62">
                  <c:v>26.501231726899096</c:v>
                </c:pt>
                <c:pt idx="63">
                  <c:v>26.501231726899096</c:v>
                </c:pt>
                <c:pt idx="64">
                  <c:v>26.501248203435427</c:v>
                </c:pt>
                <c:pt idx="65">
                  <c:v>26.501248203435427</c:v>
                </c:pt>
                <c:pt idx="66">
                  <c:v>26.501263283479958</c:v>
                </c:pt>
                <c:pt idx="67">
                  <c:v>26.501263283479958</c:v>
                </c:pt>
                <c:pt idx="68">
                  <c:v>26.501277120510235</c:v>
                </c:pt>
                <c:pt idx="69">
                  <c:v>26.501277120510235</c:v>
                </c:pt>
                <c:pt idx="70">
                  <c:v>26.501289847486284</c:v>
                </c:pt>
                <c:pt idx="71">
                  <c:v>26.501289847486284</c:v>
                </c:pt>
                <c:pt idx="72">
                  <c:v>26.501301580048864</c:v>
                </c:pt>
                <c:pt idx="73">
                  <c:v>26.501301580048864</c:v>
                </c:pt>
                <c:pt idx="74">
                  <c:v>26.501312419167451</c:v>
                </c:pt>
                <c:pt idx="75">
                  <c:v>26.501312419167451</c:v>
                </c:pt>
                <c:pt idx="76">
                  <c:v>26.501322453308347</c:v>
                </c:pt>
                <c:pt idx="77">
                  <c:v>26.501322453308347</c:v>
                </c:pt>
                <c:pt idx="78">
                  <c:v>26.501331760257287</c:v>
                </c:pt>
                <c:pt idx="79">
                  <c:v>26.501331760257287</c:v>
                </c:pt>
                <c:pt idx="80">
                  <c:v>26.501340408624316</c:v>
                </c:pt>
                <c:pt idx="81">
                  <c:v>26.501340408624316</c:v>
                </c:pt>
                <c:pt idx="82">
                  <c:v>26.501348459114173</c:v>
                </c:pt>
                <c:pt idx="83">
                  <c:v>26.501348459114173</c:v>
                </c:pt>
                <c:pt idx="84">
                  <c:v>26.501355965596893</c:v>
                </c:pt>
                <c:pt idx="85">
                  <c:v>26.501355965596893</c:v>
                </c:pt>
                <c:pt idx="86">
                  <c:v>26.501362976002596</c:v>
                </c:pt>
                <c:pt idx="87">
                  <c:v>26.501362976002596</c:v>
                </c:pt>
                <c:pt idx="88">
                  <c:v>26.501369533104427</c:v>
                </c:pt>
                <c:pt idx="89">
                  <c:v>26.501369533104427</c:v>
                </c:pt>
                <c:pt idx="90">
                  <c:v>26.501375675160439</c:v>
                </c:pt>
                <c:pt idx="91">
                  <c:v>26.501375675160439</c:v>
                </c:pt>
                <c:pt idx="92">
                  <c:v>26.501381436470872</c:v>
                </c:pt>
                <c:pt idx="93">
                  <c:v>26.501381436470872</c:v>
                </c:pt>
                <c:pt idx="94">
                  <c:v>26.50138684787288</c:v>
                </c:pt>
                <c:pt idx="95">
                  <c:v>26.50138684787288</c:v>
                </c:pt>
                <c:pt idx="96">
                  <c:v>26.501391937136507</c:v>
                </c:pt>
                <c:pt idx="97">
                  <c:v>26.501391937136507</c:v>
                </c:pt>
                <c:pt idx="98">
                  <c:v>26.501396729334292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A7-475B-A306-65F34C0E2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663960"/>
        <c:axId val="553664944"/>
      </c:scatterChart>
      <c:valAx>
        <c:axId val="553663960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3664944"/>
        <c:crosses val="autoZero"/>
        <c:crossBetween val="midCat"/>
      </c:valAx>
      <c:valAx>
        <c:axId val="553664944"/>
        <c:scaling>
          <c:orientation val="minMax"/>
          <c:max val="33"/>
          <c:min val="2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Call price [$]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3663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BABA option pricing for 6 months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Binomial model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'Report 3'!$Q$2:$Q$101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'Report 3'!$R$2:$R$101</c:f>
              <c:numCache>
                <c:formatCode>General</c:formatCode>
                <c:ptCount val="100"/>
                <c:pt idx="0">
                  <c:v>32.509042504398721</c:v>
                </c:pt>
                <c:pt idx="1">
                  <c:v>24.153098217784834</c:v>
                </c:pt>
                <c:pt idx="2">
                  <c:v>28.534370935679817</c:v>
                </c:pt>
                <c:pt idx="3">
                  <c:v>25.377504488781337</c:v>
                </c:pt>
                <c:pt idx="4">
                  <c:v>27.709309143393757</c:v>
                </c:pt>
                <c:pt idx="5">
                  <c:v>25.799859603929555</c:v>
                </c:pt>
                <c:pt idx="6">
                  <c:v>27.356711375385554</c:v>
                </c:pt>
                <c:pt idx="7">
                  <c:v>26.008805795171039</c:v>
                </c:pt>
                <c:pt idx="8">
                  <c:v>27.161587065147934</c:v>
                </c:pt>
                <c:pt idx="9">
                  <c:v>26.131767148560634</c:v>
                </c:pt>
                <c:pt idx="10">
                  <c:v>27.037799858656875</c:v>
                </c:pt>
                <c:pt idx="11">
                  <c:v>26.211991759703892</c:v>
                </c:pt>
                <c:pt idx="12">
                  <c:v>26.952318865837572</c:v>
                </c:pt>
                <c:pt idx="13">
                  <c:v>26.268020012156153</c:v>
                </c:pt>
                <c:pt idx="14">
                  <c:v>26.889742400150652</c:v>
                </c:pt>
                <c:pt idx="15">
                  <c:v>26.309127721034809</c:v>
                </c:pt>
                <c:pt idx="16">
                  <c:v>26.841978512289348</c:v>
                </c:pt>
                <c:pt idx="17">
                  <c:v>26.340410274609976</c:v>
                </c:pt>
                <c:pt idx="18">
                  <c:v>26.804303075440771</c:v>
                </c:pt>
                <c:pt idx="19">
                  <c:v>26.364886997589839</c:v>
                </c:pt>
                <c:pt idx="20">
                  <c:v>26.77383692197062</c:v>
                </c:pt>
                <c:pt idx="21">
                  <c:v>26.384520270713999</c:v>
                </c:pt>
                <c:pt idx="22">
                  <c:v>26.748687754231103</c:v>
                </c:pt>
                <c:pt idx="23">
                  <c:v>26.400514804911769</c:v>
                </c:pt>
                <c:pt idx="24">
                  <c:v>26.727582695771279</c:v>
                </c:pt>
                <c:pt idx="25">
                  <c:v>26.413808234965437</c:v>
                </c:pt>
                <c:pt idx="26">
                  <c:v>26.709621986700157</c:v>
                </c:pt>
                <c:pt idx="27">
                  <c:v>26.424951744902753</c:v>
                </c:pt>
                <c:pt idx="28">
                  <c:v>26.694138871926107</c:v>
                </c:pt>
                <c:pt idx="29">
                  <c:v>26.434413231600494</c:v>
                </c:pt>
                <c:pt idx="30">
                  <c:v>26.68066550389322</c:v>
                </c:pt>
                <c:pt idx="31">
                  <c:v>26.442537419513755</c:v>
                </c:pt>
                <c:pt idx="32">
                  <c:v>26.66882871214758</c:v>
                </c:pt>
                <c:pt idx="33">
                  <c:v>26.449583795533943</c:v>
                </c:pt>
                <c:pt idx="34">
                  <c:v>26.658334902626365</c:v>
                </c:pt>
                <c:pt idx="35">
                  <c:v>26.455702027870906</c:v>
                </c:pt>
                <c:pt idx="36">
                  <c:v>26.649002218871559</c:v>
                </c:pt>
                <c:pt idx="37">
                  <c:v>26.461064483535374</c:v>
                </c:pt>
                <c:pt idx="38">
                  <c:v>26.640605273440094</c:v>
                </c:pt>
                <c:pt idx="39">
                  <c:v>26.4658302681338</c:v>
                </c:pt>
                <c:pt idx="40">
                  <c:v>26.633049361406595</c:v>
                </c:pt>
                <c:pt idx="41">
                  <c:v>26.470025891697382</c:v>
                </c:pt>
                <c:pt idx="42">
                  <c:v>26.626196171999329</c:v>
                </c:pt>
                <c:pt idx="43">
                  <c:v>26.473801024444985</c:v>
                </c:pt>
                <c:pt idx="44">
                  <c:v>26.619937771825967</c:v>
                </c:pt>
                <c:pt idx="45">
                  <c:v>26.477149954825681</c:v>
                </c:pt>
                <c:pt idx="46">
                  <c:v>26.61423057739206</c:v>
                </c:pt>
                <c:pt idx="47">
                  <c:v>26.480188225580534</c:v>
                </c:pt>
                <c:pt idx="48">
                  <c:v>26.608989353349923</c:v>
                </c:pt>
                <c:pt idx="49">
                  <c:v>26.482919655805155</c:v>
                </c:pt>
                <c:pt idx="50">
                  <c:v>26.604149703064273</c:v>
                </c:pt>
                <c:pt idx="51">
                  <c:v>26.485378306329881</c:v>
                </c:pt>
                <c:pt idx="52">
                  <c:v>26.599666159897456</c:v>
                </c:pt>
                <c:pt idx="53">
                  <c:v>26.487658919124346</c:v>
                </c:pt>
                <c:pt idx="54">
                  <c:v>26.595533028954193</c:v>
                </c:pt>
                <c:pt idx="55">
                  <c:v>26.48970654030828</c:v>
                </c:pt>
                <c:pt idx="56">
                  <c:v>26.591695400077882</c:v>
                </c:pt>
                <c:pt idx="57">
                  <c:v>26.491572314678397</c:v>
                </c:pt>
                <c:pt idx="58">
                  <c:v>26.588088861303849</c:v>
                </c:pt>
                <c:pt idx="59">
                  <c:v>26.493296020796063</c:v>
                </c:pt>
                <c:pt idx="60">
                  <c:v>26.584730463240525</c:v>
                </c:pt>
                <c:pt idx="61">
                  <c:v>26.494836000921797</c:v>
                </c:pt>
                <c:pt idx="62">
                  <c:v>26.581603163353947</c:v>
                </c:pt>
                <c:pt idx="63">
                  <c:v>26.496324835351647</c:v>
                </c:pt>
                <c:pt idx="64">
                  <c:v>26.578655799809596</c:v>
                </c:pt>
                <c:pt idx="65">
                  <c:v>26.497645082368845</c:v>
                </c:pt>
                <c:pt idx="66">
                  <c:v>26.575877026719581</c:v>
                </c:pt>
                <c:pt idx="67">
                  <c:v>26.498847896499004</c:v>
                </c:pt>
                <c:pt idx="68">
                  <c:v>26.573263043647529</c:v>
                </c:pt>
                <c:pt idx="69">
                  <c:v>26.500024186933544</c:v>
                </c:pt>
                <c:pt idx="70">
                  <c:v>26.570810060975603</c:v>
                </c:pt>
                <c:pt idx="71">
                  <c:v>26.501075462544691</c:v>
                </c:pt>
                <c:pt idx="72">
                  <c:v>26.568472625955902</c:v>
                </c:pt>
                <c:pt idx="73">
                  <c:v>26.502052864487929</c:v>
                </c:pt>
                <c:pt idx="74">
                  <c:v>26.566265906043711</c:v>
                </c:pt>
                <c:pt idx="75">
                  <c:v>26.502931760277043</c:v>
                </c:pt>
                <c:pt idx="76">
                  <c:v>26.564186082845225</c:v>
                </c:pt>
                <c:pt idx="77">
                  <c:v>26.503803096672904</c:v>
                </c:pt>
                <c:pt idx="78">
                  <c:v>26.562200976054225</c:v>
                </c:pt>
                <c:pt idx="79">
                  <c:v>26.504600553406569</c:v>
                </c:pt>
                <c:pt idx="80">
                  <c:v>26.560306780810585</c:v>
                </c:pt>
                <c:pt idx="81">
                  <c:v>26.505310876534523</c:v>
                </c:pt>
                <c:pt idx="82">
                  <c:v>26.55852813784211</c:v>
                </c:pt>
                <c:pt idx="83">
                  <c:v>26.506015503944521</c:v>
                </c:pt>
                <c:pt idx="84">
                  <c:v>26.556825256309732</c:v>
                </c:pt>
                <c:pt idx="85">
                  <c:v>26.506631125346793</c:v>
                </c:pt>
                <c:pt idx="86">
                  <c:v>26.555179214566241</c:v>
                </c:pt>
                <c:pt idx="87">
                  <c:v>26.507241048259726</c:v>
                </c:pt>
                <c:pt idx="88">
                  <c:v>26.553622177346149</c:v>
                </c:pt>
                <c:pt idx="89">
                  <c:v>26.507788474222</c:v>
                </c:pt>
                <c:pt idx="90">
                  <c:v>26.552144713181249</c:v>
                </c:pt>
                <c:pt idx="91">
                  <c:v>26.50830369435818</c:v>
                </c:pt>
                <c:pt idx="92">
                  <c:v>26.550693766899215</c:v>
                </c:pt>
                <c:pt idx="93">
                  <c:v>26.508799969481032</c:v>
                </c:pt>
                <c:pt idx="94">
                  <c:v>26.549356464629803</c:v>
                </c:pt>
                <c:pt idx="95">
                  <c:v>26.509309513140533</c:v>
                </c:pt>
                <c:pt idx="96">
                  <c:v>26.548051379958494</c:v>
                </c:pt>
                <c:pt idx="97">
                  <c:v>26.50970349420156</c:v>
                </c:pt>
                <c:pt idx="98">
                  <c:v>26.546787939436939</c:v>
                </c:pt>
                <c:pt idx="99">
                  <c:v>26.510116427964011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E11-4E63-AFDF-A8591D62A08E}"/>
            </c:ext>
          </c:extLst>
        </c:ser>
        <c:ser>
          <c:idx val="1"/>
          <c:order val="1"/>
          <c:tx>
            <c:v>Black-Scholes model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'Report 3'!$Q$2:$Q$101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'Report 3'!$S$2:$S$101</c:f>
              <c:numCache>
                <c:formatCode>General</c:formatCode>
                <c:ptCount val="100"/>
                <c:pt idx="0">
                  <c:v>26.501515084741776</c:v>
                </c:pt>
                <c:pt idx="1">
                  <c:v>26.501515084741776</c:v>
                </c:pt>
                <c:pt idx="2">
                  <c:v>26.501515084741776</c:v>
                </c:pt>
                <c:pt idx="3">
                  <c:v>26.501515084741776</c:v>
                </c:pt>
                <c:pt idx="4">
                  <c:v>26.501515084741776</c:v>
                </c:pt>
                <c:pt idx="5">
                  <c:v>26.501515084741776</c:v>
                </c:pt>
                <c:pt idx="6">
                  <c:v>26.501515084741776</c:v>
                </c:pt>
                <c:pt idx="7">
                  <c:v>26.501515084741776</c:v>
                </c:pt>
                <c:pt idx="8">
                  <c:v>26.501515084741776</c:v>
                </c:pt>
                <c:pt idx="9">
                  <c:v>26.501515084741776</c:v>
                </c:pt>
                <c:pt idx="10">
                  <c:v>26.501515084741776</c:v>
                </c:pt>
                <c:pt idx="11">
                  <c:v>26.501515084741776</c:v>
                </c:pt>
                <c:pt idx="12">
                  <c:v>26.501515084741776</c:v>
                </c:pt>
                <c:pt idx="13">
                  <c:v>26.501515084741776</c:v>
                </c:pt>
                <c:pt idx="14">
                  <c:v>26.501515084741776</c:v>
                </c:pt>
                <c:pt idx="15">
                  <c:v>26.501515084741776</c:v>
                </c:pt>
                <c:pt idx="16">
                  <c:v>26.501515084741776</c:v>
                </c:pt>
                <c:pt idx="17">
                  <c:v>26.501515084741776</c:v>
                </c:pt>
                <c:pt idx="18">
                  <c:v>26.501515084741776</c:v>
                </c:pt>
                <c:pt idx="19">
                  <c:v>26.501515084741776</c:v>
                </c:pt>
                <c:pt idx="20">
                  <c:v>26.501515084741776</c:v>
                </c:pt>
                <c:pt idx="21">
                  <c:v>26.501515084741776</c:v>
                </c:pt>
                <c:pt idx="22">
                  <c:v>26.501515084741776</c:v>
                </c:pt>
                <c:pt idx="23">
                  <c:v>26.501515084741776</c:v>
                </c:pt>
                <c:pt idx="24">
                  <c:v>26.501515084741776</c:v>
                </c:pt>
                <c:pt idx="25">
                  <c:v>26.501515084741776</c:v>
                </c:pt>
                <c:pt idx="26">
                  <c:v>26.501515084741776</c:v>
                </c:pt>
                <c:pt idx="27">
                  <c:v>26.501515084741776</c:v>
                </c:pt>
                <c:pt idx="28">
                  <c:v>26.501515084741776</c:v>
                </c:pt>
                <c:pt idx="29">
                  <c:v>26.501515084741776</c:v>
                </c:pt>
                <c:pt idx="30">
                  <c:v>26.501515084741776</c:v>
                </c:pt>
                <c:pt idx="31">
                  <c:v>26.501515084741776</c:v>
                </c:pt>
                <c:pt idx="32">
                  <c:v>26.501515084741776</c:v>
                </c:pt>
                <c:pt idx="33">
                  <c:v>26.501515084741776</c:v>
                </c:pt>
                <c:pt idx="34">
                  <c:v>26.501515084741776</c:v>
                </c:pt>
                <c:pt idx="35">
                  <c:v>26.501515084741776</c:v>
                </c:pt>
                <c:pt idx="36">
                  <c:v>26.501515084741776</c:v>
                </c:pt>
                <c:pt idx="37">
                  <c:v>26.501515084741776</c:v>
                </c:pt>
                <c:pt idx="38">
                  <c:v>26.501515084741776</c:v>
                </c:pt>
                <c:pt idx="39">
                  <c:v>26.501515084741776</c:v>
                </c:pt>
                <c:pt idx="40">
                  <c:v>26.501515084741776</c:v>
                </c:pt>
                <c:pt idx="41">
                  <c:v>26.501515084741776</c:v>
                </c:pt>
                <c:pt idx="42">
                  <c:v>26.501515084741776</c:v>
                </c:pt>
                <c:pt idx="43">
                  <c:v>26.501515084741776</c:v>
                </c:pt>
                <c:pt idx="44">
                  <c:v>26.501515084741776</c:v>
                </c:pt>
                <c:pt idx="45">
                  <c:v>26.501515084741776</c:v>
                </c:pt>
                <c:pt idx="46">
                  <c:v>26.501515084741776</c:v>
                </c:pt>
                <c:pt idx="47">
                  <c:v>26.501515084741776</c:v>
                </c:pt>
                <c:pt idx="48">
                  <c:v>26.501515084741776</c:v>
                </c:pt>
                <c:pt idx="49">
                  <c:v>26.501515084741776</c:v>
                </c:pt>
                <c:pt idx="50">
                  <c:v>26.501515084741776</c:v>
                </c:pt>
                <c:pt idx="51">
                  <c:v>26.501515084741776</c:v>
                </c:pt>
                <c:pt idx="52">
                  <c:v>26.501515084741776</c:v>
                </c:pt>
                <c:pt idx="53">
                  <c:v>26.501515084741776</c:v>
                </c:pt>
                <c:pt idx="54">
                  <c:v>26.501515084741776</c:v>
                </c:pt>
                <c:pt idx="55">
                  <c:v>26.501515084741776</c:v>
                </c:pt>
                <c:pt idx="56">
                  <c:v>26.501515084741776</c:v>
                </c:pt>
                <c:pt idx="57">
                  <c:v>26.501515084741776</c:v>
                </c:pt>
                <c:pt idx="58">
                  <c:v>26.501515084741776</c:v>
                </c:pt>
                <c:pt idx="59">
                  <c:v>26.501515084741776</c:v>
                </c:pt>
                <c:pt idx="60">
                  <c:v>26.501515084741776</c:v>
                </c:pt>
                <c:pt idx="61">
                  <c:v>26.501515084741776</c:v>
                </c:pt>
                <c:pt idx="62">
                  <c:v>26.501515084741776</c:v>
                </c:pt>
                <c:pt idx="63">
                  <c:v>26.501515084741776</c:v>
                </c:pt>
                <c:pt idx="64">
                  <c:v>26.501515084741776</c:v>
                </c:pt>
                <c:pt idx="65">
                  <c:v>26.501515084741776</c:v>
                </c:pt>
                <c:pt idx="66">
                  <c:v>26.501515084741776</c:v>
                </c:pt>
                <c:pt idx="67">
                  <c:v>26.501515084741776</c:v>
                </c:pt>
                <c:pt idx="68">
                  <c:v>26.501515084741776</c:v>
                </c:pt>
                <c:pt idx="69">
                  <c:v>26.501515084741776</c:v>
                </c:pt>
                <c:pt idx="70">
                  <c:v>26.501515084741776</c:v>
                </c:pt>
                <c:pt idx="71">
                  <c:v>26.501515084741776</c:v>
                </c:pt>
                <c:pt idx="72">
                  <c:v>26.501515084741776</c:v>
                </c:pt>
                <c:pt idx="73">
                  <c:v>26.501515084741776</c:v>
                </c:pt>
                <c:pt idx="74">
                  <c:v>26.501515084741776</c:v>
                </c:pt>
                <c:pt idx="75">
                  <c:v>26.501515084741776</c:v>
                </c:pt>
                <c:pt idx="76">
                  <c:v>26.501515084741776</c:v>
                </c:pt>
                <c:pt idx="77">
                  <c:v>26.501515084741776</c:v>
                </c:pt>
                <c:pt idx="78">
                  <c:v>26.501515084741776</c:v>
                </c:pt>
                <c:pt idx="79">
                  <c:v>26.501515084741776</c:v>
                </c:pt>
                <c:pt idx="80">
                  <c:v>26.501515084741776</c:v>
                </c:pt>
                <c:pt idx="81">
                  <c:v>26.501515084741776</c:v>
                </c:pt>
                <c:pt idx="82">
                  <c:v>26.501515084741776</c:v>
                </c:pt>
                <c:pt idx="83">
                  <c:v>26.501515084741776</c:v>
                </c:pt>
                <c:pt idx="84">
                  <c:v>26.501515084741776</c:v>
                </c:pt>
                <c:pt idx="85">
                  <c:v>26.501515084741776</c:v>
                </c:pt>
                <c:pt idx="86">
                  <c:v>26.501515084741776</c:v>
                </c:pt>
                <c:pt idx="87">
                  <c:v>26.501515084741776</c:v>
                </c:pt>
                <c:pt idx="88">
                  <c:v>26.501515084741776</c:v>
                </c:pt>
                <c:pt idx="89">
                  <c:v>26.501515084741776</c:v>
                </c:pt>
                <c:pt idx="90">
                  <c:v>26.501515084741776</c:v>
                </c:pt>
                <c:pt idx="91">
                  <c:v>26.501515084741776</c:v>
                </c:pt>
                <c:pt idx="92">
                  <c:v>26.501515084741776</c:v>
                </c:pt>
                <c:pt idx="93">
                  <c:v>26.501515084741776</c:v>
                </c:pt>
                <c:pt idx="94">
                  <c:v>26.501515084741776</c:v>
                </c:pt>
                <c:pt idx="95">
                  <c:v>26.501515084741776</c:v>
                </c:pt>
                <c:pt idx="96">
                  <c:v>26.501515084741776</c:v>
                </c:pt>
                <c:pt idx="97">
                  <c:v>26.501515084741776</c:v>
                </c:pt>
                <c:pt idx="98">
                  <c:v>26.501515084741776</c:v>
                </c:pt>
                <c:pt idx="99">
                  <c:v>26.501515084741776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E11-4E63-AFDF-A8591D62A08E}"/>
            </c:ext>
          </c:extLst>
        </c:ser>
        <c:ser>
          <c:idx val="2"/>
          <c:order val="2"/>
          <c:tx>
            <c:v>Leisen Reimer model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'Report 3'!$Q$3:$Q$101</c:f>
              <c:numCache>
                <c:formatCode>General</c:formatCode>
                <c:ptCount val="9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</c:numCache>
            </c:numRef>
          </c:xVal>
          <c:yVal>
            <c:numRef>
              <c:f>'Report 3'!$T$3:$T$101</c:f>
              <c:numCache>
                <c:formatCode>General</c:formatCode>
                <c:ptCount val="99"/>
                <c:pt idx="0">
                  <c:v>26.4099292743768</c:v>
                </c:pt>
                <c:pt idx="1">
                  <c:v>26.4099292743768</c:v>
                </c:pt>
                <c:pt idx="2">
                  <c:v>26.463838206845455</c:v>
                </c:pt>
                <c:pt idx="3">
                  <c:v>26.463838206845455</c:v>
                </c:pt>
                <c:pt idx="4">
                  <c:v>26.480980945029398</c:v>
                </c:pt>
                <c:pt idx="5">
                  <c:v>26.480980945029398</c:v>
                </c:pt>
                <c:pt idx="6">
                  <c:v>26.488591961448311</c:v>
                </c:pt>
                <c:pt idx="7">
                  <c:v>26.488591961448311</c:v>
                </c:pt>
                <c:pt idx="8">
                  <c:v>26.492632849268535</c:v>
                </c:pt>
                <c:pt idx="9">
                  <c:v>26.492632849268535</c:v>
                </c:pt>
                <c:pt idx="10">
                  <c:v>26.495034643836533</c:v>
                </c:pt>
                <c:pt idx="11">
                  <c:v>26.495034643836533</c:v>
                </c:pt>
                <c:pt idx="12">
                  <c:v>26.49657826959103</c:v>
                </c:pt>
                <c:pt idx="13">
                  <c:v>26.49657826959103</c:v>
                </c:pt>
                <c:pt idx="14">
                  <c:v>26.497629059649242</c:v>
                </c:pt>
                <c:pt idx="15">
                  <c:v>26.497629059649242</c:v>
                </c:pt>
                <c:pt idx="16">
                  <c:v>26.498376634303131</c:v>
                </c:pt>
                <c:pt idx="17">
                  <c:v>26.498376634303131</c:v>
                </c:pt>
                <c:pt idx="18">
                  <c:v>26.498927418321163</c:v>
                </c:pt>
                <c:pt idx="19">
                  <c:v>26.498927418321163</c:v>
                </c:pt>
                <c:pt idx="20">
                  <c:v>26.499344910411715</c:v>
                </c:pt>
                <c:pt idx="21">
                  <c:v>26.499344910411715</c:v>
                </c:pt>
                <c:pt idx="22">
                  <c:v>26.499668909438483</c:v>
                </c:pt>
                <c:pt idx="23">
                  <c:v>26.499668909438483</c:v>
                </c:pt>
                <c:pt idx="24">
                  <c:v>26.499925391889061</c:v>
                </c:pt>
                <c:pt idx="25">
                  <c:v>26.499925391889061</c:v>
                </c:pt>
                <c:pt idx="26">
                  <c:v>26.500131898456786</c:v>
                </c:pt>
                <c:pt idx="27">
                  <c:v>26.500131898456786</c:v>
                </c:pt>
                <c:pt idx="28">
                  <c:v>26.500300620958555</c:v>
                </c:pt>
                <c:pt idx="29">
                  <c:v>26.500300620958555</c:v>
                </c:pt>
                <c:pt idx="30">
                  <c:v>26.500440247133493</c:v>
                </c:pt>
                <c:pt idx="31">
                  <c:v>26.500440247133493</c:v>
                </c:pt>
                <c:pt idx="32">
                  <c:v>26.500557103487747</c:v>
                </c:pt>
                <c:pt idx="33">
                  <c:v>26.500557103487747</c:v>
                </c:pt>
                <c:pt idx="34">
                  <c:v>26.500655885696137</c:v>
                </c:pt>
                <c:pt idx="35">
                  <c:v>26.500655885696137</c:v>
                </c:pt>
                <c:pt idx="36">
                  <c:v>26.50074013833877</c:v>
                </c:pt>
                <c:pt idx="37">
                  <c:v>26.50074013833877</c:v>
                </c:pt>
                <c:pt idx="38">
                  <c:v>26.500812577688418</c:v>
                </c:pt>
                <c:pt idx="39">
                  <c:v>26.500812577688418</c:v>
                </c:pt>
                <c:pt idx="40">
                  <c:v>26.500875313612376</c:v>
                </c:pt>
                <c:pt idx="41">
                  <c:v>26.500875313612376</c:v>
                </c:pt>
                <c:pt idx="42">
                  <c:v>26.500930005082612</c:v>
                </c:pt>
                <c:pt idx="43">
                  <c:v>26.500930005082612</c:v>
                </c:pt>
                <c:pt idx="44">
                  <c:v>26.500977971068394</c:v>
                </c:pt>
                <c:pt idx="45">
                  <c:v>26.500977971068394</c:v>
                </c:pt>
                <c:pt idx="46">
                  <c:v>26.501020270860465</c:v>
                </c:pt>
                <c:pt idx="47">
                  <c:v>26.501020270860465</c:v>
                </c:pt>
                <c:pt idx="48">
                  <c:v>26.501057763101652</c:v>
                </c:pt>
                <c:pt idx="49">
                  <c:v>26.501057763101652</c:v>
                </c:pt>
                <c:pt idx="50">
                  <c:v>26.501091149723241</c:v>
                </c:pt>
                <c:pt idx="51">
                  <c:v>26.501091149723241</c:v>
                </c:pt>
                <c:pt idx="52">
                  <c:v>26.501121009062686</c:v>
                </c:pt>
                <c:pt idx="53">
                  <c:v>26.501121009062686</c:v>
                </c:pt>
                <c:pt idx="54">
                  <c:v>26.501147821088864</c:v>
                </c:pt>
                <c:pt idx="55">
                  <c:v>26.501147821088864</c:v>
                </c:pt>
                <c:pt idx="56">
                  <c:v>26.501171986816409</c:v>
                </c:pt>
                <c:pt idx="57">
                  <c:v>26.501171986816409</c:v>
                </c:pt>
                <c:pt idx="58">
                  <c:v>26.501193843397996</c:v>
                </c:pt>
                <c:pt idx="59">
                  <c:v>26.501193843397996</c:v>
                </c:pt>
                <c:pt idx="60">
                  <c:v>26.501213675949433</c:v>
                </c:pt>
                <c:pt idx="61">
                  <c:v>26.501213675949433</c:v>
                </c:pt>
                <c:pt idx="62">
                  <c:v>26.501231726899096</c:v>
                </c:pt>
                <c:pt idx="63">
                  <c:v>26.501231726899096</c:v>
                </c:pt>
                <c:pt idx="64">
                  <c:v>26.501248203435427</c:v>
                </c:pt>
                <c:pt idx="65">
                  <c:v>26.501248203435427</c:v>
                </c:pt>
                <c:pt idx="66">
                  <c:v>26.501263283479958</c:v>
                </c:pt>
                <c:pt idx="67">
                  <c:v>26.501263283479958</c:v>
                </c:pt>
                <c:pt idx="68">
                  <c:v>26.501277120510235</c:v>
                </c:pt>
                <c:pt idx="69">
                  <c:v>26.501277120510235</c:v>
                </c:pt>
                <c:pt idx="70">
                  <c:v>26.501289847486284</c:v>
                </c:pt>
                <c:pt idx="71">
                  <c:v>26.501289847486284</c:v>
                </c:pt>
                <c:pt idx="72">
                  <c:v>26.501301580048864</c:v>
                </c:pt>
                <c:pt idx="73">
                  <c:v>26.501301580048864</c:v>
                </c:pt>
                <c:pt idx="74">
                  <c:v>26.501312419167451</c:v>
                </c:pt>
                <c:pt idx="75">
                  <c:v>26.501312419167451</c:v>
                </c:pt>
                <c:pt idx="76">
                  <c:v>26.501322453308347</c:v>
                </c:pt>
                <c:pt idx="77">
                  <c:v>26.501322453308347</c:v>
                </c:pt>
                <c:pt idx="78">
                  <c:v>26.501331760257287</c:v>
                </c:pt>
                <c:pt idx="79">
                  <c:v>26.501331760257287</c:v>
                </c:pt>
                <c:pt idx="80">
                  <c:v>26.501340408624316</c:v>
                </c:pt>
                <c:pt idx="81">
                  <c:v>26.501340408624316</c:v>
                </c:pt>
                <c:pt idx="82">
                  <c:v>26.501348459114173</c:v>
                </c:pt>
                <c:pt idx="83">
                  <c:v>26.501348459114173</c:v>
                </c:pt>
                <c:pt idx="84">
                  <c:v>26.501355965596893</c:v>
                </c:pt>
                <c:pt idx="85">
                  <c:v>26.501355965596893</c:v>
                </c:pt>
                <c:pt idx="86">
                  <c:v>26.501362976002596</c:v>
                </c:pt>
                <c:pt idx="87">
                  <c:v>26.501362976002596</c:v>
                </c:pt>
                <c:pt idx="88">
                  <c:v>26.501369533104427</c:v>
                </c:pt>
                <c:pt idx="89">
                  <c:v>26.501369533104427</c:v>
                </c:pt>
                <c:pt idx="90">
                  <c:v>26.501375675160439</c:v>
                </c:pt>
                <c:pt idx="91">
                  <c:v>26.501375675160439</c:v>
                </c:pt>
                <c:pt idx="92">
                  <c:v>26.501381436470872</c:v>
                </c:pt>
                <c:pt idx="93">
                  <c:v>26.501381436470872</c:v>
                </c:pt>
                <c:pt idx="94">
                  <c:v>26.50138684787288</c:v>
                </c:pt>
                <c:pt idx="95">
                  <c:v>26.50138684787288</c:v>
                </c:pt>
                <c:pt idx="96">
                  <c:v>26.501391937136507</c:v>
                </c:pt>
                <c:pt idx="97">
                  <c:v>26.501391937136507</c:v>
                </c:pt>
                <c:pt idx="98">
                  <c:v>26.501396729334292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E11-4E63-AFDF-A8591D62A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233192"/>
        <c:axId val="551241392"/>
      </c:scatterChart>
      <c:valAx>
        <c:axId val="551233192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1241392"/>
        <c:crosses val="autoZero"/>
        <c:crossBetween val="midCat"/>
      </c:valAx>
      <c:valAx>
        <c:axId val="551241392"/>
        <c:scaling>
          <c:orientation val="minMax"/>
          <c:max val="33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Call price [$]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1233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487680</xdr:colOff>
      <xdr:row>0</xdr:row>
      <xdr:rowOff>0</xdr:rowOff>
    </xdr:from>
    <xdr:to>
      <xdr:col>6</xdr:col>
      <xdr:colOff>381000</xdr:colOff>
      <xdr:row>17</xdr:row>
      <xdr:rowOff>129540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8B35B64D-A57A-42D1-ABDB-38F9231C8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259080</xdr:colOff>
      <xdr:row>2</xdr:row>
      <xdr:rowOff>30480</xdr:rowOff>
    </xdr:from>
    <xdr:to>
      <xdr:col>13</xdr:col>
      <xdr:colOff>655320</xdr:colOff>
      <xdr:row>22</xdr:row>
      <xdr:rowOff>114300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A5BDBFBC-CDF2-46D4-B3E9-0ECC9642C2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205740</xdr:colOff>
      <xdr:row>2</xdr:row>
      <xdr:rowOff>106680</xdr:rowOff>
    </xdr:from>
    <xdr:to>
      <xdr:col>22</xdr:col>
      <xdr:colOff>495300</xdr:colOff>
      <xdr:row>21</xdr:row>
      <xdr:rowOff>152400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9C108756-A16C-4E7B-A5D3-AA43222693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finance.yahoo.com/quote/IBM220617C00220000?p=IBM220617C00220000" TargetMode="External"/><Relationship Id="rId18" Type="http://schemas.openxmlformats.org/officeDocument/2006/relationships/hyperlink" Target="https://finance.yahoo.com/quote/IBM/options?strike=85&amp;straddle=false" TargetMode="External"/><Relationship Id="rId26" Type="http://schemas.openxmlformats.org/officeDocument/2006/relationships/hyperlink" Target="https://finance.yahoo.com/quote/IBM/options?strike=55&amp;straddle=false" TargetMode="External"/><Relationship Id="rId39" Type="http://schemas.openxmlformats.org/officeDocument/2006/relationships/hyperlink" Target="https://finance.yahoo.com/quote/IBM221021P00130000?p=IBM221021P00130000" TargetMode="External"/><Relationship Id="rId3" Type="http://schemas.openxmlformats.org/officeDocument/2006/relationships/hyperlink" Target="https://finance.yahoo.com/quote/IBM220429P00110000?p=IBM220429P00110000" TargetMode="External"/><Relationship Id="rId21" Type="http://schemas.openxmlformats.org/officeDocument/2006/relationships/hyperlink" Target="https://finance.yahoo.com/quote/IBM221021C00160000?p=IBM221021C00160000" TargetMode="External"/><Relationship Id="rId34" Type="http://schemas.openxmlformats.org/officeDocument/2006/relationships/hyperlink" Target="https://finance.yahoo.com/quote/IBM/options?strike=130&amp;straddle=false" TargetMode="External"/><Relationship Id="rId42" Type="http://schemas.openxmlformats.org/officeDocument/2006/relationships/hyperlink" Target="https://finance.yahoo.com/quote/IBM/options?strike=130&amp;straddle=false" TargetMode="External"/><Relationship Id="rId47" Type="http://schemas.openxmlformats.org/officeDocument/2006/relationships/hyperlink" Target="https://finance.yahoo.com/quote/IBM220429P00130000?p=IBM220429P00130000" TargetMode="External"/><Relationship Id="rId7" Type="http://schemas.openxmlformats.org/officeDocument/2006/relationships/hyperlink" Target="https://finance.yahoo.com/quote/IBM220429P00136000?p=IBM220429P00136000" TargetMode="External"/><Relationship Id="rId12" Type="http://schemas.openxmlformats.org/officeDocument/2006/relationships/hyperlink" Target="https://finance.yahoo.com/quote/IBM/options?strike=60&amp;straddle=false" TargetMode="External"/><Relationship Id="rId17" Type="http://schemas.openxmlformats.org/officeDocument/2006/relationships/hyperlink" Target="https://finance.yahoo.com/quote/IBM221021C00085000?p=IBM221021C00085000" TargetMode="External"/><Relationship Id="rId25" Type="http://schemas.openxmlformats.org/officeDocument/2006/relationships/hyperlink" Target="https://finance.yahoo.com/quote/IBM230120C00055000?p=IBM230120C00055000" TargetMode="External"/><Relationship Id="rId33" Type="http://schemas.openxmlformats.org/officeDocument/2006/relationships/hyperlink" Target="https://finance.yahoo.com/quote/IBM220617C00130000?p=IBM220617C00130000" TargetMode="External"/><Relationship Id="rId38" Type="http://schemas.openxmlformats.org/officeDocument/2006/relationships/hyperlink" Target="https://finance.yahoo.com/quote/IBM/options?strike=130&amp;straddle=false" TargetMode="External"/><Relationship Id="rId46" Type="http://schemas.openxmlformats.org/officeDocument/2006/relationships/hyperlink" Target="https://finance.yahoo.com/quote/IBM/options?strike=130&amp;straddle=false" TargetMode="External"/><Relationship Id="rId2" Type="http://schemas.openxmlformats.org/officeDocument/2006/relationships/hyperlink" Target="https://finance.yahoo.com/quote/IBM/options?strike=110&amp;straddle=false" TargetMode="External"/><Relationship Id="rId16" Type="http://schemas.openxmlformats.org/officeDocument/2006/relationships/hyperlink" Target="https://finance.yahoo.com/quote/IBM/options?strike=220&amp;straddle=false" TargetMode="External"/><Relationship Id="rId20" Type="http://schemas.openxmlformats.org/officeDocument/2006/relationships/hyperlink" Target="https://finance.yahoo.com/quote/IBM/options?strike=85&amp;straddle=false" TargetMode="External"/><Relationship Id="rId29" Type="http://schemas.openxmlformats.org/officeDocument/2006/relationships/hyperlink" Target="https://finance.yahoo.com/quote/IBM230120C00220000?p=IBM230120C00220000" TargetMode="External"/><Relationship Id="rId41" Type="http://schemas.openxmlformats.org/officeDocument/2006/relationships/hyperlink" Target="https://finance.yahoo.com/quote/IBM230120C00130000?p=IBM230120C00130000" TargetMode="External"/><Relationship Id="rId1" Type="http://schemas.openxmlformats.org/officeDocument/2006/relationships/hyperlink" Target="https://finance.yahoo.com/quote/IBM220429C00110000?p=IBM220429C00110000" TargetMode="External"/><Relationship Id="rId6" Type="http://schemas.openxmlformats.org/officeDocument/2006/relationships/hyperlink" Target="https://finance.yahoo.com/quote/IBM/options?strike=136&amp;straddle=false" TargetMode="External"/><Relationship Id="rId11" Type="http://schemas.openxmlformats.org/officeDocument/2006/relationships/hyperlink" Target="https://finance.yahoo.com/quote/IBM220617P00060000?p=IBM220617P00060000" TargetMode="External"/><Relationship Id="rId24" Type="http://schemas.openxmlformats.org/officeDocument/2006/relationships/hyperlink" Target="https://finance.yahoo.com/quote/IBM/options?strike=160&amp;straddle=false" TargetMode="External"/><Relationship Id="rId32" Type="http://schemas.openxmlformats.org/officeDocument/2006/relationships/hyperlink" Target="https://finance.yahoo.com/quote/IBM/options?strike=220&amp;straddle=false" TargetMode="External"/><Relationship Id="rId37" Type="http://schemas.openxmlformats.org/officeDocument/2006/relationships/hyperlink" Target="https://finance.yahoo.com/quote/IBM221021C00130000?p=IBM221021C00130000" TargetMode="External"/><Relationship Id="rId40" Type="http://schemas.openxmlformats.org/officeDocument/2006/relationships/hyperlink" Target="https://finance.yahoo.com/quote/IBM/options?strike=130&amp;straddle=false" TargetMode="External"/><Relationship Id="rId45" Type="http://schemas.openxmlformats.org/officeDocument/2006/relationships/hyperlink" Target="https://finance.yahoo.com/quote/IBM220429C00130000?p=IBM220429C00130000" TargetMode="External"/><Relationship Id="rId5" Type="http://schemas.openxmlformats.org/officeDocument/2006/relationships/hyperlink" Target="https://finance.yahoo.com/quote/IBM220429C00136000?p=IBM220429C00136000" TargetMode="External"/><Relationship Id="rId15" Type="http://schemas.openxmlformats.org/officeDocument/2006/relationships/hyperlink" Target="https://finance.yahoo.com/quote/IBM220617P00220000?p=IBM220617P00220000" TargetMode="External"/><Relationship Id="rId23" Type="http://schemas.openxmlformats.org/officeDocument/2006/relationships/hyperlink" Target="https://finance.yahoo.com/quote/IBM221021P00160000?p=IBM221021P00160000" TargetMode="External"/><Relationship Id="rId28" Type="http://schemas.openxmlformats.org/officeDocument/2006/relationships/hyperlink" Target="https://finance.yahoo.com/quote/IBM/options?strike=55&amp;straddle=false" TargetMode="External"/><Relationship Id="rId36" Type="http://schemas.openxmlformats.org/officeDocument/2006/relationships/hyperlink" Target="https://finance.yahoo.com/quote/IBM/options?strike=130&amp;straddle=false" TargetMode="External"/><Relationship Id="rId49" Type="http://schemas.openxmlformats.org/officeDocument/2006/relationships/printerSettings" Target="../printerSettings/printerSettings1.bin"/><Relationship Id="rId10" Type="http://schemas.openxmlformats.org/officeDocument/2006/relationships/hyperlink" Target="https://finance.yahoo.com/quote/IBM/options?strike=60&amp;straddle=false" TargetMode="External"/><Relationship Id="rId19" Type="http://schemas.openxmlformats.org/officeDocument/2006/relationships/hyperlink" Target="https://finance.yahoo.com/quote/IBM221021P00085000?p=IBM221021P00085000" TargetMode="External"/><Relationship Id="rId31" Type="http://schemas.openxmlformats.org/officeDocument/2006/relationships/hyperlink" Target="https://finance.yahoo.com/quote/IBM230120P00220000?p=IBM230120P00220000" TargetMode="External"/><Relationship Id="rId44" Type="http://schemas.openxmlformats.org/officeDocument/2006/relationships/hyperlink" Target="https://finance.yahoo.com/quote/IBM/options?strike=130&amp;straddle=false" TargetMode="External"/><Relationship Id="rId4" Type="http://schemas.openxmlformats.org/officeDocument/2006/relationships/hyperlink" Target="https://finance.yahoo.com/quote/IBM/options?strike=110&amp;straddle=false" TargetMode="External"/><Relationship Id="rId9" Type="http://schemas.openxmlformats.org/officeDocument/2006/relationships/hyperlink" Target="https://finance.yahoo.com/quote/IBM220617C00060000?p=IBM220617C00060000" TargetMode="External"/><Relationship Id="rId14" Type="http://schemas.openxmlformats.org/officeDocument/2006/relationships/hyperlink" Target="https://finance.yahoo.com/quote/IBM/options?strike=220&amp;straddle=false" TargetMode="External"/><Relationship Id="rId22" Type="http://schemas.openxmlformats.org/officeDocument/2006/relationships/hyperlink" Target="https://finance.yahoo.com/quote/IBM/options?strike=160&amp;straddle=false" TargetMode="External"/><Relationship Id="rId27" Type="http://schemas.openxmlformats.org/officeDocument/2006/relationships/hyperlink" Target="https://finance.yahoo.com/quote/IBM230120P00055000?p=IBM230120P00055000" TargetMode="External"/><Relationship Id="rId30" Type="http://schemas.openxmlformats.org/officeDocument/2006/relationships/hyperlink" Target="https://finance.yahoo.com/quote/IBM/options?strike=220&amp;straddle=false" TargetMode="External"/><Relationship Id="rId35" Type="http://schemas.openxmlformats.org/officeDocument/2006/relationships/hyperlink" Target="https://finance.yahoo.com/quote/IBM220617P00130000?p=IBM220617P00130000" TargetMode="External"/><Relationship Id="rId43" Type="http://schemas.openxmlformats.org/officeDocument/2006/relationships/hyperlink" Target="https://finance.yahoo.com/quote/IBM230120P00130000?p=IBM230120P00130000" TargetMode="External"/><Relationship Id="rId48" Type="http://schemas.openxmlformats.org/officeDocument/2006/relationships/hyperlink" Target="https://finance.yahoo.com/quote/IBM/options?strike=130&amp;straddle=false" TargetMode="External"/><Relationship Id="rId8" Type="http://schemas.openxmlformats.org/officeDocument/2006/relationships/hyperlink" Target="https://finance.yahoo.com/quote/IBM/options?strike=136&amp;straddle=fals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56E92-D877-4518-8F8A-80F5709B5493}">
  <sheetPr codeName="Foglio2"/>
  <dimension ref="A1:O50"/>
  <sheetViews>
    <sheetView topLeftCell="A19" workbookViewId="0">
      <selection activeCell="E38" sqref="E38"/>
    </sheetView>
  </sheetViews>
  <sheetFormatPr defaultRowHeight="14.4" x14ac:dyDescent="0.3"/>
  <cols>
    <col min="1" max="1" width="18.6640625" customWidth="1"/>
    <col min="2" max="2" width="20.88671875" customWidth="1"/>
    <col min="3" max="3" width="22.109375" customWidth="1"/>
    <col min="14" max="14" width="13.109375" customWidth="1"/>
    <col min="15" max="15" width="15.5546875" customWidth="1"/>
  </cols>
  <sheetData>
    <row r="1" spans="1:15" ht="29.4" thickBot="1" x14ac:dyDescent="0.35">
      <c r="A1" s="3"/>
      <c r="B1" s="4" t="s">
        <v>7</v>
      </c>
      <c r="C1" s="4" t="s">
        <v>8</v>
      </c>
      <c r="D1" s="4" t="s">
        <v>22</v>
      </c>
      <c r="E1" s="4" t="s">
        <v>9</v>
      </c>
      <c r="F1" s="4" t="s">
        <v>10</v>
      </c>
      <c r="G1" s="4" t="s">
        <v>11</v>
      </c>
      <c r="H1" s="4" t="s">
        <v>12</v>
      </c>
      <c r="I1" s="4" t="s">
        <v>13</v>
      </c>
      <c r="J1" s="4" t="s">
        <v>14</v>
      </c>
      <c r="K1" s="4" t="s">
        <v>15</v>
      </c>
      <c r="L1" s="4" t="s">
        <v>16</v>
      </c>
      <c r="M1" s="4" t="s">
        <v>25</v>
      </c>
      <c r="N1" s="4" t="s">
        <v>23</v>
      </c>
      <c r="O1" s="3"/>
    </row>
    <row r="2" spans="1:15" ht="15" thickBot="1" x14ac:dyDescent="0.35">
      <c r="A2" s="3" t="s">
        <v>27</v>
      </c>
      <c r="B2" s="1" t="s">
        <v>17</v>
      </c>
      <c r="C2" s="2" t="s">
        <v>26</v>
      </c>
      <c r="D2" s="1">
        <v>110</v>
      </c>
      <c r="E2" s="2">
        <v>20.6</v>
      </c>
      <c r="F2" s="2">
        <v>20.399999999999999</v>
      </c>
      <c r="G2" s="2">
        <v>22.15</v>
      </c>
      <c r="H2" s="2">
        <v>0</v>
      </c>
      <c r="I2" s="2" t="s">
        <v>18</v>
      </c>
      <c r="J2" s="2">
        <v>1</v>
      </c>
      <c r="K2" s="2">
        <v>1</v>
      </c>
      <c r="L2" s="5">
        <v>0.55759999999999998</v>
      </c>
      <c r="M2" s="3">
        <f t="shared" ref="M2:M7" si="0">AVERAGE(F2:G2)</f>
        <v>21.274999999999999</v>
      </c>
      <c r="N2" s="14" t="s">
        <v>20</v>
      </c>
      <c r="O2" s="14" t="s">
        <v>21</v>
      </c>
    </row>
    <row r="3" spans="1:15" ht="15" thickBot="1" x14ac:dyDescent="0.35">
      <c r="A3" s="3" t="s">
        <v>30</v>
      </c>
      <c r="B3" s="1" t="s">
        <v>28</v>
      </c>
      <c r="C3" s="2" t="s">
        <v>29</v>
      </c>
      <c r="D3" s="1">
        <v>110</v>
      </c>
      <c r="E3" s="2">
        <v>0.24</v>
      </c>
      <c r="F3" s="2">
        <v>0.17</v>
      </c>
      <c r="G3" s="2">
        <v>0.35</v>
      </c>
      <c r="H3" s="2">
        <v>-0.11</v>
      </c>
      <c r="I3" s="5">
        <v>-0.31430000000000002</v>
      </c>
      <c r="J3" s="2">
        <v>2</v>
      </c>
      <c r="K3" s="2">
        <v>35</v>
      </c>
      <c r="L3" s="5">
        <v>0.37530000000000002</v>
      </c>
      <c r="M3" s="3">
        <f t="shared" si="0"/>
        <v>0.26</v>
      </c>
      <c r="N3" s="14"/>
      <c r="O3" s="14"/>
    </row>
    <row r="4" spans="1:15" ht="15" thickBot="1" x14ac:dyDescent="0.35">
      <c r="A4" s="3" t="s">
        <v>33</v>
      </c>
      <c r="B4" s="1" t="s">
        <v>31</v>
      </c>
      <c r="C4" s="2" t="s">
        <v>32</v>
      </c>
      <c r="D4" s="1">
        <v>136</v>
      </c>
      <c r="E4" s="2">
        <v>2.2000000000000002</v>
      </c>
      <c r="F4" s="2">
        <v>1.43</v>
      </c>
      <c r="G4" s="2">
        <v>1.85</v>
      </c>
      <c r="H4" s="2">
        <v>0.26</v>
      </c>
      <c r="I4" s="5">
        <v>0.13400000000000001</v>
      </c>
      <c r="J4" s="2">
        <v>1</v>
      </c>
      <c r="K4" s="2">
        <v>48</v>
      </c>
      <c r="L4" s="5">
        <v>0.25219999999999998</v>
      </c>
      <c r="M4" s="3">
        <f t="shared" si="0"/>
        <v>1.6400000000000001</v>
      </c>
      <c r="N4" s="14"/>
      <c r="O4" s="14"/>
    </row>
    <row r="5" spans="1:15" ht="15" thickBot="1" x14ac:dyDescent="0.35">
      <c r="A5" s="3" t="s">
        <v>36</v>
      </c>
      <c r="B5" s="1" t="s">
        <v>34</v>
      </c>
      <c r="C5" s="2" t="s">
        <v>35</v>
      </c>
      <c r="D5" s="1">
        <v>136</v>
      </c>
      <c r="E5" s="2">
        <v>8.5</v>
      </c>
      <c r="F5" s="2">
        <v>6.65</v>
      </c>
      <c r="G5" s="2">
        <v>7.2</v>
      </c>
      <c r="H5" s="2">
        <v>0</v>
      </c>
      <c r="I5" s="2" t="s">
        <v>18</v>
      </c>
      <c r="J5" s="2" t="s">
        <v>18</v>
      </c>
      <c r="K5" s="2">
        <v>1</v>
      </c>
      <c r="L5" s="5">
        <v>0.25069999999999998</v>
      </c>
      <c r="M5" s="3">
        <f t="shared" si="0"/>
        <v>6.9250000000000007</v>
      </c>
      <c r="N5" s="14"/>
      <c r="O5" s="14"/>
    </row>
    <row r="6" spans="1:15" ht="15" thickBot="1" x14ac:dyDescent="0.35">
      <c r="A6" s="7" t="s">
        <v>68</v>
      </c>
      <c r="B6" s="1" t="s">
        <v>83</v>
      </c>
      <c r="C6" s="2" t="s">
        <v>84</v>
      </c>
      <c r="D6" s="1">
        <v>130</v>
      </c>
      <c r="E6" s="2">
        <v>4.3499999999999996</v>
      </c>
      <c r="F6" s="2">
        <v>4.7</v>
      </c>
      <c r="G6" s="2">
        <v>5</v>
      </c>
      <c r="H6" s="2">
        <v>-0.45</v>
      </c>
      <c r="I6" s="5">
        <v>-9.3799999999999994E-2</v>
      </c>
      <c r="J6" s="2">
        <v>58</v>
      </c>
      <c r="K6" s="2">
        <v>157</v>
      </c>
      <c r="L6" s="5">
        <v>0.25559999999999999</v>
      </c>
      <c r="M6" s="3">
        <f t="shared" si="0"/>
        <v>4.8499999999999996</v>
      </c>
      <c r="N6" s="14"/>
      <c r="O6" s="14"/>
    </row>
    <row r="7" spans="1:15" x14ac:dyDescent="0.3">
      <c r="A7" s="7" t="s">
        <v>69</v>
      </c>
      <c r="B7" s="1" t="s">
        <v>19</v>
      </c>
      <c r="C7" s="2" t="s">
        <v>85</v>
      </c>
      <c r="D7" s="1">
        <v>130</v>
      </c>
      <c r="E7" s="2">
        <v>3.51</v>
      </c>
      <c r="F7" s="2">
        <v>2.75</v>
      </c>
      <c r="G7" s="2">
        <v>3.1</v>
      </c>
      <c r="H7" s="2">
        <v>0.06</v>
      </c>
      <c r="I7" s="5">
        <v>1.7399999999999999E-2</v>
      </c>
      <c r="J7" s="2">
        <v>8</v>
      </c>
      <c r="K7" s="2">
        <v>18</v>
      </c>
      <c r="L7" s="5">
        <v>0.25829999999999997</v>
      </c>
      <c r="M7" s="3">
        <f t="shared" si="0"/>
        <v>2.9249999999999998</v>
      </c>
      <c r="N7" s="14"/>
      <c r="O7" s="14"/>
    </row>
    <row r="9" spans="1:15" x14ac:dyDescent="0.3">
      <c r="A9" s="6" t="s">
        <v>0</v>
      </c>
      <c r="B9" s="6">
        <v>130.71</v>
      </c>
      <c r="C9" s="6" t="s">
        <v>37</v>
      </c>
    </row>
    <row r="11" spans="1:15" x14ac:dyDescent="0.3">
      <c r="A11" s="7" t="s">
        <v>24</v>
      </c>
      <c r="B11" s="7">
        <f>D4-D2</f>
        <v>26</v>
      </c>
      <c r="C11" s="8" t="s">
        <v>86</v>
      </c>
      <c r="D11" s="8">
        <f>((E6-E7)/B12)+D6</f>
        <v>130.8192048012003</v>
      </c>
    </row>
    <row r="12" spans="1:15" x14ac:dyDescent="0.3">
      <c r="A12" s="7" t="s">
        <v>38</v>
      </c>
      <c r="B12" s="7">
        <f>((E2-E4)+(E5-E3))/B11</f>
        <v>1.0253846153846156</v>
      </c>
      <c r="C12" s="8" t="s">
        <v>87</v>
      </c>
      <c r="D12" s="8">
        <f>($B$9/B12)-D11</f>
        <v>-3.3450862715679079</v>
      </c>
    </row>
    <row r="13" spans="1:15" x14ac:dyDescent="0.3">
      <c r="C13" s="8" t="s">
        <v>88</v>
      </c>
      <c r="D13" t="e">
        <f>LN(D12/$B$9)*(12/1)</f>
        <v>#NUM!</v>
      </c>
    </row>
    <row r="17" spans="1:15" ht="29.4" thickBot="1" x14ac:dyDescent="0.35">
      <c r="A17" s="3"/>
      <c r="B17" s="4" t="s">
        <v>7</v>
      </c>
      <c r="C17" s="4" t="s">
        <v>8</v>
      </c>
      <c r="D17" s="4" t="s">
        <v>22</v>
      </c>
      <c r="E17" s="4" t="s">
        <v>9</v>
      </c>
      <c r="F17" s="4" t="s">
        <v>10</v>
      </c>
      <c r="G17" s="4" t="s">
        <v>11</v>
      </c>
      <c r="H17" s="4" t="s">
        <v>12</v>
      </c>
      <c r="I17" s="4" t="s">
        <v>13</v>
      </c>
      <c r="J17" s="4" t="s">
        <v>14</v>
      </c>
      <c r="K17" s="4" t="s">
        <v>15</v>
      </c>
      <c r="L17" s="4" t="s">
        <v>16</v>
      </c>
      <c r="M17" s="4" t="s">
        <v>25</v>
      </c>
      <c r="N17" s="4" t="s">
        <v>23</v>
      </c>
    </row>
    <row r="18" spans="1:15" ht="15" thickBot="1" x14ac:dyDescent="0.35">
      <c r="A18" s="3" t="s">
        <v>27</v>
      </c>
      <c r="B18" s="1" t="s">
        <v>39</v>
      </c>
      <c r="C18" s="2" t="s">
        <v>40</v>
      </c>
      <c r="D18" s="1">
        <v>60</v>
      </c>
      <c r="E18" s="2">
        <v>63.85</v>
      </c>
      <c r="F18" s="2">
        <v>71</v>
      </c>
      <c r="G18" s="2">
        <v>73</v>
      </c>
      <c r="H18" s="2">
        <v>0</v>
      </c>
      <c r="I18" s="2" t="s">
        <v>18</v>
      </c>
      <c r="J18" s="2">
        <v>1</v>
      </c>
      <c r="K18" s="2">
        <v>6</v>
      </c>
      <c r="L18" s="5">
        <v>0.67379999999999995</v>
      </c>
      <c r="M18" s="3">
        <f t="shared" ref="M18:M23" si="1">AVERAGE(F18,G18)</f>
        <v>72</v>
      </c>
      <c r="N18" s="14" t="s">
        <v>57</v>
      </c>
      <c r="O18" s="13" t="s">
        <v>47</v>
      </c>
    </row>
    <row r="19" spans="1:15" ht="15" thickBot="1" x14ac:dyDescent="0.35">
      <c r="A19" s="3" t="s">
        <v>30</v>
      </c>
      <c r="B19" s="1" t="s">
        <v>41</v>
      </c>
      <c r="C19" s="2" t="s">
        <v>42</v>
      </c>
      <c r="D19" s="1">
        <v>60</v>
      </c>
      <c r="E19" s="2">
        <v>0.03</v>
      </c>
      <c r="F19" s="2">
        <v>0</v>
      </c>
      <c r="G19" s="2">
        <v>0</v>
      </c>
      <c r="H19" s="2">
        <v>0</v>
      </c>
      <c r="I19" s="2" t="s">
        <v>18</v>
      </c>
      <c r="J19" s="2">
        <v>2</v>
      </c>
      <c r="K19" s="2">
        <v>278</v>
      </c>
      <c r="L19" s="5">
        <v>0.25</v>
      </c>
      <c r="M19" s="3">
        <f t="shared" si="1"/>
        <v>0</v>
      </c>
      <c r="N19" s="14"/>
      <c r="O19" s="13"/>
    </row>
    <row r="20" spans="1:15" ht="15" thickBot="1" x14ac:dyDescent="0.35">
      <c r="A20" s="3" t="s">
        <v>33</v>
      </c>
      <c r="B20" s="1" t="s">
        <v>43</v>
      </c>
      <c r="C20" s="2" t="s">
        <v>44</v>
      </c>
      <c r="D20" s="1">
        <v>220</v>
      </c>
      <c r="E20" s="2">
        <v>0.23</v>
      </c>
      <c r="F20" s="2">
        <v>0</v>
      </c>
      <c r="G20" s="2">
        <v>0</v>
      </c>
      <c r="H20" s="2">
        <v>0</v>
      </c>
      <c r="I20" s="2" t="s">
        <v>18</v>
      </c>
      <c r="J20" s="2">
        <v>2</v>
      </c>
      <c r="K20" s="2">
        <v>0</v>
      </c>
      <c r="L20" s="5">
        <v>0.25</v>
      </c>
      <c r="M20" s="3">
        <f t="shared" si="1"/>
        <v>0</v>
      </c>
      <c r="N20" s="14"/>
      <c r="O20" s="13"/>
    </row>
    <row r="21" spans="1:15" ht="15" thickBot="1" x14ac:dyDescent="0.35">
      <c r="A21" s="3" t="s">
        <v>36</v>
      </c>
      <c r="B21" s="1" t="s">
        <v>45</v>
      </c>
      <c r="C21" s="2" t="s">
        <v>46</v>
      </c>
      <c r="D21" s="1">
        <v>220</v>
      </c>
      <c r="E21" s="2">
        <v>95.85</v>
      </c>
      <c r="F21" s="2">
        <v>0</v>
      </c>
      <c r="G21" s="2">
        <v>0</v>
      </c>
      <c r="H21" s="2">
        <v>0</v>
      </c>
      <c r="I21" s="2" t="s">
        <v>18</v>
      </c>
      <c r="J21" s="2">
        <v>3</v>
      </c>
      <c r="K21" s="2">
        <v>0</v>
      </c>
      <c r="L21" s="5">
        <v>0</v>
      </c>
      <c r="M21" s="3">
        <f t="shared" si="1"/>
        <v>0</v>
      </c>
      <c r="N21" s="14"/>
      <c r="O21" s="13"/>
    </row>
    <row r="22" spans="1:15" ht="15" thickBot="1" x14ac:dyDescent="0.35">
      <c r="A22" s="7" t="s">
        <v>68</v>
      </c>
      <c r="B22" s="1" t="s">
        <v>70</v>
      </c>
      <c r="C22" s="2" t="s">
        <v>71</v>
      </c>
      <c r="D22" s="1">
        <v>130</v>
      </c>
      <c r="E22" s="2">
        <v>5.6</v>
      </c>
      <c r="F22" s="2">
        <v>4.8</v>
      </c>
      <c r="G22" s="2">
        <v>6</v>
      </c>
      <c r="H22" s="2">
        <v>-0.25</v>
      </c>
      <c r="I22" s="5">
        <v>-4.2700000000000002E-2</v>
      </c>
      <c r="J22" s="2">
        <v>27</v>
      </c>
      <c r="K22" s="2">
        <v>3482</v>
      </c>
      <c r="L22" s="5">
        <v>0.2019</v>
      </c>
      <c r="M22" s="3">
        <f t="shared" si="1"/>
        <v>5.4</v>
      </c>
      <c r="N22" s="14"/>
      <c r="O22" s="13"/>
    </row>
    <row r="23" spans="1:15" x14ac:dyDescent="0.3">
      <c r="A23" s="7" t="s">
        <v>69</v>
      </c>
      <c r="B23" s="1" t="s">
        <v>72</v>
      </c>
      <c r="C23" s="2" t="s">
        <v>73</v>
      </c>
      <c r="D23" s="1">
        <v>130</v>
      </c>
      <c r="E23" s="2">
        <v>5.05</v>
      </c>
      <c r="F23" s="2">
        <v>4.5</v>
      </c>
      <c r="G23" s="2">
        <v>5.3</v>
      </c>
      <c r="H23" s="2">
        <v>-0.5</v>
      </c>
      <c r="I23" s="5">
        <v>-9.01E-2</v>
      </c>
      <c r="J23" s="2">
        <v>3</v>
      </c>
      <c r="K23" s="2">
        <v>3189</v>
      </c>
      <c r="L23" s="5">
        <v>0.253</v>
      </c>
      <c r="M23" s="3">
        <f t="shared" si="1"/>
        <v>4.9000000000000004</v>
      </c>
      <c r="N23" s="14"/>
      <c r="O23" s="13"/>
    </row>
    <row r="25" spans="1:15" x14ac:dyDescent="0.3">
      <c r="A25" s="3" t="s">
        <v>24</v>
      </c>
      <c r="B25" s="7">
        <f>D20-D18</f>
        <v>160</v>
      </c>
      <c r="C25" s="8" t="s">
        <v>86</v>
      </c>
      <c r="D25" s="8">
        <f>((E22-E23)/B26)+D22</f>
        <v>130.55193176116407</v>
      </c>
    </row>
    <row r="26" spans="1:15" x14ac:dyDescent="0.3">
      <c r="A26" s="3" t="s">
        <v>38</v>
      </c>
      <c r="B26" s="7">
        <f>((E18-E20)+(E21-E19))/B25</f>
        <v>0.99649999999999994</v>
      </c>
      <c r="C26" s="11" t="s">
        <v>87</v>
      </c>
      <c r="D26" s="8">
        <f>($B$9/B26)-D25</f>
        <v>0.61716006021075032</v>
      </c>
    </row>
    <row r="27" spans="1:15" x14ac:dyDescent="0.3">
      <c r="C27" s="8" t="s">
        <v>88</v>
      </c>
      <c r="D27">
        <f>LN(D26/$B$9)*(12/3)</f>
        <v>-21.422432002575086</v>
      </c>
    </row>
    <row r="28" spans="1:15" ht="29.4" thickBot="1" x14ac:dyDescent="0.35">
      <c r="A28" s="9"/>
      <c r="B28" s="4" t="s">
        <v>7</v>
      </c>
      <c r="C28" s="4" t="s">
        <v>8</v>
      </c>
      <c r="D28" s="4" t="s">
        <v>22</v>
      </c>
      <c r="E28" s="4" t="s">
        <v>9</v>
      </c>
      <c r="F28" s="4" t="s">
        <v>10</v>
      </c>
      <c r="G28" s="4" t="s">
        <v>11</v>
      </c>
      <c r="H28" s="4" t="s">
        <v>12</v>
      </c>
      <c r="I28" s="4" t="s">
        <v>13</v>
      </c>
      <c r="J28" s="4" t="s">
        <v>14</v>
      </c>
      <c r="K28" s="4" t="s">
        <v>15</v>
      </c>
      <c r="L28" s="4" t="s">
        <v>16</v>
      </c>
      <c r="M28" s="4" t="s">
        <v>25</v>
      </c>
      <c r="N28" s="4" t="s">
        <v>23</v>
      </c>
    </row>
    <row r="29" spans="1:15" ht="15" thickBot="1" x14ac:dyDescent="0.35">
      <c r="A29" s="3" t="s">
        <v>27</v>
      </c>
      <c r="B29" s="1" t="s">
        <v>48</v>
      </c>
      <c r="C29" s="2" t="s">
        <v>49</v>
      </c>
      <c r="D29" s="1">
        <v>85</v>
      </c>
      <c r="E29" s="2">
        <v>42.2</v>
      </c>
      <c r="F29" s="2">
        <v>46.55</v>
      </c>
      <c r="G29" s="2">
        <v>47.55</v>
      </c>
      <c r="H29" s="2">
        <v>0</v>
      </c>
      <c r="I29" s="2" t="s">
        <v>18</v>
      </c>
      <c r="J29" s="2">
        <v>12</v>
      </c>
      <c r="K29" s="2">
        <v>13</v>
      </c>
      <c r="L29" s="5">
        <v>0.35720000000000002</v>
      </c>
      <c r="M29" s="3">
        <f>AVERAGE(F29:G29)</f>
        <v>47.05</v>
      </c>
      <c r="N29" s="14" t="s">
        <v>58</v>
      </c>
      <c r="O29" s="13" t="s">
        <v>56</v>
      </c>
    </row>
    <row r="30" spans="1:15" ht="15" thickBot="1" x14ac:dyDescent="0.35">
      <c r="A30" s="3" t="s">
        <v>30</v>
      </c>
      <c r="B30" s="1" t="s">
        <v>50</v>
      </c>
      <c r="C30" s="2" t="s">
        <v>51</v>
      </c>
      <c r="D30" s="1">
        <v>85</v>
      </c>
      <c r="E30" s="2">
        <v>0.95</v>
      </c>
      <c r="F30" s="2">
        <v>0.13</v>
      </c>
      <c r="G30" s="2">
        <v>1.21</v>
      </c>
      <c r="H30" s="2">
        <v>0</v>
      </c>
      <c r="I30" s="2" t="s">
        <v>18</v>
      </c>
      <c r="J30" s="2">
        <v>4</v>
      </c>
      <c r="K30" s="2">
        <v>13</v>
      </c>
      <c r="L30" s="5">
        <v>0.41720000000000002</v>
      </c>
      <c r="M30" s="3">
        <f t="shared" ref="M30:M34" si="2">AVERAGE(F30:G30)</f>
        <v>0.66999999999999993</v>
      </c>
      <c r="N30" s="14"/>
      <c r="O30" s="13"/>
    </row>
    <row r="31" spans="1:15" ht="15" thickBot="1" x14ac:dyDescent="0.35">
      <c r="A31" s="3" t="s">
        <v>33</v>
      </c>
      <c r="B31" s="1" t="s">
        <v>52</v>
      </c>
      <c r="C31" s="2" t="s">
        <v>53</v>
      </c>
      <c r="D31" s="1">
        <v>160</v>
      </c>
      <c r="E31" s="2">
        <v>1.1000000000000001</v>
      </c>
      <c r="F31" s="2">
        <v>0.63</v>
      </c>
      <c r="G31" s="2">
        <v>1.57</v>
      </c>
      <c r="H31" s="2">
        <v>0</v>
      </c>
      <c r="I31" s="2" t="s">
        <v>18</v>
      </c>
      <c r="J31" s="2">
        <v>3</v>
      </c>
      <c r="K31" s="2">
        <v>17</v>
      </c>
      <c r="L31" s="5">
        <v>0.2253</v>
      </c>
      <c r="M31" s="3">
        <f t="shared" si="2"/>
        <v>1.1000000000000001</v>
      </c>
      <c r="N31" s="14"/>
      <c r="O31" s="13"/>
    </row>
    <row r="32" spans="1:15" ht="15" thickBot="1" x14ac:dyDescent="0.35">
      <c r="A32" s="3" t="s">
        <v>36</v>
      </c>
      <c r="B32" s="1" t="s">
        <v>54</v>
      </c>
      <c r="C32" s="2" t="s">
        <v>55</v>
      </c>
      <c r="D32" s="1">
        <v>160</v>
      </c>
      <c r="E32" s="2">
        <v>32.549999999999997</v>
      </c>
      <c r="F32" s="2">
        <v>30.9</v>
      </c>
      <c r="G32" s="2">
        <v>32.049999999999997</v>
      </c>
      <c r="H32" s="2">
        <v>0</v>
      </c>
      <c r="I32" s="2" t="s">
        <v>18</v>
      </c>
      <c r="J32" s="2">
        <v>22</v>
      </c>
      <c r="K32" s="2">
        <v>25</v>
      </c>
      <c r="L32" s="5">
        <v>0.31380000000000002</v>
      </c>
      <c r="M32" s="3">
        <f t="shared" si="2"/>
        <v>31.474999999999998</v>
      </c>
      <c r="N32" s="14"/>
      <c r="O32" s="13"/>
    </row>
    <row r="33" spans="1:15" ht="15" thickBot="1" x14ac:dyDescent="0.35">
      <c r="A33" s="7" t="s">
        <v>68</v>
      </c>
      <c r="B33" s="1" t="s">
        <v>74</v>
      </c>
      <c r="C33" s="2" t="s">
        <v>75</v>
      </c>
      <c r="D33" s="1">
        <v>130</v>
      </c>
      <c r="E33" s="2">
        <v>8.8000000000000007</v>
      </c>
      <c r="F33" s="2">
        <v>8.65</v>
      </c>
      <c r="G33" s="2">
        <v>9.5</v>
      </c>
      <c r="H33" s="2">
        <v>0</v>
      </c>
      <c r="I33" s="2" t="s">
        <v>18</v>
      </c>
      <c r="J33" s="2">
        <v>2</v>
      </c>
      <c r="K33" s="2">
        <v>57</v>
      </c>
      <c r="L33" s="5">
        <v>0.216</v>
      </c>
      <c r="M33" s="3">
        <f t="shared" si="2"/>
        <v>9.0749999999999993</v>
      </c>
      <c r="N33" s="14"/>
      <c r="O33" s="13"/>
    </row>
    <row r="34" spans="1:15" x14ac:dyDescent="0.3">
      <c r="A34" s="7" t="s">
        <v>69</v>
      </c>
      <c r="B34" s="1" t="s">
        <v>76</v>
      </c>
      <c r="C34" s="2" t="s">
        <v>77</v>
      </c>
      <c r="D34" s="1">
        <v>130</v>
      </c>
      <c r="E34" s="2">
        <v>14.38</v>
      </c>
      <c r="F34" s="2">
        <v>8.65</v>
      </c>
      <c r="G34" s="2">
        <v>9.65</v>
      </c>
      <c r="H34" s="2">
        <v>0</v>
      </c>
      <c r="I34" s="2" t="s">
        <v>18</v>
      </c>
      <c r="J34" s="2">
        <v>5</v>
      </c>
      <c r="K34" s="2">
        <v>10</v>
      </c>
      <c r="L34" s="5">
        <v>0.2697</v>
      </c>
      <c r="M34" s="3">
        <f t="shared" si="2"/>
        <v>9.15</v>
      </c>
      <c r="N34" s="14"/>
      <c r="O34" s="13"/>
    </row>
    <row r="36" spans="1:15" x14ac:dyDescent="0.3">
      <c r="A36" s="3" t="s">
        <v>24</v>
      </c>
      <c r="B36" s="7">
        <f>D31-D29</f>
        <v>75</v>
      </c>
      <c r="C36" s="8" t="s">
        <v>86</v>
      </c>
      <c r="D36" s="8">
        <f>((E33-E34)/B37)+D33</f>
        <v>124.24346629986245</v>
      </c>
    </row>
    <row r="37" spans="1:15" x14ac:dyDescent="0.3">
      <c r="A37" s="3" t="s">
        <v>38</v>
      </c>
      <c r="B37" s="7">
        <f>((E29-E31)+(E32-E30))/B36</f>
        <v>0.96933333333333338</v>
      </c>
      <c r="C37" s="11" t="s">
        <v>87</v>
      </c>
      <c r="D37" s="8">
        <f>($B$9/B37)-D36</f>
        <v>10.601788170563978</v>
      </c>
    </row>
    <row r="38" spans="1:15" x14ac:dyDescent="0.3">
      <c r="C38" s="8" t="s">
        <v>88</v>
      </c>
      <c r="D38">
        <f>LN(D37/$B$9)*(12/6)</f>
        <v>-5.0239168931413456</v>
      </c>
    </row>
    <row r="40" spans="1:15" ht="29.4" thickBot="1" x14ac:dyDescent="0.35">
      <c r="B40" s="4" t="s">
        <v>7</v>
      </c>
      <c r="C40" s="4" t="s">
        <v>8</v>
      </c>
      <c r="D40" s="4" t="s">
        <v>22</v>
      </c>
      <c r="E40" s="4" t="s">
        <v>9</v>
      </c>
      <c r="F40" s="4" t="s">
        <v>10</v>
      </c>
      <c r="G40" s="4" t="s">
        <v>11</v>
      </c>
      <c r="H40" s="4" t="s">
        <v>12</v>
      </c>
      <c r="I40" s="4" t="s">
        <v>13</v>
      </c>
      <c r="J40" s="4" t="s">
        <v>14</v>
      </c>
      <c r="K40" s="4" t="s">
        <v>15</v>
      </c>
      <c r="L40" s="4" t="s">
        <v>16</v>
      </c>
      <c r="M40" s="4" t="s">
        <v>25</v>
      </c>
      <c r="N40" s="4" t="s">
        <v>23</v>
      </c>
    </row>
    <row r="41" spans="1:15" ht="15" thickBot="1" x14ac:dyDescent="0.35">
      <c r="A41" s="3" t="s">
        <v>27</v>
      </c>
      <c r="B41" s="1" t="s">
        <v>60</v>
      </c>
      <c r="C41" s="2" t="s">
        <v>61</v>
      </c>
      <c r="D41" s="1">
        <v>55</v>
      </c>
      <c r="E41" s="2">
        <v>87.2</v>
      </c>
      <c r="F41" s="2">
        <v>0</v>
      </c>
      <c r="G41" s="2">
        <v>0</v>
      </c>
      <c r="H41" s="2">
        <v>0</v>
      </c>
      <c r="I41" s="2" t="s">
        <v>18</v>
      </c>
      <c r="J41" s="2">
        <v>1</v>
      </c>
      <c r="K41" s="2">
        <v>0</v>
      </c>
      <c r="L41" s="5">
        <v>0</v>
      </c>
      <c r="M41" s="7">
        <f>AVERAGE(F41:G41)</f>
        <v>0</v>
      </c>
      <c r="N41" s="13" t="s">
        <v>59</v>
      </c>
      <c r="O41" s="13" t="s">
        <v>78</v>
      </c>
    </row>
    <row r="42" spans="1:15" ht="15" thickBot="1" x14ac:dyDescent="0.35">
      <c r="A42" s="3" t="s">
        <v>30</v>
      </c>
      <c r="B42" s="1" t="s">
        <v>62</v>
      </c>
      <c r="C42" s="2" t="s">
        <v>63</v>
      </c>
      <c r="D42" s="1">
        <v>55</v>
      </c>
      <c r="E42" s="2">
        <v>0.44</v>
      </c>
      <c r="F42" s="2">
        <v>0</v>
      </c>
      <c r="G42" s="2">
        <v>0</v>
      </c>
      <c r="H42" s="2">
        <v>0</v>
      </c>
      <c r="I42" s="2" t="s">
        <v>18</v>
      </c>
      <c r="J42" s="2">
        <v>1</v>
      </c>
      <c r="K42" s="2">
        <v>0</v>
      </c>
      <c r="L42" s="5">
        <v>0.25</v>
      </c>
      <c r="M42" s="7">
        <f t="shared" ref="M42:M46" si="3">AVERAGE(F42:G42)</f>
        <v>0</v>
      </c>
      <c r="N42" s="13"/>
      <c r="O42" s="13"/>
    </row>
    <row r="43" spans="1:15" ht="15" thickBot="1" x14ac:dyDescent="0.35">
      <c r="A43" s="3" t="s">
        <v>33</v>
      </c>
      <c r="B43" s="1" t="s">
        <v>64</v>
      </c>
      <c r="C43" s="2" t="s">
        <v>65</v>
      </c>
      <c r="D43" s="1">
        <v>220</v>
      </c>
      <c r="E43" s="2">
        <v>0.4</v>
      </c>
      <c r="F43" s="2">
        <v>0</v>
      </c>
      <c r="G43" s="2">
        <v>0</v>
      </c>
      <c r="H43" s="2">
        <v>0</v>
      </c>
      <c r="I43" s="2" t="s">
        <v>18</v>
      </c>
      <c r="J43" s="2">
        <v>2</v>
      </c>
      <c r="K43" s="2">
        <v>0</v>
      </c>
      <c r="L43" s="5">
        <v>0.125</v>
      </c>
      <c r="M43" s="7">
        <f t="shared" si="3"/>
        <v>0</v>
      </c>
      <c r="N43" s="13"/>
      <c r="O43" s="13"/>
    </row>
    <row r="44" spans="1:15" ht="15" thickBot="1" x14ac:dyDescent="0.35">
      <c r="A44" s="3" t="s">
        <v>36</v>
      </c>
      <c r="B44" s="1" t="s">
        <v>66</v>
      </c>
      <c r="C44" s="2" t="s">
        <v>67</v>
      </c>
      <c r="D44" s="1">
        <v>220</v>
      </c>
      <c r="E44" s="2">
        <v>88.25</v>
      </c>
      <c r="F44" s="2">
        <v>87.5</v>
      </c>
      <c r="G44" s="2">
        <v>92</v>
      </c>
      <c r="H44" s="2">
        <v>0</v>
      </c>
      <c r="I44" s="2" t="s">
        <v>18</v>
      </c>
      <c r="J44" s="2">
        <v>3</v>
      </c>
      <c r="K44" s="2">
        <v>0</v>
      </c>
      <c r="L44" s="5">
        <v>0.46970000000000001</v>
      </c>
      <c r="M44" s="7">
        <f t="shared" si="3"/>
        <v>89.75</v>
      </c>
      <c r="N44" s="13"/>
      <c r="O44" s="13"/>
    </row>
    <row r="45" spans="1:15" ht="15" thickBot="1" x14ac:dyDescent="0.35">
      <c r="A45" s="7" t="s">
        <v>68</v>
      </c>
      <c r="B45" s="1" t="s">
        <v>79</v>
      </c>
      <c r="C45" s="2" t="s">
        <v>80</v>
      </c>
      <c r="D45" s="1">
        <v>130</v>
      </c>
      <c r="E45" s="2">
        <v>10.199999999999999</v>
      </c>
      <c r="F45" s="2">
        <v>10.45</v>
      </c>
      <c r="G45" s="2">
        <v>11.8</v>
      </c>
      <c r="H45" s="2">
        <v>-0.6</v>
      </c>
      <c r="I45" s="5">
        <v>-5.5599999999999997E-2</v>
      </c>
      <c r="J45" s="2">
        <v>130</v>
      </c>
      <c r="K45" s="2">
        <v>2274</v>
      </c>
      <c r="L45" s="5">
        <v>0.2291</v>
      </c>
      <c r="M45" s="7">
        <f t="shared" si="3"/>
        <v>11.125</v>
      </c>
      <c r="N45" s="13"/>
      <c r="O45" s="13"/>
    </row>
    <row r="46" spans="1:15" x14ac:dyDescent="0.3">
      <c r="A46" s="7" t="s">
        <v>69</v>
      </c>
      <c r="B46" s="1" t="s">
        <v>81</v>
      </c>
      <c r="C46" s="2" t="s">
        <v>82</v>
      </c>
      <c r="D46" s="1">
        <v>130</v>
      </c>
      <c r="E46" s="2">
        <v>13.06</v>
      </c>
      <c r="F46" s="2">
        <v>11.3</v>
      </c>
      <c r="G46" s="2">
        <v>12.85</v>
      </c>
      <c r="H46" s="2">
        <v>0</v>
      </c>
      <c r="I46" s="2" t="s">
        <v>18</v>
      </c>
      <c r="J46" s="2">
        <v>1</v>
      </c>
      <c r="K46" s="2">
        <v>583</v>
      </c>
      <c r="L46" s="5">
        <v>0.29330000000000001</v>
      </c>
      <c r="M46" s="7">
        <f t="shared" si="3"/>
        <v>12.074999999999999</v>
      </c>
      <c r="N46" s="13"/>
      <c r="O46" s="13"/>
    </row>
    <row r="48" spans="1:15" x14ac:dyDescent="0.3">
      <c r="A48" s="3" t="s">
        <v>24</v>
      </c>
      <c r="B48" s="7">
        <f>D43-D41</f>
        <v>165</v>
      </c>
      <c r="C48" s="8" t="s">
        <v>86</v>
      </c>
      <c r="D48" s="8">
        <f>((E45-E46)/B49)+D45</f>
        <v>127.29740564687016</v>
      </c>
    </row>
    <row r="49" spans="1:4" x14ac:dyDescent="0.3">
      <c r="A49" s="3" t="s">
        <v>38</v>
      </c>
      <c r="B49" s="7">
        <f>((E41-E43)+(E44-E42))/B48</f>
        <v>1.0582424242424244</v>
      </c>
      <c r="C49" s="11" t="s">
        <v>87</v>
      </c>
      <c r="D49" s="8">
        <f>($B$9/B49)-D48</f>
        <v>-3.7812840043525711</v>
      </c>
    </row>
    <row r="50" spans="1:4" x14ac:dyDescent="0.3">
      <c r="C50" s="8" t="s">
        <v>88</v>
      </c>
      <c r="D50" t="e">
        <f>LN(D49/$B$9)*(12/12)</f>
        <v>#NUM!</v>
      </c>
    </row>
  </sheetData>
  <mergeCells count="8">
    <mergeCell ref="O41:O46"/>
    <mergeCell ref="N41:N46"/>
    <mergeCell ref="N2:N7"/>
    <mergeCell ref="O2:O7"/>
    <mergeCell ref="N18:N23"/>
    <mergeCell ref="O18:O23"/>
    <mergeCell ref="N29:N34"/>
    <mergeCell ref="O29:O34"/>
  </mergeCells>
  <hyperlinks>
    <hyperlink ref="B2" r:id="rId1" display="https://finance.yahoo.com/quote/IBM220429C00110000?p=IBM220429C00110000" xr:uid="{5CCAD361-E273-43DB-9460-CA0216A321B0}"/>
    <hyperlink ref="D2" r:id="rId2" display="https://finance.yahoo.com/quote/IBM/options?strike=110&amp;straddle=false" xr:uid="{B0A23631-22A9-4E1F-A088-D1387D337AF4}"/>
    <hyperlink ref="B3" r:id="rId3" display="https://finance.yahoo.com/quote/IBM220429P00110000?p=IBM220429P00110000" xr:uid="{6B1819EB-4ABE-4556-BDCB-1483E727A381}"/>
    <hyperlink ref="D3" r:id="rId4" display="https://finance.yahoo.com/quote/IBM/options?strike=110&amp;straddle=false" xr:uid="{58A7CFAA-09A1-4175-B90E-377FB5B35C48}"/>
    <hyperlink ref="B4" r:id="rId5" display="https://finance.yahoo.com/quote/IBM220429C00136000?p=IBM220429C00136000" xr:uid="{C91AAB1D-8CF6-4C1E-B69D-D373F435AB91}"/>
    <hyperlink ref="D4" r:id="rId6" display="https://finance.yahoo.com/quote/IBM/options?strike=136&amp;straddle=false" xr:uid="{05438F36-58DD-4707-BF1B-95897FECD6D8}"/>
    <hyperlink ref="B5" r:id="rId7" display="https://finance.yahoo.com/quote/IBM220429P00136000?p=IBM220429P00136000" xr:uid="{D8A9D1F7-A14F-4862-A75C-E5793D4FD64D}"/>
    <hyperlink ref="D5" r:id="rId8" display="https://finance.yahoo.com/quote/IBM/options?strike=136&amp;straddle=false" xr:uid="{C4F836BC-1CA6-4A39-B421-07F557694070}"/>
    <hyperlink ref="B18" r:id="rId9" display="https://finance.yahoo.com/quote/IBM220617C00060000?p=IBM220617C00060000" xr:uid="{BDAE365B-4261-4903-B608-59414712C736}"/>
    <hyperlink ref="D18" r:id="rId10" display="https://finance.yahoo.com/quote/IBM/options?strike=60&amp;straddle=false" xr:uid="{A4DE9739-F029-4781-BF38-E6B524139371}"/>
    <hyperlink ref="B19" r:id="rId11" display="https://finance.yahoo.com/quote/IBM220617P00060000?p=IBM220617P00060000" xr:uid="{DA35C7F3-E343-4D6D-933F-4057FCAC2AA3}"/>
    <hyperlink ref="D19" r:id="rId12" display="https://finance.yahoo.com/quote/IBM/options?strike=60&amp;straddle=false" xr:uid="{CA77851C-F10F-4DC4-AD9B-319894E08F1A}"/>
    <hyperlink ref="B20" r:id="rId13" display="https://finance.yahoo.com/quote/IBM220617C00220000?p=IBM220617C00220000" xr:uid="{47B55562-D07E-4C11-ABBE-26C4F2DF5C9C}"/>
    <hyperlink ref="D20" r:id="rId14" display="https://finance.yahoo.com/quote/IBM/options?strike=220&amp;straddle=false" xr:uid="{A0E3D7C3-ABAD-43E5-950B-C42A004C7CCC}"/>
    <hyperlink ref="B21" r:id="rId15" display="https://finance.yahoo.com/quote/IBM220617P00220000?p=IBM220617P00220000" xr:uid="{5AD0D235-66DB-4FCD-9E1C-E32D316B6CF5}"/>
    <hyperlink ref="D21" r:id="rId16" display="https://finance.yahoo.com/quote/IBM/options?strike=220&amp;straddle=false" xr:uid="{AEF6560E-8DFA-42F7-88BA-F151F52D179F}"/>
    <hyperlink ref="B29" r:id="rId17" display="https://finance.yahoo.com/quote/IBM221021C00085000?p=IBM221021C00085000" xr:uid="{C4420597-D760-4966-B12E-238335D1B04B}"/>
    <hyperlink ref="D29" r:id="rId18" display="https://finance.yahoo.com/quote/IBM/options?strike=85&amp;straddle=false" xr:uid="{2BC8B88B-BE3C-4701-96DA-8CE81FFCE3A2}"/>
    <hyperlink ref="B30" r:id="rId19" display="https://finance.yahoo.com/quote/IBM221021P00085000?p=IBM221021P00085000" xr:uid="{7B28C7E3-CB59-4EAA-BCDE-517E92077781}"/>
    <hyperlink ref="D30" r:id="rId20" display="https://finance.yahoo.com/quote/IBM/options?strike=85&amp;straddle=false" xr:uid="{9EF99243-52E7-41C9-94D5-417DBF042123}"/>
    <hyperlink ref="B31" r:id="rId21" display="https://finance.yahoo.com/quote/IBM221021C00160000?p=IBM221021C00160000" xr:uid="{99509505-39C8-42E8-896B-4ACF961AD2C8}"/>
    <hyperlink ref="D31" r:id="rId22" display="https://finance.yahoo.com/quote/IBM/options?strike=160&amp;straddle=false" xr:uid="{BA03DD32-ACB6-473E-A1CF-2B939E328EC9}"/>
    <hyperlink ref="B32" r:id="rId23" display="https://finance.yahoo.com/quote/IBM221021P00160000?p=IBM221021P00160000" xr:uid="{4640581B-BCFC-44BF-A390-0AE6883C5DE3}"/>
    <hyperlink ref="D32" r:id="rId24" display="https://finance.yahoo.com/quote/IBM/options?strike=160&amp;straddle=false" xr:uid="{020191A9-9563-47A1-996D-11840B188D85}"/>
    <hyperlink ref="B41" r:id="rId25" display="https://finance.yahoo.com/quote/IBM230120C00055000?p=IBM230120C00055000" xr:uid="{C5BE0D23-65A5-4F47-9D2A-E8FFD663C852}"/>
    <hyperlink ref="D41" r:id="rId26" display="https://finance.yahoo.com/quote/IBM/options?strike=55&amp;straddle=false" xr:uid="{9E8767A0-F675-4B5C-8E09-F339CC4D26E2}"/>
    <hyperlink ref="B42" r:id="rId27" display="https://finance.yahoo.com/quote/IBM230120P00055000?p=IBM230120P00055000" xr:uid="{A65FF078-43B3-48AB-8E1B-10DD51DDDBDD}"/>
    <hyperlink ref="D42" r:id="rId28" display="https://finance.yahoo.com/quote/IBM/options?strike=55&amp;straddle=false" xr:uid="{D9D05862-8D23-4473-94F5-CD9B354B4D92}"/>
    <hyperlink ref="B43" r:id="rId29" display="https://finance.yahoo.com/quote/IBM230120C00220000?p=IBM230120C00220000" xr:uid="{F92EE80A-061E-4833-879F-39ECBFAA6327}"/>
    <hyperlink ref="D43" r:id="rId30" display="https://finance.yahoo.com/quote/IBM/options?strike=220&amp;straddle=false" xr:uid="{71A822F4-3BF8-4987-9DCA-2FA2EA3F2B7A}"/>
    <hyperlink ref="B44" r:id="rId31" display="https://finance.yahoo.com/quote/IBM230120P00220000?p=IBM230120P00220000" xr:uid="{9076948E-5399-4EF2-9AC0-567F6F80B0B1}"/>
    <hyperlink ref="D44" r:id="rId32" display="https://finance.yahoo.com/quote/IBM/options?strike=220&amp;straddle=false" xr:uid="{2BA912F9-9E4B-4E72-9032-E3FC650EA4D2}"/>
    <hyperlink ref="B22" r:id="rId33" display="https://finance.yahoo.com/quote/IBM220617C00130000?p=IBM220617C00130000" xr:uid="{2EE21ECD-778F-422E-8F32-733001D35DFC}"/>
    <hyperlink ref="D22" r:id="rId34" display="https://finance.yahoo.com/quote/IBM/options?strike=130&amp;straddle=false" xr:uid="{9A1FF796-CE0B-455D-8079-362BEB2E83CF}"/>
    <hyperlink ref="B23" r:id="rId35" display="https://finance.yahoo.com/quote/IBM220617P00130000?p=IBM220617P00130000" xr:uid="{6A1A1A25-87F7-47EB-88B0-35CDEC086E86}"/>
    <hyperlink ref="D23" r:id="rId36" display="https://finance.yahoo.com/quote/IBM/options?strike=130&amp;straddle=false" xr:uid="{3ACE6BE3-1BFD-4B1E-A1FE-65EAE9BFDBE5}"/>
    <hyperlink ref="B33" r:id="rId37" display="https://finance.yahoo.com/quote/IBM221021C00130000?p=IBM221021C00130000" xr:uid="{1E7BCD32-3D76-4AE2-B956-11AF5E122759}"/>
    <hyperlink ref="D33" r:id="rId38" display="https://finance.yahoo.com/quote/IBM/options?strike=130&amp;straddle=false" xr:uid="{605363FE-79CB-4305-B300-699E1BCAAD08}"/>
    <hyperlink ref="B34" r:id="rId39" display="https://finance.yahoo.com/quote/IBM221021P00130000?p=IBM221021P00130000" xr:uid="{CB742C17-9FBF-4384-8A08-DE00C90E3D34}"/>
    <hyperlink ref="D34" r:id="rId40" display="https://finance.yahoo.com/quote/IBM/options?strike=130&amp;straddle=false" xr:uid="{E5C08C12-52AF-4B8B-BA80-8D38B2C6DF0A}"/>
    <hyperlink ref="B45" r:id="rId41" display="https://finance.yahoo.com/quote/IBM230120C00130000?p=IBM230120C00130000" xr:uid="{89C2FD64-0E7D-4C49-857C-34CFA7A242E3}"/>
    <hyperlink ref="D45" r:id="rId42" display="https://finance.yahoo.com/quote/IBM/options?strike=130&amp;straddle=false" xr:uid="{17A85F04-6E0C-4B83-BF2E-C76ABC5531C5}"/>
    <hyperlink ref="B46" r:id="rId43" display="https://finance.yahoo.com/quote/IBM230120P00130000?p=IBM230120P00130000" xr:uid="{478ADDBC-6013-4DC5-8F77-3C080ED81071}"/>
    <hyperlink ref="D46" r:id="rId44" display="https://finance.yahoo.com/quote/IBM/options?strike=130&amp;straddle=false" xr:uid="{63B8C38F-EF7D-4810-9B6F-38258C9051CE}"/>
    <hyperlink ref="B6" r:id="rId45" display="https://finance.yahoo.com/quote/IBM220429C00130000?p=IBM220429C00130000" xr:uid="{80C66FD9-C0D2-4761-BE88-1465566AFE9F}"/>
    <hyperlink ref="D6" r:id="rId46" display="https://finance.yahoo.com/quote/IBM/options?strike=130&amp;straddle=false" xr:uid="{58ED02D1-F9C6-4C25-9353-7B421D8615AB}"/>
    <hyperlink ref="B7" r:id="rId47" display="https://finance.yahoo.com/quote/IBM220429P00130000?p=IBM220429P00130000" xr:uid="{62F94723-9FE3-432F-BCE4-A66EA22E02CB}"/>
    <hyperlink ref="D7" r:id="rId48" display="https://finance.yahoo.com/quote/IBM/options?strike=130&amp;straddle=false" xr:uid="{80B31808-5821-48C7-AEC0-8129E5CF2EB5}"/>
  </hyperlinks>
  <pageMargins left="0.7" right="0.7" top="0.75" bottom="0.75" header="0.3" footer="0.3"/>
  <pageSetup paperSize="9" orientation="portrait" horizontalDpi="0" verticalDpi="0" r:id="rId4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8AE49-A2DB-467D-AE29-C64233961741}">
  <sheetPr codeName="Foglio1"/>
  <dimension ref="A1:T101"/>
  <sheetViews>
    <sheetView tabSelected="1" topLeftCell="H76" workbookViewId="0">
      <selection activeCell="O21" sqref="O21"/>
    </sheetView>
  </sheetViews>
  <sheetFormatPr defaultRowHeight="14.4" x14ac:dyDescent="0.3"/>
  <cols>
    <col min="2" max="2" width="11.6640625" customWidth="1"/>
    <col min="4" max="4" width="13.6640625" customWidth="1"/>
    <col min="5" max="5" width="15.6640625" customWidth="1"/>
    <col min="6" max="6" width="13.5546875" customWidth="1"/>
    <col min="9" max="9" width="10.44140625" customWidth="1"/>
    <col min="11" max="11" width="11.77734375" style="10" customWidth="1"/>
    <col min="12" max="12" width="16.5546875" style="10" customWidth="1"/>
    <col min="13" max="13" width="15.44140625" style="10" customWidth="1"/>
    <col min="14" max="14" width="12.5546875" style="10" customWidth="1"/>
    <col min="18" max="18" width="13" customWidth="1"/>
    <col min="19" max="19" width="16.21875" customWidth="1"/>
    <col min="20" max="20" width="13.77734375" customWidth="1"/>
  </cols>
  <sheetData>
    <row r="1" spans="1:20" x14ac:dyDescent="0.3">
      <c r="A1" s="10" t="s">
        <v>0</v>
      </c>
      <c r="B1" s="10">
        <v>100</v>
      </c>
      <c r="C1" s="10" t="s">
        <v>4</v>
      </c>
      <c r="D1" s="10" t="s">
        <v>5</v>
      </c>
      <c r="E1" s="10" t="s">
        <v>6</v>
      </c>
      <c r="F1" s="10" t="s">
        <v>90</v>
      </c>
      <c r="H1" s="12" t="s">
        <v>0</v>
      </c>
      <c r="I1" s="12">
        <v>116.49</v>
      </c>
      <c r="J1" s="12" t="s">
        <v>4</v>
      </c>
      <c r="K1" s="10" t="s">
        <v>5</v>
      </c>
      <c r="L1" s="12" t="s">
        <v>6</v>
      </c>
      <c r="M1" s="12" t="s">
        <v>90</v>
      </c>
      <c r="O1" s="12" t="s">
        <v>0</v>
      </c>
      <c r="P1" s="12">
        <v>116.49</v>
      </c>
      <c r="Q1" s="12" t="s">
        <v>4</v>
      </c>
      <c r="R1" s="12" t="s">
        <v>5</v>
      </c>
      <c r="S1" s="12" t="s">
        <v>6</v>
      </c>
      <c r="T1" s="12" t="s">
        <v>90</v>
      </c>
    </row>
    <row r="2" spans="1:20" x14ac:dyDescent="0.3">
      <c r="A2" s="10" t="s">
        <v>1</v>
      </c>
      <c r="B2" s="10">
        <v>100</v>
      </c>
      <c r="C2" s="10">
        <v>1</v>
      </c>
      <c r="D2" s="10" cm="1">
        <f t="array" ref="D2">Bi_Call_Eur($B$1,$B$2,$B$3,$B$4,$B$5,C2)</f>
        <v>10.41459862337868</v>
      </c>
      <c r="E2" s="10" cm="1">
        <f t="array" ref="E2">BSCall($B$1,$B$2,$B$4,$B$5,$B$3)</f>
        <v>8.4333186901096084</v>
      </c>
      <c r="F2" s="10" t="e" cm="1">
        <f t="array" ref="F2">LeisenReimerTrunc("a", "c", $B$1,$B$2,$B$3,$B$4,$B$4,$B$5,C2)</f>
        <v>#VALUE!</v>
      </c>
      <c r="H2" s="12" t="s">
        <v>1</v>
      </c>
      <c r="I2" s="12">
        <v>115</v>
      </c>
      <c r="J2" s="12">
        <v>1</v>
      </c>
      <c r="K2" s="10" cm="1">
        <f t="array" ref="K2">Bi_Call_Eur($I$1,$I$2,$I$3,$I$4,$I$5,J2)</f>
        <v>28.679705149100307</v>
      </c>
      <c r="L2" s="12" cm="1">
        <f t="array" ref="L2">BSCall($I$1,$I$2,$I$4,$I$5,$I$3)</f>
        <v>23.290127674229865</v>
      </c>
      <c r="M2" s="12" t="e" cm="1">
        <f t="array" ref="M2">LeisenReimerTrunc("a","c",$I$1,$I$2,$I$3,$I$4,$I$4,$I$5,J2)</f>
        <v>#VALUE!</v>
      </c>
      <c r="O2" s="12" t="s">
        <v>1</v>
      </c>
      <c r="P2" s="12">
        <v>115</v>
      </c>
      <c r="Q2" s="12">
        <v>1</v>
      </c>
      <c r="R2" s="12" cm="1">
        <f t="array" ref="R2">Bi_Call_Eur($P$1,$P$2,$P$3,$P$4,$P$5,Q2)</f>
        <v>32.509042504398721</v>
      </c>
      <c r="S2" s="12" cm="1">
        <f t="array" ref="S2">BSCall($P$1,$P$2,$P$4,$P$5,$P$3)</f>
        <v>26.501515084741776</v>
      </c>
      <c r="T2" s="12" t="e" cm="1">
        <f t="array" ref="T2">LeisenReimerTrunc("a","c",$P$1,$P$2,$P$3,$P$4,$P$4,$P$5,Q2)</f>
        <v>#VALUE!</v>
      </c>
    </row>
    <row r="3" spans="1:20" x14ac:dyDescent="0.3">
      <c r="A3" s="10" t="s">
        <v>89</v>
      </c>
      <c r="B3" s="10">
        <v>1</v>
      </c>
      <c r="C3" s="10">
        <v>2</v>
      </c>
      <c r="D3" s="10" cm="1">
        <f t="array" ref="D3">Bi_Call_Eur($B$1,$B$2,$B$3,$B$4,$B$5,C3)</f>
        <v>7.7697841484472487</v>
      </c>
      <c r="E3" s="10" cm="1">
        <f t="array" ref="E3">BSCall($B$1,$B$2,$B$4,$B$5,$B$3)</f>
        <v>8.4333186901096084</v>
      </c>
      <c r="F3" s="12" cm="1">
        <f t="array" ref="F3">LeisenReimerTrunc("a", "c", $B$1,$B$2,$B$3,$B$4,$B$4,$B$5,C3)</f>
        <v>8.403232838109842</v>
      </c>
      <c r="H3" s="12" t="s">
        <v>89</v>
      </c>
      <c r="I3" s="12">
        <v>0.25</v>
      </c>
      <c r="J3" s="12">
        <v>2</v>
      </c>
      <c r="K3" s="12" cm="1">
        <f t="array" ref="K3">Bi_Call_Eur($I$1,$I$2,$I$3,$I$4,$I$5,J3)</f>
        <v>21.159861800808109</v>
      </c>
      <c r="L3" s="12" cm="1">
        <f t="array" ref="L3">BSCall($I$1,$I$2,$I$4,$I$5,$I$3)</f>
        <v>23.290127674229865</v>
      </c>
      <c r="M3" s="12" cm="1">
        <f t="array" ref="M3">LeisenReimerTrunc("a","c",$I$1,$I$2,$I$3,$I$4,$I$4,$I$5,J3)</f>
        <v>23.208049326168108</v>
      </c>
      <c r="O3" s="12" t="s">
        <v>89</v>
      </c>
      <c r="P3" s="12">
        <v>0.5</v>
      </c>
      <c r="Q3" s="12">
        <v>2</v>
      </c>
      <c r="R3" s="12" cm="1">
        <f t="array" ref="R3">Bi_Call_Eur($P$1,$P$2,$P$3,$P$4,$P$5,Q3)</f>
        <v>24.153098217784834</v>
      </c>
      <c r="S3" s="12" cm="1">
        <f t="array" ref="S3">BSCall($P$1,$P$2,$P$4,$P$5,$P$3)</f>
        <v>26.501515084741776</v>
      </c>
      <c r="T3" s="12" cm="1">
        <f t="array" ref="T3">LeisenReimerTrunc("a","c",$P$1,$P$2,$P$3,$P$4,$P$4,$P$5,Q3)</f>
        <v>26.4099292743768</v>
      </c>
    </row>
    <row r="4" spans="1:20" x14ac:dyDescent="0.3">
      <c r="A4" s="10" t="s">
        <v>2</v>
      </c>
      <c r="B4" s="10">
        <v>0.01</v>
      </c>
      <c r="C4" s="10">
        <v>3</v>
      </c>
      <c r="D4" s="10" cm="1">
        <f t="array" ref="D4">Bi_Call_Eur($B$1,$B$2,$B$3,$B$4,$B$5,C4)</f>
        <v>9.0955389976946908</v>
      </c>
      <c r="E4" s="10" cm="1">
        <f t="array" ref="E4">BSCall($B$1,$B$2,$B$4,$B$5,$B$3)</f>
        <v>8.4333186901096084</v>
      </c>
      <c r="F4" s="12" cm="1">
        <f t="array" ref="F4">LeisenReimerTrunc("a", "c", $B$1,$B$2,$B$3,$B$4,$B$4,$B$5,C4)</f>
        <v>8.403232838109842</v>
      </c>
      <c r="H4" s="12" t="s">
        <v>2</v>
      </c>
      <c r="I4" s="12">
        <v>9.5370999999999997E-3</v>
      </c>
      <c r="J4" s="12">
        <v>3</v>
      </c>
      <c r="K4" s="12" cm="1">
        <f t="array" ref="K4">Bi_Call_Eur($I$1,$I$2,$I$3,$I$4,$I$5,J4)</f>
        <v>25.112591997370714</v>
      </c>
      <c r="L4" s="12" cm="1">
        <f t="array" ref="L4">BSCall($I$1,$I$2,$I$4,$I$5,$I$3)</f>
        <v>23.290127674229865</v>
      </c>
      <c r="M4" s="12" cm="1">
        <f t="array" ref="M4">LeisenReimerTrunc("a","c",$I$1,$I$2,$I$3,$I$4,$I$4,$I$5,J4)</f>
        <v>23.208049326168108</v>
      </c>
      <c r="O4" s="12" t="s">
        <v>2</v>
      </c>
      <c r="P4" s="12">
        <v>1.3845700000000001E-2</v>
      </c>
      <c r="Q4" s="12">
        <v>3</v>
      </c>
      <c r="R4" s="12" cm="1">
        <f t="array" ref="R4">Bi_Call_Eur($P$1,$P$2,$P$3,$P$4,$P$5,Q4)</f>
        <v>28.534370935679817</v>
      </c>
      <c r="S4" s="12" cm="1">
        <f t="array" ref="S4">BSCall($P$1,$P$2,$P$4,$P$5,$P$3)</f>
        <v>26.501515084741776</v>
      </c>
      <c r="T4" s="12" cm="1">
        <f t="array" ref="T4">LeisenReimerTrunc("a","c",$P$1,$P$2,$P$3,$P$4,$P$4,$P$5,Q4)</f>
        <v>26.4099292743768</v>
      </c>
    </row>
    <row r="5" spans="1:20" x14ac:dyDescent="0.3">
      <c r="A5" s="10" t="s">
        <v>3</v>
      </c>
      <c r="B5" s="10">
        <v>0.2</v>
      </c>
      <c r="C5" s="10">
        <v>4</v>
      </c>
      <c r="D5" s="10" cm="1">
        <f t="array" ref="D5">Bi_Call_Eur($B$1,$B$2,$B$3,$B$4,$B$5,C5)</f>
        <v>8.1336249364981317</v>
      </c>
      <c r="E5" s="10" cm="1">
        <f t="array" ref="E5">BSCall($B$1,$B$2,$B$4,$B$5,$B$3)</f>
        <v>8.4333186901096084</v>
      </c>
      <c r="F5" s="12" cm="1">
        <f t="array" ref="F5">LeisenReimerTrunc("a", "c", $B$1,$B$2,$B$3,$B$4,$B$4,$B$5,C5)</f>
        <v>8.4209343027405623</v>
      </c>
      <c r="H5" s="12" t="s">
        <v>3</v>
      </c>
      <c r="I5" s="12">
        <v>0.98099999999999998</v>
      </c>
      <c r="J5" s="12">
        <v>4</v>
      </c>
      <c r="K5" s="12" cm="1">
        <f t="array" ref="K5">Bi_Call_Eur($I$1,$I$2,$I$3,$I$4,$I$5,J5)</f>
        <v>22.256610872169119</v>
      </c>
      <c r="L5" s="12" cm="1">
        <f t="array" ref="L5">BSCall($I$1,$I$2,$I$4,$I$5,$I$3)</f>
        <v>23.290127674229865</v>
      </c>
      <c r="M5" s="12" cm="1">
        <f t="array" ref="M5">LeisenReimerTrunc("a","c",$I$1,$I$2,$I$3,$I$4,$I$4,$I$5,J5)</f>
        <v>23.256355911573969</v>
      </c>
      <c r="O5" s="12" t="s">
        <v>3</v>
      </c>
      <c r="P5" s="12">
        <v>0.78900000000000003</v>
      </c>
      <c r="Q5" s="12">
        <v>4</v>
      </c>
      <c r="R5" s="12" cm="1">
        <f t="array" ref="R5">Bi_Call_Eur($P$1,$P$2,$P$3,$P$4,$P$5,Q5)</f>
        <v>25.377504488781337</v>
      </c>
      <c r="S5" s="12" cm="1">
        <f t="array" ref="S5">BSCall($P$1,$P$2,$P$4,$P$5,$P$3)</f>
        <v>26.501515084741776</v>
      </c>
      <c r="T5" s="12" cm="1">
        <f t="array" ref="T5">LeisenReimerTrunc("a","c",$P$1,$P$2,$P$3,$P$4,$P$4,$P$5,Q5)</f>
        <v>26.463838206845455</v>
      </c>
    </row>
    <row r="6" spans="1:20" x14ac:dyDescent="0.3">
      <c r="A6" s="10"/>
      <c r="B6" s="10"/>
      <c r="C6" s="10">
        <v>5</v>
      </c>
      <c r="D6" s="10" cm="1">
        <f t="array" ref="D6">Bi_Call_Eur($B$1,$B$2,$B$3,$B$4,$B$5,C6)</f>
        <v>8.8243709276863989</v>
      </c>
      <c r="E6" s="10" cm="1">
        <f t="array" ref="E6">BSCall($B$1,$B$2,$B$4,$B$5,$B$3)</f>
        <v>8.4333186901096084</v>
      </c>
      <c r="F6" s="12" cm="1">
        <f t="array" ref="F6">LeisenReimerTrunc("a", "c", $B$1,$B$2,$B$3,$B$4,$B$4,$B$5,C6)</f>
        <v>8.4209343027405623</v>
      </c>
      <c r="J6" s="12">
        <v>5</v>
      </c>
      <c r="K6" s="12" cm="1">
        <f t="array" ref="K6">Bi_Call_Eur($I$1,$I$2,$I$3,$I$4,$I$5,J6)</f>
        <v>24.373949188757855</v>
      </c>
      <c r="L6" s="12" cm="1">
        <f t="array" ref="L6">BSCall($I$1,$I$2,$I$4,$I$5,$I$3)</f>
        <v>23.290127674229865</v>
      </c>
      <c r="M6" s="12" cm="1">
        <f t="array" ref="M6">LeisenReimerTrunc("a","c",$I$1,$I$2,$I$3,$I$4,$I$4,$I$5,J6)</f>
        <v>23.256355911573969</v>
      </c>
      <c r="Q6" s="12">
        <v>5</v>
      </c>
      <c r="R6" s="12" cm="1">
        <f t="array" ref="R6">Bi_Call_Eur($P$1,$P$2,$P$3,$P$4,$P$5,Q6)</f>
        <v>27.709309143393757</v>
      </c>
      <c r="S6" s="12" cm="1">
        <f t="array" ref="S6">BSCall($P$1,$P$2,$P$4,$P$5,$P$3)</f>
        <v>26.501515084741776</v>
      </c>
      <c r="T6" s="12" cm="1">
        <f t="array" ref="T6">LeisenReimerTrunc("a","c",$P$1,$P$2,$P$3,$P$4,$P$4,$P$5,Q6)</f>
        <v>26.463838206845455</v>
      </c>
    </row>
    <row r="7" spans="1:20" x14ac:dyDescent="0.3">
      <c r="C7" s="10">
        <v>6</v>
      </c>
      <c r="D7" s="10" cm="1">
        <f t="array" ref="D7">Bi_Call_Eur($B$1,$B$2,$B$3,$B$4,$B$5,C7)</f>
        <v>8.2562207592388308</v>
      </c>
      <c r="E7" s="10" cm="1">
        <f t="array" ref="E7">BSCall($B$1,$B$2,$B$4,$B$5,$B$3)</f>
        <v>8.4333186901096084</v>
      </c>
      <c r="F7" s="12" cm="1">
        <f t="array" ref="F7">LeisenReimerTrunc("a", "c", $B$1,$B$2,$B$3,$B$4,$B$4,$B$5,C7)</f>
        <v>8.4265692233797598</v>
      </c>
      <c r="J7" s="12">
        <v>6</v>
      </c>
      <c r="K7" s="12" cm="1">
        <f t="array" ref="K7">Bi_Call_Eur($I$1,$I$2,$I$3,$I$4,$I$5,J7)</f>
        <v>22.637145517187125</v>
      </c>
      <c r="L7" s="12" cm="1">
        <f t="array" ref="L7">BSCall($I$1,$I$2,$I$4,$I$5,$I$3)</f>
        <v>23.290127674229865</v>
      </c>
      <c r="M7" s="12" cm="1">
        <f t="array" ref="M7">LeisenReimerTrunc("a","c",$I$1,$I$2,$I$3,$I$4,$I$4,$I$5,J7)</f>
        <v>23.271721928773065</v>
      </c>
      <c r="Q7" s="12">
        <v>6</v>
      </c>
      <c r="R7" s="12" cm="1">
        <f t="array" ref="R7">Bi_Call_Eur($P$1,$P$2,$P$3,$P$4,$P$5,Q7)</f>
        <v>25.799859603929555</v>
      </c>
      <c r="S7" s="12" cm="1">
        <f t="array" ref="S7">BSCall($P$1,$P$2,$P$4,$P$5,$P$3)</f>
        <v>26.501515084741776</v>
      </c>
      <c r="T7" s="12" cm="1">
        <f t="array" ref="T7">LeisenReimerTrunc("a","c",$P$1,$P$2,$P$3,$P$4,$P$4,$P$5,Q7)</f>
        <v>26.480980945029398</v>
      </c>
    </row>
    <row r="8" spans="1:20" x14ac:dyDescent="0.3">
      <c r="C8" s="10">
        <v>7</v>
      </c>
      <c r="D8" s="10" cm="1">
        <f t="array" ref="D8">Bi_Call_Eur($B$1,$B$2,$B$3,$B$4,$B$5,C8)</f>
        <v>8.7086912519583564</v>
      </c>
      <c r="E8" s="10" cm="1">
        <f t="array" ref="E8">BSCall($B$1,$B$2,$B$4,$B$5,$B$3)</f>
        <v>8.4333186901096084</v>
      </c>
      <c r="F8" s="12" cm="1">
        <f t="array" ref="F8">LeisenReimerTrunc("a", "c", $B$1,$B$2,$B$3,$B$4,$B$4,$B$5,C8)</f>
        <v>8.4265692233797598</v>
      </c>
      <c r="J8" s="12">
        <v>7</v>
      </c>
      <c r="K8" s="12" cm="1">
        <f t="array" ref="K8">Bi_Call_Eur($I$1,$I$2,$I$3,$I$4,$I$5,J8)</f>
        <v>24.058416317623294</v>
      </c>
      <c r="L8" s="12" cm="1">
        <f t="array" ref="L8">BSCall($I$1,$I$2,$I$4,$I$5,$I$3)</f>
        <v>23.290127674229865</v>
      </c>
      <c r="M8" s="12" cm="1">
        <f t="array" ref="M8">LeisenReimerTrunc("a","c",$I$1,$I$2,$I$3,$I$4,$I$4,$I$5,J8)</f>
        <v>23.271721928773065</v>
      </c>
      <c r="Q8" s="12">
        <v>7</v>
      </c>
      <c r="R8" s="12" cm="1">
        <f t="array" ref="R8">Bi_Call_Eur($P$1,$P$2,$P$3,$P$4,$P$5,Q8)</f>
        <v>27.356711375385554</v>
      </c>
      <c r="S8" s="12" cm="1">
        <f t="array" ref="S8">BSCall($P$1,$P$2,$P$4,$P$5,$P$3)</f>
        <v>26.501515084741776</v>
      </c>
      <c r="T8" s="12" cm="1">
        <f t="array" ref="T8">LeisenReimerTrunc("a","c",$P$1,$P$2,$P$3,$P$4,$P$4,$P$5,Q8)</f>
        <v>26.480980945029398</v>
      </c>
    </row>
    <row r="9" spans="1:20" x14ac:dyDescent="0.3">
      <c r="C9" s="10">
        <v>8</v>
      </c>
      <c r="D9" s="10" cm="1">
        <f t="array" ref="D9">Bi_Call_Eur($B$1,$B$2,$B$3,$B$4,$B$5,C9)</f>
        <v>8.3156383283357886</v>
      </c>
      <c r="E9" s="10" cm="1">
        <f t="array" ref="E9">BSCall($B$1,$B$2,$B$4,$B$5,$B$3)</f>
        <v>8.4333186901096084</v>
      </c>
      <c r="F9" s="12" cm="1">
        <f t="array" ref="F9">LeisenReimerTrunc("a", "c", $B$1,$B$2,$B$3,$B$4,$B$4,$B$5,C9)</f>
        <v>8.4290713834427908</v>
      </c>
      <c r="J9" s="12">
        <v>8</v>
      </c>
      <c r="K9" s="12" cm="1">
        <f t="array" ref="K9">Bi_Call_Eur($I$1,$I$2,$I$3,$I$4,$I$5,J9)</f>
        <v>22.826324432747025</v>
      </c>
      <c r="L9" s="12" cm="1">
        <f t="array" ref="L9">BSCall($I$1,$I$2,$I$4,$I$5,$I$3)</f>
        <v>23.290127674229865</v>
      </c>
      <c r="M9" s="12" cm="1">
        <f t="array" ref="M9">LeisenReimerTrunc("a","c",$I$1,$I$2,$I$3,$I$4,$I$4,$I$5,J9)</f>
        <v>23.278544419737671</v>
      </c>
      <c r="Q9" s="12">
        <v>8</v>
      </c>
      <c r="R9" s="12" cm="1">
        <f t="array" ref="R9">Bi_Call_Eur($P$1,$P$2,$P$3,$P$4,$P$5,Q9)</f>
        <v>26.008805795171039</v>
      </c>
      <c r="S9" s="12" cm="1">
        <f t="array" ref="S9">BSCall($P$1,$P$2,$P$4,$P$5,$P$3)</f>
        <v>26.501515084741776</v>
      </c>
      <c r="T9" s="12" cm="1">
        <f t="array" ref="T9">LeisenReimerTrunc("a","c",$P$1,$P$2,$P$3,$P$4,$P$4,$P$5,Q9)</f>
        <v>26.488591961448311</v>
      </c>
    </row>
    <row r="10" spans="1:20" x14ac:dyDescent="0.3">
      <c r="C10" s="10">
        <v>9</v>
      </c>
      <c r="D10" s="10" cm="1">
        <f t="array" ref="D10">Bi_Call_Eur($B$1,$B$2,$B$3,$B$4,$B$5,C10)</f>
        <v>8.6447208278529057</v>
      </c>
      <c r="E10" s="10" cm="1">
        <f t="array" ref="E10">BSCall($B$1,$B$2,$B$4,$B$5,$B$3)</f>
        <v>8.4333186901096084</v>
      </c>
      <c r="F10" s="12" cm="1">
        <f t="array" ref="F10">LeisenReimerTrunc("a", "c", $B$1,$B$2,$B$3,$B$4,$B$4,$B$5,C10)</f>
        <v>8.4290713834427908</v>
      </c>
      <c r="J10" s="12">
        <v>9</v>
      </c>
      <c r="K10" s="12" cm="1">
        <f t="array" ref="K10">Bi_Call_Eur($I$1,$I$2,$I$3,$I$4,$I$5,J10)</f>
        <v>23.883833825626461</v>
      </c>
      <c r="L10" s="12" cm="1">
        <f t="array" ref="L10">BSCall($I$1,$I$2,$I$4,$I$5,$I$3)</f>
        <v>23.290127674229865</v>
      </c>
      <c r="M10" s="12" cm="1">
        <f t="array" ref="M10">LeisenReimerTrunc("a","c",$I$1,$I$2,$I$3,$I$4,$I$4,$I$5,J10)</f>
        <v>23.278544419737671</v>
      </c>
      <c r="Q10" s="12">
        <v>9</v>
      </c>
      <c r="R10" s="12" cm="1">
        <f t="array" ref="R10">Bi_Call_Eur($P$1,$P$2,$P$3,$P$4,$P$5,Q10)</f>
        <v>27.161587065147934</v>
      </c>
      <c r="S10" s="12" cm="1">
        <f t="array" ref="S10">BSCall($P$1,$P$2,$P$4,$P$5,$P$3)</f>
        <v>26.501515084741776</v>
      </c>
      <c r="T10" s="12" cm="1">
        <f t="array" ref="T10">LeisenReimerTrunc("a","c",$P$1,$P$2,$P$3,$P$4,$P$4,$P$5,Q10)</f>
        <v>26.488591961448311</v>
      </c>
    </row>
    <row r="11" spans="1:20" x14ac:dyDescent="0.3">
      <c r="C11" s="10">
        <v>10</v>
      </c>
      <c r="D11" s="10" cm="1">
        <f t="array" ref="D11">Bi_Call_Eur($B$1,$B$2,$B$3,$B$4,$B$5,C11)</f>
        <v>8.3499500153194752</v>
      </c>
      <c r="E11" s="10" cm="1">
        <f t="array" ref="E11">BSCall($B$1,$B$2,$B$4,$B$5,$B$3)</f>
        <v>8.4333186901096084</v>
      </c>
      <c r="F11" s="12" cm="1">
        <f t="array" ref="F11">LeisenReimerTrunc("a", "c", $B$1,$B$2,$B$3,$B$4,$B$4,$B$5,C11)</f>
        <v>8.4303997829056119</v>
      </c>
      <c r="J11" s="12">
        <v>10</v>
      </c>
      <c r="K11" s="12" cm="1">
        <f t="array" ref="K11">Bi_Call_Eur($I$1,$I$2,$I$3,$I$4,$I$5,J11)</f>
        <v>22.938159976459303</v>
      </c>
      <c r="L11" s="12" cm="1">
        <f t="array" ref="L11">BSCall($I$1,$I$2,$I$4,$I$5,$I$3)</f>
        <v>23.290127674229865</v>
      </c>
      <c r="M11" s="12" cm="1">
        <f t="array" ref="M11">LeisenReimerTrunc("a","c",$I$1,$I$2,$I$3,$I$4,$I$4,$I$5,J11)</f>
        <v>23.282166608515634</v>
      </c>
      <c r="Q11" s="12">
        <v>10</v>
      </c>
      <c r="R11" s="12" cm="1">
        <f t="array" ref="R11">Bi_Call_Eur($P$1,$P$2,$P$3,$P$4,$P$5,Q11)</f>
        <v>26.131767148560634</v>
      </c>
      <c r="S11" s="12" cm="1">
        <f t="array" ref="S11">BSCall($P$1,$P$2,$P$4,$P$5,$P$3)</f>
        <v>26.501515084741776</v>
      </c>
      <c r="T11" s="12" cm="1">
        <f t="array" ref="T11">LeisenReimerTrunc("a","c",$P$1,$P$2,$P$3,$P$4,$P$4,$P$5,Q11)</f>
        <v>26.492632849268535</v>
      </c>
    </row>
    <row r="12" spans="1:20" x14ac:dyDescent="0.3">
      <c r="C12" s="10">
        <v>11</v>
      </c>
      <c r="D12" s="10" cm="1">
        <f t="array" ref="D12">Bi_Call_Eur($B$1,$B$2,$B$3,$B$4,$B$5,C12)</f>
        <v>8.6041605238417418</v>
      </c>
      <c r="E12" s="10" cm="1">
        <f t="array" ref="E12">BSCall($B$1,$B$2,$B$4,$B$5,$B$3)</f>
        <v>8.4333186901096084</v>
      </c>
      <c r="F12" s="12" cm="1">
        <f t="array" ref="F12">LeisenReimerTrunc("a", "c", $B$1,$B$2,$B$3,$B$4,$B$4,$B$5,C12)</f>
        <v>8.4303997829056119</v>
      </c>
      <c r="J12" s="12">
        <v>11</v>
      </c>
      <c r="K12" s="12" cm="1">
        <f t="array" ref="K12">Bi_Call_Eur($I$1,$I$2,$I$3,$I$4,$I$5,J12)</f>
        <v>23.773105718136804</v>
      </c>
      <c r="L12" s="12" cm="1">
        <f t="array" ref="L12">BSCall($I$1,$I$2,$I$4,$I$5,$I$3)</f>
        <v>23.290127674229865</v>
      </c>
      <c r="M12" s="12" cm="1">
        <f t="array" ref="M12">LeisenReimerTrunc("a","c",$I$1,$I$2,$I$3,$I$4,$I$4,$I$5,J12)</f>
        <v>23.282166608515634</v>
      </c>
      <c r="Q12" s="12">
        <v>11</v>
      </c>
      <c r="R12" s="12" cm="1">
        <f t="array" ref="R12">Bi_Call_Eur($P$1,$P$2,$P$3,$P$4,$P$5,Q12)</f>
        <v>27.037799858656875</v>
      </c>
      <c r="S12" s="12" cm="1">
        <f t="array" ref="S12">BSCall($P$1,$P$2,$P$4,$P$5,$P$3)</f>
        <v>26.501515084741776</v>
      </c>
      <c r="T12" s="12" cm="1">
        <f t="array" ref="T12">LeisenReimerTrunc("a","c",$P$1,$P$2,$P$3,$P$4,$P$4,$P$5,Q12)</f>
        <v>26.492632849268535</v>
      </c>
    </row>
    <row r="13" spans="1:20" x14ac:dyDescent="0.3">
      <c r="C13" s="10">
        <v>12</v>
      </c>
      <c r="D13" s="10" cm="1">
        <f t="array" ref="D13">Bi_Call_Eur($B$1,$B$2,$B$3,$B$4,$B$5,C13)</f>
        <v>8.3719325301950853</v>
      </c>
      <c r="E13" s="10" cm="1">
        <f t="array" ref="E13">BSCall($B$1,$B$2,$B$4,$B$5,$B$3)</f>
        <v>8.4333186901096084</v>
      </c>
      <c r="F13" s="12" cm="1">
        <f t="array" ref="F13">LeisenReimerTrunc("a", "c", $B$1,$B$2,$B$3,$B$4,$B$4,$B$5,C13)</f>
        <v>8.4311892752481352</v>
      </c>
      <c r="J13" s="12">
        <v>12</v>
      </c>
      <c r="K13" s="12" cm="1">
        <f t="array" ref="K13">Bi_Call_Eur($I$1,$I$2,$I$3,$I$4,$I$5,J13)</f>
        <v>23.01142372887093</v>
      </c>
      <c r="L13" s="12" cm="1">
        <f t="array" ref="L13">BSCall($I$1,$I$2,$I$4,$I$5,$I$3)</f>
        <v>23.290127674229865</v>
      </c>
      <c r="M13" s="12" cm="1">
        <f t="array" ref="M13">LeisenReimerTrunc("a","c",$I$1,$I$2,$I$3,$I$4,$I$4,$I$5,J13)</f>
        <v>23.284319481521052</v>
      </c>
      <c r="Q13" s="12">
        <v>12</v>
      </c>
      <c r="R13" s="12" cm="1">
        <f t="array" ref="R13">Bi_Call_Eur($P$1,$P$2,$P$3,$P$4,$P$5,Q13)</f>
        <v>26.211991759703892</v>
      </c>
      <c r="S13" s="12" cm="1">
        <f t="array" ref="S13">BSCall($P$1,$P$2,$P$4,$P$5,$P$3)</f>
        <v>26.501515084741776</v>
      </c>
      <c r="T13" s="12" cm="1">
        <f t="array" ref="T13">LeisenReimerTrunc("a","c",$P$1,$P$2,$P$3,$P$4,$P$4,$P$5,Q13)</f>
        <v>26.495034643836533</v>
      </c>
    </row>
    <row r="14" spans="1:20" x14ac:dyDescent="0.3">
      <c r="C14" s="10">
        <v>13</v>
      </c>
      <c r="D14" s="10" cm="1">
        <f t="array" ref="D14">Bi_Call_Eur($B$1,$B$2,$B$3,$B$4,$B$5,C14)</f>
        <v>8.5761531609566699</v>
      </c>
      <c r="E14" s="10" cm="1">
        <f t="array" ref="E14">BSCall($B$1,$B$2,$B$4,$B$5,$B$3)</f>
        <v>8.4333186901096084</v>
      </c>
      <c r="F14" s="12" cm="1">
        <f t="array" ref="F14">LeisenReimerTrunc("a", "c", $B$1,$B$2,$B$3,$B$4,$B$4,$B$5,C14)</f>
        <v>8.4311892752481352</v>
      </c>
      <c r="J14" s="12">
        <v>13</v>
      </c>
      <c r="K14" s="12" cm="1">
        <f t="array" ref="K14">Bi_Call_Eur($I$1,$I$2,$I$3,$I$4,$I$5,J14)</f>
        <v>23.696630026822042</v>
      </c>
      <c r="L14" s="12" cm="1">
        <f t="array" ref="L14">BSCall($I$1,$I$2,$I$4,$I$5,$I$3)</f>
        <v>23.290127674229865</v>
      </c>
      <c r="M14" s="12" cm="1">
        <f t="array" ref="M14">LeisenReimerTrunc("a","c",$I$1,$I$2,$I$3,$I$4,$I$4,$I$5,J14)</f>
        <v>23.284319481521052</v>
      </c>
      <c r="Q14" s="12">
        <v>13</v>
      </c>
      <c r="R14" s="12" cm="1">
        <f t="array" ref="R14">Bi_Call_Eur($P$1,$P$2,$P$3,$P$4,$P$5,Q14)</f>
        <v>26.952318865837572</v>
      </c>
      <c r="S14" s="12" cm="1">
        <f t="array" ref="S14">BSCall($P$1,$P$2,$P$4,$P$5,$P$3)</f>
        <v>26.501515084741776</v>
      </c>
      <c r="T14" s="12" cm="1">
        <f t="array" ref="T14">LeisenReimerTrunc("a","c",$P$1,$P$2,$P$3,$P$4,$P$4,$P$5,Q14)</f>
        <v>26.495034643836533</v>
      </c>
    </row>
    <row r="15" spans="1:20" x14ac:dyDescent="0.3">
      <c r="C15" s="10">
        <v>14</v>
      </c>
      <c r="D15" s="10" cm="1">
        <f t="array" ref="D15">Bi_Call_Eur($B$1,$B$2,$B$3,$B$4,$B$5,C15)</f>
        <v>8.3870036140042572</v>
      </c>
      <c r="E15" s="10" cm="1">
        <f t="array" ref="E15">BSCall($B$1,$B$2,$B$4,$B$5,$B$3)</f>
        <v>8.4333186901096084</v>
      </c>
      <c r="F15" s="12" cm="1">
        <f t="array" ref="F15">LeisenReimerTrunc("a", "c", $B$1,$B$2,$B$3,$B$4,$B$4,$B$5,C15)</f>
        <v>8.4316966308156438</v>
      </c>
      <c r="J15" s="12">
        <v>14</v>
      </c>
      <c r="K15" s="12" cm="1">
        <f t="array" ref="K15">Bi_Call_Eur($I$1,$I$2,$I$3,$I$4,$I$5,J15)</f>
        <v>23.062797598491258</v>
      </c>
      <c r="L15" s="12" cm="1">
        <f t="array" ref="L15">BSCall($I$1,$I$2,$I$4,$I$5,$I$3)</f>
        <v>23.290127674229865</v>
      </c>
      <c r="M15" s="12" cm="1">
        <f t="array" ref="M15">LeisenReimerTrunc("a","c",$I$1,$I$2,$I$3,$I$4,$I$4,$I$5,J15)</f>
        <v>23.285703087069287</v>
      </c>
      <c r="Q15" s="12">
        <v>14</v>
      </c>
      <c r="R15" s="12" cm="1">
        <f t="array" ref="R15">Bi_Call_Eur($P$1,$P$2,$P$3,$P$4,$P$5,Q15)</f>
        <v>26.268020012156153</v>
      </c>
      <c r="S15" s="12" cm="1">
        <f t="array" ref="S15">BSCall($P$1,$P$2,$P$4,$P$5,$P$3)</f>
        <v>26.501515084741776</v>
      </c>
      <c r="T15" s="12" cm="1">
        <f t="array" ref="T15">LeisenReimerTrunc("a","c",$P$1,$P$2,$P$3,$P$4,$P$4,$P$5,Q15)</f>
        <v>26.49657826959103</v>
      </c>
    </row>
    <row r="16" spans="1:20" x14ac:dyDescent="0.3">
      <c r="C16" s="10">
        <v>15</v>
      </c>
      <c r="D16" s="10" cm="1">
        <f t="array" ref="D16">Bi_Call_Eur($B$1,$B$2,$B$3,$B$4,$B$5,C16)</f>
        <v>8.5556492346671806</v>
      </c>
      <c r="E16" s="10" cm="1">
        <f t="array" ref="E16">BSCall($B$1,$B$2,$B$4,$B$5,$B$3)</f>
        <v>8.4333186901096084</v>
      </c>
      <c r="F16" s="12" cm="1">
        <f t="array" ref="F16">LeisenReimerTrunc("a", "c", $B$1,$B$2,$B$3,$B$4,$B$4,$B$5,C16)</f>
        <v>8.4316966308156438</v>
      </c>
      <c r="J16" s="12">
        <v>15</v>
      </c>
      <c r="K16" s="12" cm="1">
        <f t="array" ref="K16">Bi_Call_Eur($I$1,$I$2,$I$3,$I$4,$I$5,J16)</f>
        <v>23.640645652749065</v>
      </c>
      <c r="L16" s="12" cm="1">
        <f t="array" ref="L16">BSCall($I$1,$I$2,$I$4,$I$5,$I$3)</f>
        <v>23.290127674229865</v>
      </c>
      <c r="M16" s="12" cm="1">
        <f t="array" ref="M16">LeisenReimerTrunc("a","c",$I$1,$I$2,$I$3,$I$4,$I$4,$I$5,J16)</f>
        <v>23.285703087069287</v>
      </c>
      <c r="Q16" s="12">
        <v>15</v>
      </c>
      <c r="R16" s="12" cm="1">
        <f t="array" ref="R16">Bi_Call_Eur($P$1,$P$2,$P$3,$P$4,$P$5,Q16)</f>
        <v>26.889742400150652</v>
      </c>
      <c r="S16" s="12" cm="1">
        <f t="array" ref="S16">BSCall($P$1,$P$2,$P$4,$P$5,$P$3)</f>
        <v>26.501515084741776</v>
      </c>
      <c r="T16" s="12" cm="1">
        <f t="array" ref="T16">LeisenReimerTrunc("a","c",$P$1,$P$2,$P$3,$P$4,$P$4,$P$5,Q16)</f>
        <v>26.49657826959103</v>
      </c>
    </row>
    <row r="17" spans="3:20" x14ac:dyDescent="0.3">
      <c r="C17" s="10">
        <v>16</v>
      </c>
      <c r="D17" s="10" cm="1">
        <f t="array" ref="D17">Bi_Call_Eur($B$1,$B$2,$B$3,$B$4,$B$5,C17)</f>
        <v>8.3978806307281122</v>
      </c>
      <c r="E17" s="10" cm="1">
        <f t="array" ref="E17">BSCall($B$1,$B$2,$B$4,$B$5,$B$3)</f>
        <v>8.4333186901096084</v>
      </c>
      <c r="F17" s="12" cm="1">
        <f t="array" ref="F17">LeisenReimerTrunc("a", "c", $B$1,$B$2,$B$3,$B$4,$B$4,$B$5,C17)</f>
        <v>8.4320419715266883</v>
      </c>
      <c r="J17" s="12">
        <v>16</v>
      </c>
      <c r="K17" s="12" cm="1">
        <f t="array" ref="K17">Bi_Call_Eur($I$1,$I$2,$I$3,$I$4,$I$5,J17)</f>
        <v>23.100652031763833</v>
      </c>
      <c r="L17" s="12" cm="1">
        <f t="array" ref="L17">BSCall($I$1,$I$2,$I$4,$I$5,$I$3)</f>
        <v>23.290127674229865</v>
      </c>
      <c r="M17" s="12" cm="1">
        <f t="array" ref="M17">LeisenReimerTrunc("a","c",$I$1,$I$2,$I$3,$I$4,$I$4,$I$5,J17)</f>
        <v>23.286644922139367</v>
      </c>
      <c r="Q17" s="12">
        <v>16</v>
      </c>
      <c r="R17" s="12" cm="1">
        <f t="array" ref="R17">Bi_Call_Eur($P$1,$P$2,$P$3,$P$4,$P$5,Q17)</f>
        <v>26.309127721034809</v>
      </c>
      <c r="S17" s="12" cm="1">
        <f t="array" ref="S17">BSCall($P$1,$P$2,$P$4,$P$5,$P$3)</f>
        <v>26.501515084741776</v>
      </c>
      <c r="T17" s="12" cm="1">
        <f t="array" ref="T17">LeisenReimerTrunc("a","c",$P$1,$P$2,$P$3,$P$4,$P$4,$P$5,Q17)</f>
        <v>26.497629059649242</v>
      </c>
    </row>
    <row r="18" spans="3:20" x14ac:dyDescent="0.3">
      <c r="C18" s="10">
        <v>17</v>
      </c>
      <c r="D18" s="10" cm="1">
        <f t="array" ref="D18">Bi_Call_Eur($B$1,$B$2,$B$3,$B$4,$B$5,C18)</f>
        <v>8.5400116455310595</v>
      </c>
      <c r="E18" s="10" cm="1">
        <f t="array" ref="E18">BSCall($B$1,$B$2,$B$4,$B$5,$B$3)</f>
        <v>8.4333186901096084</v>
      </c>
      <c r="F18" s="12" cm="1">
        <f t="array" ref="F18">LeisenReimerTrunc("a", "c", $B$1,$B$2,$B$3,$B$4,$B$4,$B$5,C18)</f>
        <v>8.4320419715266883</v>
      </c>
      <c r="J18" s="12">
        <v>17</v>
      </c>
      <c r="K18" s="12" cm="1">
        <f t="array" ref="K18">Bi_Call_Eur($I$1,$I$2,$I$3,$I$4,$I$5,J18)</f>
        <v>23.597920037662551</v>
      </c>
      <c r="L18" s="12" cm="1">
        <f t="array" ref="L18">BSCall($I$1,$I$2,$I$4,$I$5,$I$3)</f>
        <v>23.290127674229865</v>
      </c>
      <c r="M18" s="12" cm="1">
        <f t="array" ref="M18">LeisenReimerTrunc("a","c",$I$1,$I$2,$I$3,$I$4,$I$4,$I$5,J18)</f>
        <v>23.286644922139367</v>
      </c>
      <c r="Q18" s="12">
        <v>17</v>
      </c>
      <c r="R18" s="12" cm="1">
        <f t="array" ref="R18">Bi_Call_Eur($P$1,$P$2,$P$3,$P$4,$P$5,Q18)</f>
        <v>26.841978512289348</v>
      </c>
      <c r="S18" s="12" cm="1">
        <f t="array" ref="S18">BSCall($P$1,$P$2,$P$4,$P$5,$P$3)</f>
        <v>26.501515084741776</v>
      </c>
      <c r="T18" s="12" cm="1">
        <f t="array" ref="T18">LeisenReimerTrunc("a","c",$P$1,$P$2,$P$3,$P$4,$P$4,$P$5,Q18)</f>
        <v>26.497629059649242</v>
      </c>
    </row>
    <row r="19" spans="3:20" x14ac:dyDescent="0.3">
      <c r="C19" s="10">
        <v>18</v>
      </c>
      <c r="D19" s="10" cm="1">
        <f t="array" ref="D19">Bi_Call_Eur($B$1,$B$2,$B$3,$B$4,$B$5,C19)</f>
        <v>8.406021395832985</v>
      </c>
      <c r="E19" s="10" cm="1">
        <f t="array" ref="E19">BSCall($B$1,$B$2,$B$4,$B$5,$B$3)</f>
        <v>8.4333186901096084</v>
      </c>
      <c r="F19" s="12" cm="1">
        <f t="array" ref="F19">LeisenReimerTrunc("a", "c", $B$1,$B$2,$B$3,$B$4,$B$4,$B$5,C19)</f>
        <v>8.4322876414372718</v>
      </c>
      <c r="J19" s="12">
        <v>18</v>
      </c>
      <c r="K19" s="12" cm="1">
        <f t="array" ref="K19">Bi_Call_Eur($I$1,$I$2,$I$3,$I$4,$I$5,J19)</f>
        <v>23.129544241355141</v>
      </c>
      <c r="L19" s="12" cm="1">
        <f t="array" ref="L19">BSCall($I$1,$I$2,$I$4,$I$5,$I$3)</f>
        <v>23.290127674229865</v>
      </c>
      <c r="M19" s="12" cm="1">
        <f t="array" ref="M19">LeisenReimerTrunc("a","c",$I$1,$I$2,$I$3,$I$4,$I$4,$I$5,J19)</f>
        <v>23.287314966138084</v>
      </c>
      <c r="Q19" s="12">
        <v>18</v>
      </c>
      <c r="R19" s="12" cm="1">
        <f t="array" ref="R19">Bi_Call_Eur($P$1,$P$2,$P$3,$P$4,$P$5,Q19)</f>
        <v>26.340410274609976</v>
      </c>
      <c r="S19" s="12" cm="1">
        <f t="array" ref="S19">BSCall($P$1,$P$2,$P$4,$P$5,$P$3)</f>
        <v>26.501515084741776</v>
      </c>
      <c r="T19" s="12" cm="1">
        <f t="array" ref="T19">LeisenReimerTrunc("a","c",$P$1,$P$2,$P$3,$P$4,$P$4,$P$5,Q19)</f>
        <v>26.498376634303131</v>
      </c>
    </row>
    <row r="20" spans="3:20" x14ac:dyDescent="0.3">
      <c r="C20" s="10">
        <v>19</v>
      </c>
      <c r="D20" s="10" cm="1">
        <f t="array" ref="D20">Bi_Call_Eur($B$1,$B$2,$B$3,$B$4,$B$5,C20)</f>
        <v>8.5276683143209961</v>
      </c>
      <c r="E20" s="10" cm="1">
        <f t="array" ref="E20">BSCall($B$1,$B$2,$B$4,$B$5,$B$3)</f>
        <v>8.4333186901096084</v>
      </c>
      <c r="F20" s="12" cm="1">
        <f t="array" ref="F20">LeisenReimerTrunc("a", "c", $B$1,$B$2,$B$3,$B$4,$B$4,$B$5,C20)</f>
        <v>8.4322876414372718</v>
      </c>
      <c r="J20" s="12">
        <v>19</v>
      </c>
      <c r="K20" s="12" cm="1">
        <f t="array" ref="K20">Bi_Call_Eur($I$1,$I$2,$I$3,$I$4,$I$5,J20)</f>
        <v>23.564225141973825</v>
      </c>
      <c r="L20" s="12" cm="1">
        <f t="array" ref="L20">BSCall($I$1,$I$2,$I$4,$I$5,$I$3)</f>
        <v>23.290127674229865</v>
      </c>
      <c r="M20" s="12" cm="1">
        <f t="array" ref="M20">LeisenReimerTrunc("a","c",$I$1,$I$2,$I$3,$I$4,$I$4,$I$5,J20)</f>
        <v>23.287314966138084</v>
      </c>
      <c r="Q20" s="12">
        <v>19</v>
      </c>
      <c r="R20" s="12" cm="1">
        <f t="array" ref="R20">Bi_Call_Eur($P$1,$P$2,$P$3,$P$4,$P$5,Q20)</f>
        <v>26.804303075440771</v>
      </c>
      <c r="S20" s="12" cm="1">
        <f t="array" ref="S20">BSCall($P$1,$P$2,$P$4,$P$5,$P$3)</f>
        <v>26.501515084741776</v>
      </c>
      <c r="T20" s="12" cm="1">
        <f t="array" ref="T20">LeisenReimerTrunc("a","c",$P$1,$P$2,$P$3,$P$4,$P$4,$P$5,Q20)</f>
        <v>26.498376634303131</v>
      </c>
    </row>
    <row r="21" spans="3:20" x14ac:dyDescent="0.3">
      <c r="C21" s="10">
        <v>20</v>
      </c>
      <c r="D21" s="10" cm="1">
        <f t="array" ref="D21">Bi_Call_Eur($B$1,$B$2,$B$3,$B$4,$B$5,C21)</f>
        <v>8.4122624594027133</v>
      </c>
      <c r="E21" s="10" cm="1">
        <f t="array" ref="E21">BSCall($B$1,$B$2,$B$4,$B$5,$B$3)</f>
        <v>8.4333186901096084</v>
      </c>
      <c r="F21" s="12" cm="1">
        <f t="array" ref="F21">LeisenReimerTrunc("a", "c", $B$1,$B$2,$B$3,$B$4,$B$4,$B$5,C21)</f>
        <v>8.4324686288538029</v>
      </c>
      <c r="J21" s="12">
        <v>20</v>
      </c>
      <c r="K21" s="12" cm="1">
        <f t="array" ref="K21">Bi_Call_Eur($I$1,$I$2,$I$3,$I$4,$I$5,J21)</f>
        <v>23.152254236741182</v>
      </c>
      <c r="L21" s="12" cm="1">
        <f t="array" ref="L21">BSCall($I$1,$I$2,$I$4,$I$5,$I$3)</f>
        <v>23.290127674229865</v>
      </c>
      <c r="M21" s="12" cm="1">
        <f t="array" ref="M21">LeisenReimerTrunc("a","c",$I$1,$I$2,$I$3,$I$4,$I$4,$I$5,J21)</f>
        <v>23.28780861840475</v>
      </c>
      <c r="Q21" s="12">
        <v>20</v>
      </c>
      <c r="R21" s="12" cm="1">
        <f t="array" ref="R21">Bi_Call_Eur($P$1,$P$2,$P$3,$P$4,$P$5,Q21)</f>
        <v>26.364886997589839</v>
      </c>
      <c r="S21" s="12" cm="1">
        <f t="array" ref="S21">BSCall($P$1,$P$2,$P$4,$P$5,$P$3)</f>
        <v>26.501515084741776</v>
      </c>
      <c r="T21" s="12" cm="1">
        <f t="array" ref="T21">LeisenReimerTrunc("a","c",$P$1,$P$2,$P$3,$P$4,$P$4,$P$5,Q21)</f>
        <v>26.498927418321163</v>
      </c>
    </row>
    <row r="22" spans="3:20" x14ac:dyDescent="0.3">
      <c r="C22" s="10">
        <v>21</v>
      </c>
      <c r="D22" s="10" cm="1">
        <f t="array" ref="D22">Bi_Call_Eur($B$1,$B$2,$B$3,$B$4,$B$5,C22)</f>
        <v>8.5176901656175321</v>
      </c>
      <c r="E22" s="10" cm="1">
        <f t="array" ref="E22">BSCall($B$1,$B$2,$B$4,$B$5,$B$3)</f>
        <v>8.4333186901096084</v>
      </c>
      <c r="F22" s="12" cm="1">
        <f t="array" ref="F22">LeisenReimerTrunc("a", "c", $B$1,$B$2,$B$3,$B$4,$B$4,$B$5,C22)</f>
        <v>8.4324686288538029</v>
      </c>
      <c r="J22" s="12">
        <v>21</v>
      </c>
      <c r="K22" s="12" cm="1">
        <f t="array" ref="K22">Bi_Call_Eur($I$1,$I$2,$I$3,$I$4,$I$5,J22)</f>
        <v>23.536971249017828</v>
      </c>
      <c r="L22" s="12" cm="1">
        <f t="array" ref="L22">BSCall($I$1,$I$2,$I$4,$I$5,$I$3)</f>
        <v>23.290127674229865</v>
      </c>
      <c r="M22" s="12" cm="1">
        <f t="array" ref="M22">LeisenReimerTrunc("a","c",$I$1,$I$2,$I$3,$I$4,$I$4,$I$5,J22)</f>
        <v>23.28780861840475</v>
      </c>
      <c r="Q22" s="12">
        <v>21</v>
      </c>
      <c r="R22" s="12" cm="1">
        <f t="array" ref="R22">Bi_Call_Eur($P$1,$P$2,$P$3,$P$4,$P$5,Q22)</f>
        <v>26.77383692197062</v>
      </c>
      <c r="S22" s="12" cm="1">
        <f t="array" ref="S22">BSCall($P$1,$P$2,$P$4,$P$5,$P$3)</f>
        <v>26.501515084741776</v>
      </c>
      <c r="T22" s="12" cm="1">
        <f t="array" ref="T22">LeisenReimerTrunc("a","c",$P$1,$P$2,$P$3,$P$4,$P$4,$P$5,Q22)</f>
        <v>26.498927418321163</v>
      </c>
    </row>
    <row r="23" spans="3:20" x14ac:dyDescent="0.3">
      <c r="C23" s="10">
        <v>22</v>
      </c>
      <c r="D23" s="10" cm="1">
        <f t="array" ref="D23">Bi_Call_Eur($B$1,$B$2,$B$3,$B$4,$B$5,C23)</f>
        <v>8.4171939338852511</v>
      </c>
      <c r="E23" s="10" cm="1">
        <f t="array" ref="E23">BSCall($B$1,$B$2,$B$4,$B$5,$B$3)</f>
        <v>8.4333186901096084</v>
      </c>
      <c r="F23" s="12" cm="1">
        <f t="array" ref="F23">LeisenReimerTrunc("a", "c", $B$1,$B$2,$B$3,$B$4,$B$4,$B$5,C23)</f>
        <v>8.432605808162096</v>
      </c>
      <c r="J23" s="12">
        <v>22</v>
      </c>
      <c r="K23" s="12" cm="1">
        <f t="array" ref="K23">Bi_Call_Eur($I$1,$I$2,$I$3,$I$4,$I$5,J23)</f>
        <v>23.170513567716856</v>
      </c>
      <c r="L23" s="12" cm="1">
        <f t="array" ref="L23">BSCall($I$1,$I$2,$I$4,$I$5,$I$3)</f>
        <v>23.290127674229865</v>
      </c>
      <c r="M23" s="12" cm="1">
        <f t="array" ref="M23">LeisenReimerTrunc("a","c",$I$1,$I$2,$I$3,$I$4,$I$4,$I$5,J23)</f>
        <v>23.288182798074317</v>
      </c>
      <c r="Q23" s="12">
        <v>22</v>
      </c>
      <c r="R23" s="12" cm="1">
        <f t="array" ref="R23">Bi_Call_Eur($P$1,$P$2,$P$3,$P$4,$P$5,Q23)</f>
        <v>26.384520270713999</v>
      </c>
      <c r="S23" s="12" cm="1">
        <f t="array" ref="S23">BSCall($P$1,$P$2,$P$4,$P$5,$P$3)</f>
        <v>26.501515084741776</v>
      </c>
      <c r="T23" s="12" cm="1">
        <f t="array" ref="T23">LeisenReimerTrunc("a","c",$P$1,$P$2,$P$3,$P$4,$P$4,$P$5,Q23)</f>
        <v>26.499344910411715</v>
      </c>
    </row>
    <row r="24" spans="3:20" x14ac:dyDescent="0.3">
      <c r="C24" s="10">
        <v>23</v>
      </c>
      <c r="D24" s="10" cm="1">
        <f t="array" ref="D24">Bi_Call_Eur($B$1,$B$2,$B$3,$B$4,$B$5,C24)</f>
        <v>8.509459700404701</v>
      </c>
      <c r="E24" s="10" cm="1">
        <f t="array" ref="E24">BSCall($B$1,$B$2,$B$4,$B$5,$B$3)</f>
        <v>8.4333186901096084</v>
      </c>
      <c r="F24" s="12" cm="1">
        <f t="array" ref="F24">LeisenReimerTrunc("a", "c", $B$1,$B$2,$B$3,$B$4,$B$4,$B$5,C24)</f>
        <v>8.432605808162096</v>
      </c>
      <c r="J24" s="12">
        <v>23</v>
      </c>
      <c r="K24" s="12" cm="1">
        <f t="array" ref="K24">Bi_Call_Eur($I$1,$I$2,$I$3,$I$4,$I$5,J24)</f>
        <v>23.514489590859487</v>
      </c>
      <c r="L24" s="12" cm="1">
        <f t="array" ref="L24">BSCall($I$1,$I$2,$I$4,$I$5,$I$3)</f>
        <v>23.290127674229865</v>
      </c>
      <c r="M24" s="12" cm="1">
        <f t="array" ref="M24">LeisenReimerTrunc("a","c",$I$1,$I$2,$I$3,$I$4,$I$4,$I$5,J24)</f>
        <v>23.288182798074317</v>
      </c>
      <c r="Q24" s="12">
        <v>23</v>
      </c>
      <c r="R24" s="12" cm="1">
        <f t="array" ref="R24">Bi_Call_Eur($P$1,$P$2,$P$3,$P$4,$P$5,Q24)</f>
        <v>26.748687754231103</v>
      </c>
      <c r="S24" s="12" cm="1">
        <f t="array" ref="S24">BSCall($P$1,$P$2,$P$4,$P$5,$P$3)</f>
        <v>26.501515084741776</v>
      </c>
      <c r="T24" s="12" cm="1">
        <f t="array" ref="T24">LeisenReimerTrunc("a","c",$P$1,$P$2,$P$3,$P$4,$P$4,$P$5,Q24)</f>
        <v>26.499344910411715</v>
      </c>
    </row>
    <row r="25" spans="3:20" x14ac:dyDescent="0.3">
      <c r="C25" s="10">
        <v>24</v>
      </c>
      <c r="D25" s="10" cm="1">
        <f t="array" ref="D25">Bi_Call_Eur($B$1,$B$2,$B$3,$B$4,$B$5,C25)</f>
        <v>8.4211472350753755</v>
      </c>
      <c r="E25" s="10" cm="1">
        <f t="array" ref="E25">BSCall($B$1,$B$2,$B$4,$B$5,$B$3)</f>
        <v>8.4333186901096084</v>
      </c>
      <c r="F25" s="12" cm="1">
        <f t="array" ref="F25">LeisenReimerTrunc("a", "c", $B$1,$B$2,$B$3,$B$4,$B$4,$B$5,C25)</f>
        <v>8.4327122618048769</v>
      </c>
      <c r="J25" s="12">
        <v>24</v>
      </c>
      <c r="K25" s="12" cm="1">
        <f t="array" ref="K25">Bi_Call_Eur($I$1,$I$2,$I$3,$I$4,$I$5,J25)</f>
        <v>23.185475336538016</v>
      </c>
      <c r="L25" s="12" cm="1">
        <f t="array" ref="L25">BSCall($I$1,$I$2,$I$4,$I$5,$I$3)</f>
        <v>23.290127674229865</v>
      </c>
      <c r="M25" s="12" cm="1">
        <f t="array" ref="M25">LeisenReimerTrunc("a","c",$I$1,$I$2,$I$3,$I$4,$I$4,$I$5,J25)</f>
        <v>23.288473179412193</v>
      </c>
      <c r="Q25" s="12">
        <v>24</v>
      </c>
      <c r="R25" s="12" cm="1">
        <f t="array" ref="R25">Bi_Call_Eur($P$1,$P$2,$P$3,$P$4,$P$5,Q25)</f>
        <v>26.400514804911769</v>
      </c>
      <c r="S25" s="12" cm="1">
        <f t="array" ref="S25">BSCall($P$1,$P$2,$P$4,$P$5,$P$3)</f>
        <v>26.501515084741776</v>
      </c>
      <c r="T25" s="12" cm="1">
        <f t="array" ref="T25">LeisenReimerTrunc("a","c",$P$1,$P$2,$P$3,$P$4,$P$4,$P$5,Q25)</f>
        <v>26.499668909438483</v>
      </c>
    </row>
    <row r="26" spans="3:20" x14ac:dyDescent="0.3">
      <c r="C26" s="10">
        <v>25</v>
      </c>
      <c r="D26" s="10" cm="1">
        <f t="array" ref="D26">Bi_Call_Eur($B$1,$B$2,$B$3,$B$4,$B$5,C26)</f>
        <v>8.5025426047605226</v>
      </c>
      <c r="E26" s="10" cm="1">
        <f t="array" ref="E26">BSCall($B$1,$B$2,$B$4,$B$5,$B$3)</f>
        <v>8.4333186901096084</v>
      </c>
      <c r="F26" s="12" cm="1">
        <f t="array" ref="F26">LeisenReimerTrunc("a", "c", $B$1,$B$2,$B$3,$B$4,$B$4,$B$5,C26)</f>
        <v>8.4327122618048769</v>
      </c>
      <c r="J26" s="12">
        <v>25</v>
      </c>
      <c r="K26" s="12" cm="1">
        <f t="array" ref="K26">Bi_Call_Eur($I$1,$I$2,$I$3,$I$4,$I$5,J26)</f>
        <v>23.495611850231249</v>
      </c>
      <c r="L26" s="12" cm="1">
        <f t="array" ref="L26">BSCall($I$1,$I$2,$I$4,$I$5,$I$3)</f>
        <v>23.290127674229865</v>
      </c>
      <c r="M26" s="12" cm="1">
        <f t="array" ref="M26">LeisenReimerTrunc("a","c",$I$1,$I$2,$I$3,$I$4,$I$4,$I$5,J26)</f>
        <v>23.288473179412193</v>
      </c>
      <c r="Q26" s="12">
        <v>25</v>
      </c>
      <c r="R26" s="12" cm="1">
        <f t="array" ref="R26">Bi_Call_Eur($P$1,$P$2,$P$3,$P$4,$P$5,Q26)</f>
        <v>26.727582695771279</v>
      </c>
      <c r="S26" s="12" cm="1">
        <f t="array" ref="S26">BSCall($P$1,$P$2,$P$4,$P$5,$P$3)</f>
        <v>26.501515084741776</v>
      </c>
      <c r="T26" s="12" cm="1">
        <f t="array" ref="T26">LeisenReimerTrunc("a","c",$P$1,$P$2,$P$3,$P$4,$P$4,$P$5,Q26)</f>
        <v>26.499668909438483</v>
      </c>
    </row>
    <row r="27" spans="3:20" x14ac:dyDescent="0.3">
      <c r="C27" s="10">
        <v>26</v>
      </c>
      <c r="D27" s="10" cm="1">
        <f t="array" ref="D27">Bi_Call_Eur($B$1,$B$2,$B$3,$B$4,$B$5,C27)</f>
        <v>8.4243489667827074</v>
      </c>
      <c r="E27" s="10" cm="1">
        <f t="array" ref="E27">BSCall($B$1,$B$2,$B$4,$B$5,$B$3)</f>
        <v>8.4333186901096084</v>
      </c>
      <c r="F27" s="12" cm="1">
        <f t="array" ref="F27">LeisenReimerTrunc("a", "c", $B$1,$B$2,$B$3,$B$4,$B$4,$B$5,C27)</f>
        <v>8.4327965280501456</v>
      </c>
      <c r="J27" s="12">
        <v>26</v>
      </c>
      <c r="K27" s="12" cm="1">
        <f t="array" ref="K27">Bi_Call_Eur($I$1,$I$2,$I$3,$I$4,$I$5,J27)</f>
        <v>23.197923496018934</v>
      </c>
      <c r="L27" s="12" cm="1">
        <f t="array" ref="L27">BSCall($I$1,$I$2,$I$4,$I$5,$I$3)</f>
        <v>23.290127674229865</v>
      </c>
      <c r="M27" s="12" cm="1">
        <f t="array" ref="M27">LeisenReimerTrunc("a","c",$I$1,$I$2,$I$3,$I$4,$I$4,$I$5,J27)</f>
        <v>23.288703046347791</v>
      </c>
      <c r="Q27" s="12">
        <v>26</v>
      </c>
      <c r="R27" s="12" cm="1">
        <f t="array" ref="R27">Bi_Call_Eur($P$1,$P$2,$P$3,$P$4,$P$5,Q27)</f>
        <v>26.413808234965437</v>
      </c>
      <c r="S27" s="12" cm="1">
        <f t="array" ref="S27">BSCall($P$1,$P$2,$P$4,$P$5,$P$3)</f>
        <v>26.501515084741776</v>
      </c>
      <c r="T27" s="12" cm="1">
        <f t="array" ref="T27">LeisenReimerTrunc("a","c",$P$1,$P$2,$P$3,$P$4,$P$4,$P$5,Q27)</f>
        <v>26.499925391889061</v>
      </c>
    </row>
    <row r="28" spans="3:20" x14ac:dyDescent="0.3">
      <c r="C28" s="10">
        <v>27</v>
      </c>
      <c r="D28" s="10" cm="1">
        <f t="array" ref="D28">Bi_Call_Eur($B$1,$B$2,$B$3,$B$4,$B$5,C28)</f>
        <v>8.496660328223955</v>
      </c>
      <c r="E28" s="10" cm="1">
        <f t="array" ref="E28">BSCall($B$1,$B$2,$B$4,$B$5,$B$3)</f>
        <v>8.4333186901096084</v>
      </c>
      <c r="F28" s="12" cm="1">
        <f t="array" ref="F28">LeisenReimerTrunc("a", "c", $B$1,$B$2,$B$3,$B$4,$B$4,$B$5,C28)</f>
        <v>8.4327965280501456</v>
      </c>
      <c r="J28" s="12">
        <v>27</v>
      </c>
      <c r="K28" s="12" cm="1">
        <f t="array" ref="K28">Bi_Call_Eur($I$1,$I$2,$I$3,$I$4,$I$5,J28)</f>
        <v>23.479531232510716</v>
      </c>
      <c r="L28" s="12" cm="1">
        <f t="array" ref="L28">BSCall($I$1,$I$2,$I$4,$I$5,$I$3)</f>
        <v>23.290127674229865</v>
      </c>
      <c r="M28" s="12" cm="1">
        <f t="array" ref="M28">LeisenReimerTrunc("a","c",$I$1,$I$2,$I$3,$I$4,$I$4,$I$5,J28)</f>
        <v>23.288703046347791</v>
      </c>
      <c r="Q28" s="12">
        <v>27</v>
      </c>
      <c r="R28" s="12" cm="1">
        <f t="array" ref="R28">Bi_Call_Eur($P$1,$P$2,$P$3,$P$4,$P$5,Q28)</f>
        <v>26.709621986700157</v>
      </c>
      <c r="S28" s="12" cm="1">
        <f t="array" ref="S28">BSCall($P$1,$P$2,$P$4,$P$5,$P$3)</f>
        <v>26.501515084741776</v>
      </c>
      <c r="T28" s="12" cm="1">
        <f t="array" ref="T28">LeisenReimerTrunc("a","c",$P$1,$P$2,$P$3,$P$4,$P$4,$P$5,Q28)</f>
        <v>26.499925391889061</v>
      </c>
    </row>
    <row r="29" spans="3:20" x14ac:dyDescent="0.3">
      <c r="C29" s="10">
        <v>28</v>
      </c>
      <c r="D29" s="10" cm="1">
        <f t="array" ref="D29">Bi_Call_Eur($B$1,$B$2,$B$3,$B$4,$B$5,C29)</f>
        <v>8.4269945732043734</v>
      </c>
      <c r="E29" s="10" cm="1">
        <f t="array" ref="E29">BSCall($B$1,$B$2,$B$4,$B$5,$B$3)</f>
        <v>8.4333186901096084</v>
      </c>
      <c r="F29" s="12" cm="1">
        <f t="array" ref="F29">LeisenReimerTrunc("a", "c", $B$1,$B$2,$B$3,$B$4,$B$4,$B$5,C29)</f>
        <v>8.4328643720311707</v>
      </c>
      <c r="J29" s="12">
        <v>28</v>
      </c>
      <c r="K29" s="12" cm="1">
        <f t="array" ref="K29">Bi_Call_Eur($I$1,$I$2,$I$3,$I$4,$I$5,J29)</f>
        <v>23.208413667519782</v>
      </c>
      <c r="L29" s="12" cm="1">
        <f t="array" ref="L29">BSCall($I$1,$I$2,$I$4,$I$5,$I$3)</f>
        <v>23.290127674229865</v>
      </c>
      <c r="M29" s="12" cm="1">
        <f t="array" ref="M29">LeisenReimerTrunc("a","c",$I$1,$I$2,$I$3,$I$4,$I$4,$I$5,J29)</f>
        <v>23.288888121134359</v>
      </c>
      <c r="Q29" s="12">
        <v>28</v>
      </c>
      <c r="R29" s="12" cm="1">
        <f t="array" ref="R29">Bi_Call_Eur($P$1,$P$2,$P$3,$P$4,$P$5,Q29)</f>
        <v>26.424951744902753</v>
      </c>
      <c r="S29" s="12" cm="1">
        <f t="array" ref="S29">BSCall($P$1,$P$2,$P$4,$P$5,$P$3)</f>
        <v>26.501515084741776</v>
      </c>
      <c r="T29" s="12" cm="1">
        <f t="array" ref="T29">LeisenReimerTrunc("a","c",$P$1,$P$2,$P$3,$P$4,$P$4,$P$5,Q29)</f>
        <v>26.500131898456786</v>
      </c>
    </row>
    <row r="30" spans="3:20" x14ac:dyDescent="0.3">
      <c r="C30" s="10">
        <v>29</v>
      </c>
      <c r="D30" s="10" cm="1">
        <f t="array" ref="D30">Bi_Call_Eur($B$1,$B$2,$B$3,$B$4,$B$5,C30)</f>
        <v>8.4915928847595357</v>
      </c>
      <c r="E30" s="10" cm="1">
        <f t="array" ref="E30">BSCall($B$1,$B$2,$B$4,$B$5,$B$3)</f>
        <v>8.4333186901096084</v>
      </c>
      <c r="F30" s="12" cm="1">
        <f t="array" ref="F30">LeisenReimerTrunc("a", "c", $B$1,$B$2,$B$3,$B$4,$B$4,$B$5,C30)</f>
        <v>8.4328643720311707</v>
      </c>
      <c r="J30" s="12">
        <v>29</v>
      </c>
      <c r="K30" s="12" cm="1">
        <f t="array" ref="K30">Bi_Call_Eur($I$1,$I$2,$I$3,$I$4,$I$5,J30)</f>
        <v>23.465694021268298</v>
      </c>
      <c r="L30" s="12" cm="1">
        <f t="array" ref="L30">BSCall($I$1,$I$2,$I$4,$I$5,$I$3)</f>
        <v>23.290127674229865</v>
      </c>
      <c r="M30" s="12" cm="1">
        <f t="array" ref="M30">LeisenReimerTrunc("a","c",$I$1,$I$2,$I$3,$I$4,$I$4,$I$5,J30)</f>
        <v>23.288888121134359</v>
      </c>
      <c r="Q30" s="12">
        <v>29</v>
      </c>
      <c r="R30" s="12" cm="1">
        <f t="array" ref="R30">Bi_Call_Eur($P$1,$P$2,$P$3,$P$4,$P$5,Q30)</f>
        <v>26.694138871926107</v>
      </c>
      <c r="S30" s="12" cm="1">
        <f t="array" ref="S30">BSCall($P$1,$P$2,$P$4,$P$5,$P$3)</f>
        <v>26.501515084741776</v>
      </c>
      <c r="T30" s="12" cm="1">
        <f t="array" ref="T30">LeisenReimerTrunc("a","c",$P$1,$P$2,$P$3,$P$4,$P$4,$P$5,Q30)</f>
        <v>26.500131898456786</v>
      </c>
    </row>
    <row r="31" spans="3:20" x14ac:dyDescent="0.3">
      <c r="C31" s="10">
        <v>30</v>
      </c>
      <c r="D31" s="10" cm="1">
        <f t="array" ref="D31">Bi_Call_Eur($B$1,$B$2,$B$3,$B$4,$B$5,C31)</f>
        <v>8.4292068024731535</v>
      </c>
      <c r="E31" s="10" cm="1">
        <f t="array" ref="E31">BSCall($B$1,$B$2,$B$4,$B$5,$B$3)</f>
        <v>8.4333186901096084</v>
      </c>
      <c r="F31" s="12" cm="1">
        <f t="array" ref="F31">LeisenReimerTrunc("a", "c", $B$1,$B$2,$B$3,$B$4,$B$4,$B$5,C31)</f>
        <v>8.4329198006298984</v>
      </c>
      <c r="J31" s="12">
        <v>30</v>
      </c>
      <c r="K31" s="12" cm="1">
        <f t="array" ref="K31">Bi_Call_Eur($I$1,$I$2,$I$3,$I$4,$I$5,J31)</f>
        <v>23.217351149855823</v>
      </c>
      <c r="L31" s="12" cm="1">
        <f t="array" ref="L31">BSCall($I$1,$I$2,$I$4,$I$5,$I$3)</f>
        <v>23.290127674229865</v>
      </c>
      <c r="M31" s="12" cm="1">
        <f t="array" ref="M31">LeisenReimerTrunc("a","c",$I$1,$I$2,$I$3,$I$4,$I$4,$I$5,J31)</f>
        <v>23.289039331482044</v>
      </c>
      <c r="Q31" s="12">
        <v>30</v>
      </c>
      <c r="R31" s="12" cm="1">
        <f t="array" ref="R31">Bi_Call_Eur($P$1,$P$2,$P$3,$P$4,$P$5,Q31)</f>
        <v>26.434413231600494</v>
      </c>
      <c r="S31" s="12" cm="1">
        <f t="array" ref="S31">BSCall($P$1,$P$2,$P$4,$P$5,$P$3)</f>
        <v>26.501515084741776</v>
      </c>
      <c r="T31" s="12" cm="1">
        <f t="array" ref="T31">LeisenReimerTrunc("a","c",$P$1,$P$2,$P$3,$P$4,$P$4,$P$5,Q31)</f>
        <v>26.500300620958555</v>
      </c>
    </row>
    <row r="32" spans="3:20" x14ac:dyDescent="0.3">
      <c r="C32" s="10">
        <v>31</v>
      </c>
      <c r="D32" s="10" cm="1">
        <f t="array" ref="D32">Bi_Call_Eur($B$1,$B$2,$B$3,$B$4,$B$5,C32)</f>
        <v>8.4871788253900551</v>
      </c>
      <c r="E32" s="10" cm="1">
        <f t="array" ref="E32">BSCall($B$1,$B$2,$B$4,$B$5,$B$3)</f>
        <v>8.4333186901096084</v>
      </c>
      <c r="F32" s="12" cm="1">
        <f t="array" ref="F32">LeisenReimerTrunc("a", "c", $B$1,$B$2,$B$3,$B$4,$B$4,$B$5,C32)</f>
        <v>8.4329198006298984</v>
      </c>
      <c r="J32" s="12">
        <v>31</v>
      </c>
      <c r="K32" s="12" cm="1">
        <f t="array" ref="K32">Bi_Call_Eur($I$1,$I$2,$I$3,$I$4,$I$5,J32)</f>
        <v>23.453626422676816</v>
      </c>
      <c r="L32" s="12" cm="1">
        <f t="array" ref="L32">BSCall($I$1,$I$2,$I$4,$I$5,$I$3)</f>
        <v>23.290127674229865</v>
      </c>
      <c r="M32" s="12" cm="1">
        <f t="array" ref="M32">LeisenReimerTrunc("a","c",$I$1,$I$2,$I$3,$I$4,$I$4,$I$5,J32)</f>
        <v>23.289039331482044</v>
      </c>
      <c r="Q32" s="12">
        <v>31</v>
      </c>
      <c r="R32" s="12" cm="1">
        <f t="array" ref="R32">Bi_Call_Eur($P$1,$P$2,$P$3,$P$4,$P$5,Q32)</f>
        <v>26.68066550389322</v>
      </c>
      <c r="S32" s="12" cm="1">
        <f t="array" ref="S32">BSCall($P$1,$P$2,$P$4,$P$5,$P$3)</f>
        <v>26.501515084741776</v>
      </c>
      <c r="T32" s="12" cm="1">
        <f t="array" ref="T32">LeisenReimerTrunc("a","c",$P$1,$P$2,$P$3,$P$4,$P$4,$P$5,Q32)</f>
        <v>26.500300620958555</v>
      </c>
    </row>
    <row r="33" spans="3:20" x14ac:dyDescent="0.3">
      <c r="C33" s="10">
        <v>32</v>
      </c>
      <c r="D33" s="10" cm="1">
        <f t="array" ref="D33">Bi_Call_Eur($B$1,$B$2,$B$3,$B$4,$B$5,C33)</f>
        <v>8.4310668466488643</v>
      </c>
      <c r="E33" s="10" cm="1">
        <f t="array" ref="E33">BSCall($B$1,$B$2,$B$4,$B$5,$B$3)</f>
        <v>8.4333186901096084</v>
      </c>
      <c r="F33" s="12" cm="1">
        <f t="array" ref="F33">LeisenReimerTrunc("a", "c", $B$1,$B$2,$B$3,$B$4,$B$4,$B$5,C33)</f>
        <v>8.4329656689516561</v>
      </c>
      <c r="J33" s="12">
        <v>32</v>
      </c>
      <c r="K33" s="12" cm="1">
        <f t="array" ref="K33">Bi_Call_Eur($I$1,$I$2,$I$3,$I$4,$I$5,J33)</f>
        <v>23.225046094924249</v>
      </c>
      <c r="L33" s="12" cm="1">
        <f t="array" ref="L33">BSCall($I$1,$I$2,$I$4,$I$5,$I$3)</f>
        <v>23.290127674229865</v>
      </c>
      <c r="M33" s="12" cm="1">
        <f t="array" ref="M33">LeisenReimerTrunc("a","c",$I$1,$I$2,$I$3,$I$4,$I$4,$I$5,J33)</f>
        <v>23.289164464223585</v>
      </c>
      <c r="Q33" s="12">
        <v>32</v>
      </c>
      <c r="R33" s="12" cm="1">
        <f t="array" ref="R33">Bi_Call_Eur($P$1,$P$2,$P$3,$P$4,$P$5,Q33)</f>
        <v>26.442537419513755</v>
      </c>
      <c r="S33" s="12" cm="1">
        <f t="array" ref="S33">BSCall($P$1,$P$2,$P$4,$P$5,$P$3)</f>
        <v>26.501515084741776</v>
      </c>
      <c r="T33" s="12" cm="1">
        <f t="array" ref="T33">LeisenReimerTrunc("a","c",$P$1,$P$2,$P$3,$P$4,$P$4,$P$5,Q33)</f>
        <v>26.500440247133493</v>
      </c>
    </row>
    <row r="34" spans="3:20" x14ac:dyDescent="0.3">
      <c r="C34" s="10">
        <v>33</v>
      </c>
      <c r="D34" s="10" cm="1">
        <f t="array" ref="D34">Bi_Call_Eur($B$1,$B$2,$B$3,$B$4,$B$5,C34)</f>
        <v>8.4833010509141928</v>
      </c>
      <c r="E34" s="10" cm="1">
        <f t="array" ref="E34">BSCall($B$1,$B$2,$B$4,$B$5,$B$3)</f>
        <v>8.4333186901096084</v>
      </c>
      <c r="F34" s="12" cm="1">
        <f t="array" ref="F34">LeisenReimerTrunc("a", "c", $B$1,$B$2,$B$3,$B$4,$B$4,$B$5,C34)</f>
        <v>8.4329656689516561</v>
      </c>
      <c r="J34" s="12">
        <v>33</v>
      </c>
      <c r="K34" s="12" cm="1">
        <f t="array" ref="K34">Bi_Call_Eur($I$1,$I$2,$I$3,$I$4,$I$5,J34)</f>
        <v>23.443056336539588</v>
      </c>
      <c r="L34" s="12" cm="1">
        <f t="array" ref="L34">BSCall($I$1,$I$2,$I$4,$I$5,$I$3)</f>
        <v>23.290127674229865</v>
      </c>
      <c r="M34" s="12" cm="1">
        <f t="array" ref="M34">LeisenReimerTrunc("a","c",$I$1,$I$2,$I$3,$I$4,$I$4,$I$5,J34)</f>
        <v>23.289164464223585</v>
      </c>
      <c r="Q34" s="12">
        <v>33</v>
      </c>
      <c r="R34" s="12" cm="1">
        <f t="array" ref="R34">Bi_Call_Eur($P$1,$P$2,$P$3,$P$4,$P$5,Q34)</f>
        <v>26.66882871214758</v>
      </c>
      <c r="S34" s="12" cm="1">
        <f t="array" ref="S34">BSCall($P$1,$P$2,$P$4,$P$5,$P$3)</f>
        <v>26.501515084741776</v>
      </c>
      <c r="T34" s="12" cm="1">
        <f t="array" ref="T34">LeisenReimerTrunc("a","c",$P$1,$P$2,$P$3,$P$4,$P$4,$P$5,Q34)</f>
        <v>26.500440247133493</v>
      </c>
    </row>
    <row r="35" spans="3:20" x14ac:dyDescent="0.3">
      <c r="C35" s="10">
        <v>34</v>
      </c>
      <c r="D35" s="10" cm="1">
        <f t="array" ref="D35">Bi_Call_Eur($B$1,$B$2,$B$3,$B$4,$B$5,C35)</f>
        <v>8.4326285251945148</v>
      </c>
      <c r="E35" s="10" cm="1">
        <f t="array" ref="E35">BSCall($B$1,$B$2,$B$4,$B$5,$B$3)</f>
        <v>8.4333186901096084</v>
      </c>
      <c r="F35" s="12" cm="1">
        <f t="array" ref="F35">LeisenReimerTrunc("a", "c", $B$1,$B$2,$B$3,$B$4,$B$4,$B$5,C35)</f>
        <v>8.4330040560184933</v>
      </c>
      <c r="J35" s="12">
        <v>34</v>
      </c>
      <c r="K35" s="12" cm="1">
        <f t="array" ref="K35">Bi_Call_Eur($I$1,$I$2,$I$3,$I$4,$I$5,J35)</f>
        <v>23.231734459078485</v>
      </c>
      <c r="L35" s="12" cm="1">
        <f t="array" ref="L35">BSCall($I$1,$I$2,$I$4,$I$5,$I$3)</f>
        <v>23.290127674229865</v>
      </c>
      <c r="M35" s="12" cm="1">
        <f t="array" ref="M35">LeisenReimerTrunc("a","c",$I$1,$I$2,$I$3,$I$4,$I$4,$I$5,J35)</f>
        <v>23.289269189734945</v>
      </c>
      <c r="Q35" s="12">
        <v>34</v>
      </c>
      <c r="R35" s="12" cm="1">
        <f t="array" ref="R35">Bi_Call_Eur($P$1,$P$2,$P$3,$P$4,$P$5,Q35)</f>
        <v>26.449583795533943</v>
      </c>
      <c r="S35" s="12" cm="1">
        <f t="array" ref="S35">BSCall($P$1,$P$2,$P$4,$P$5,$P$3)</f>
        <v>26.501515084741776</v>
      </c>
      <c r="T35" s="12" cm="1">
        <f t="array" ref="T35">LeisenReimerTrunc("a","c",$P$1,$P$2,$P$3,$P$4,$P$4,$P$5,Q35)</f>
        <v>26.500557103487747</v>
      </c>
    </row>
    <row r="36" spans="3:20" x14ac:dyDescent="0.3">
      <c r="C36" s="10">
        <v>35</v>
      </c>
      <c r="D36" s="10" cm="1">
        <f t="array" ref="D36">Bi_Call_Eur($B$1,$B$2,$B$3,$B$4,$B$5,C36)</f>
        <v>8.4798774356366309</v>
      </c>
      <c r="E36" s="10" cm="1">
        <f t="array" ref="E36">BSCall($B$1,$B$2,$B$4,$B$5,$B$3)</f>
        <v>8.4333186901096084</v>
      </c>
      <c r="F36" s="12" cm="1">
        <f t="array" ref="F36">LeisenReimerTrunc("a", "c", $B$1,$B$2,$B$3,$B$4,$B$4,$B$5,C36)</f>
        <v>8.4330040560184933</v>
      </c>
      <c r="J36" s="12">
        <v>35</v>
      </c>
      <c r="K36" s="12" cm="1">
        <f t="array" ref="K36">Bi_Call_Eur($I$1,$I$2,$I$3,$I$4,$I$5,J36)</f>
        <v>23.433669790748642</v>
      </c>
      <c r="L36" s="12" cm="1">
        <f t="array" ref="L36">BSCall($I$1,$I$2,$I$4,$I$5,$I$3)</f>
        <v>23.290127674229865</v>
      </c>
      <c r="M36" s="12" cm="1">
        <f t="array" ref="M36">LeisenReimerTrunc("a","c",$I$1,$I$2,$I$3,$I$4,$I$4,$I$5,J36)</f>
        <v>23.289269189734945</v>
      </c>
      <c r="Q36" s="12">
        <v>35</v>
      </c>
      <c r="R36" s="12" cm="1">
        <f t="array" ref="R36">Bi_Call_Eur($P$1,$P$2,$P$3,$P$4,$P$5,Q36)</f>
        <v>26.658334902626365</v>
      </c>
      <c r="S36" s="12" cm="1">
        <f t="array" ref="S36">BSCall($P$1,$P$2,$P$4,$P$5,$P$3)</f>
        <v>26.501515084741776</v>
      </c>
      <c r="T36" s="12" cm="1">
        <f t="array" ref="T36">LeisenReimerTrunc("a","c",$P$1,$P$2,$P$3,$P$4,$P$4,$P$5,Q36)</f>
        <v>26.500557103487747</v>
      </c>
    </row>
    <row r="37" spans="3:20" x14ac:dyDescent="0.3">
      <c r="C37" s="10">
        <v>36</v>
      </c>
      <c r="D37" s="10" cm="1">
        <f t="array" ref="D37">Bi_Call_Eur($B$1,$B$2,$B$3,$B$4,$B$5,C37)</f>
        <v>8.4339919354199715</v>
      </c>
      <c r="E37" s="10" cm="1">
        <f t="array" ref="E37">BSCall($B$1,$B$2,$B$4,$B$5,$B$3)</f>
        <v>8.4333186901096084</v>
      </c>
      <c r="F37" s="12" cm="1">
        <f t="array" ref="F37">LeisenReimerTrunc("a", "c", $B$1,$B$2,$B$3,$B$4,$B$4,$B$5,C37)</f>
        <v>8.4330365048567586</v>
      </c>
      <c r="J37" s="12">
        <v>36</v>
      </c>
      <c r="K37" s="12" cm="1">
        <f t="array" ref="K37">Bi_Call_Eur($I$1,$I$2,$I$3,$I$4,$I$5,J37)</f>
        <v>23.237583689630519</v>
      </c>
      <c r="L37" s="12" cm="1">
        <f t="array" ref="L37">BSCall($I$1,$I$2,$I$4,$I$5,$I$3)</f>
        <v>23.290127674229865</v>
      </c>
      <c r="M37" s="12" cm="1">
        <f t="array" ref="M37">LeisenReimerTrunc("a","c",$I$1,$I$2,$I$3,$I$4,$I$4,$I$5,J37)</f>
        <v>23.289357716643931</v>
      </c>
      <c r="Q37" s="12">
        <v>36</v>
      </c>
      <c r="R37" s="12" cm="1">
        <f t="array" ref="R37">Bi_Call_Eur($P$1,$P$2,$P$3,$P$4,$P$5,Q37)</f>
        <v>26.455702027870906</v>
      </c>
      <c r="S37" s="12" cm="1">
        <f t="array" ref="S37">BSCall($P$1,$P$2,$P$4,$P$5,$P$3)</f>
        <v>26.501515084741776</v>
      </c>
      <c r="T37" s="12" cm="1">
        <f t="array" ref="T37">LeisenReimerTrunc("a","c",$P$1,$P$2,$P$3,$P$4,$P$4,$P$5,Q37)</f>
        <v>26.500655885696137</v>
      </c>
    </row>
    <row r="38" spans="3:20" x14ac:dyDescent="0.3">
      <c r="C38" s="10">
        <v>37</v>
      </c>
      <c r="D38" s="10" cm="1">
        <f t="array" ref="D38">Bi_Call_Eur($B$1,$B$2,$B$3,$B$4,$B$5,C38)</f>
        <v>8.4768145002257373</v>
      </c>
      <c r="E38" s="10" cm="1">
        <f t="array" ref="E38">BSCall($B$1,$B$2,$B$4,$B$5,$B$3)</f>
        <v>8.4333186901096084</v>
      </c>
      <c r="F38" s="12" cm="1">
        <f t="array" ref="F38">LeisenReimerTrunc("a", "c", $B$1,$B$2,$B$3,$B$4,$B$4,$B$5,C38)</f>
        <v>8.4330365048567586</v>
      </c>
      <c r="J38" s="12">
        <v>37</v>
      </c>
      <c r="K38" s="12" cm="1">
        <f t="array" ref="K38">Bi_Call_Eur($I$1,$I$2,$I$3,$I$4,$I$5,J38)</f>
        <v>23.42530885950983</v>
      </c>
      <c r="L38" s="12" cm="1">
        <f t="array" ref="L38">BSCall($I$1,$I$2,$I$4,$I$5,$I$3)</f>
        <v>23.290127674229865</v>
      </c>
      <c r="M38" s="12" cm="1">
        <f t="array" ref="M38">LeisenReimerTrunc("a","c",$I$1,$I$2,$I$3,$I$4,$I$4,$I$5,J38)</f>
        <v>23.289357716643931</v>
      </c>
      <c r="Q38" s="12">
        <v>37</v>
      </c>
      <c r="R38" s="12" cm="1">
        <f t="array" ref="R38">Bi_Call_Eur($P$1,$P$2,$P$3,$P$4,$P$5,Q38)</f>
        <v>26.649002218871559</v>
      </c>
      <c r="S38" s="12" cm="1">
        <f t="array" ref="S38">BSCall($P$1,$P$2,$P$4,$P$5,$P$3)</f>
        <v>26.501515084741776</v>
      </c>
      <c r="T38" s="12" cm="1">
        <f t="array" ref="T38">LeisenReimerTrunc("a","c",$P$1,$P$2,$P$3,$P$4,$P$4,$P$5,Q38)</f>
        <v>26.500655885696137</v>
      </c>
    </row>
    <row r="39" spans="3:20" x14ac:dyDescent="0.3">
      <c r="C39" s="10">
        <v>38</v>
      </c>
      <c r="D39" s="10" cm="1">
        <f t="array" ref="D39">Bi_Call_Eur($B$1,$B$2,$B$3,$B$4,$B$5,C39)</f>
        <v>8.4351287322838377</v>
      </c>
      <c r="E39" s="10" cm="1">
        <f t="array" ref="E39">BSCall($B$1,$B$2,$B$4,$B$5,$B$3)</f>
        <v>8.4333186901096084</v>
      </c>
      <c r="F39" s="12" cm="1">
        <f t="array" ref="F39">LeisenReimerTrunc("a", "c", $B$1,$B$2,$B$3,$B$4,$B$4,$B$5,C39)</f>
        <v>8.4330641801908399</v>
      </c>
      <c r="J39" s="12">
        <v>38</v>
      </c>
      <c r="K39" s="12" cm="1">
        <f t="array" ref="K39">Bi_Call_Eur($I$1,$I$2,$I$3,$I$4,$I$5,J39)</f>
        <v>23.242732682894214</v>
      </c>
      <c r="L39" s="12" cm="1">
        <f t="array" ref="L39">BSCall($I$1,$I$2,$I$4,$I$5,$I$3)</f>
        <v>23.290127674229865</v>
      </c>
      <c r="M39" s="12" cm="1">
        <f t="array" ref="M39">LeisenReimerTrunc("a","c",$I$1,$I$2,$I$3,$I$4,$I$4,$I$5,J39)</f>
        <v>23.289433221839445</v>
      </c>
      <c r="Q39" s="12">
        <v>38</v>
      </c>
      <c r="R39" s="12" cm="1">
        <f t="array" ref="R39">Bi_Call_Eur($P$1,$P$2,$P$3,$P$4,$P$5,Q39)</f>
        <v>26.461064483535374</v>
      </c>
      <c r="S39" s="12" cm="1">
        <f t="array" ref="S39">BSCall($P$1,$P$2,$P$4,$P$5,$P$3)</f>
        <v>26.501515084741776</v>
      </c>
      <c r="T39" s="12" cm="1">
        <f t="array" ref="T39">LeisenReimerTrunc("a","c",$P$1,$P$2,$P$3,$P$4,$P$4,$P$5,Q39)</f>
        <v>26.50074013833877</v>
      </c>
    </row>
    <row r="40" spans="3:20" x14ac:dyDescent="0.3">
      <c r="C40" s="10">
        <v>39</v>
      </c>
      <c r="D40" s="10" cm="1">
        <f t="array" ref="D40">Bi_Call_Eur($B$1,$B$2,$B$3,$B$4,$B$5,C40)</f>
        <v>8.4740669226870384</v>
      </c>
      <c r="E40" s="10" cm="1">
        <f t="array" ref="E40">BSCall($B$1,$B$2,$B$4,$B$5,$B$3)</f>
        <v>8.4333186901096084</v>
      </c>
      <c r="F40" s="12" cm="1">
        <f t="array" ref="F40">LeisenReimerTrunc("a", "c", $B$1,$B$2,$B$3,$B$4,$B$4,$B$5,C40)</f>
        <v>8.4330641801908399</v>
      </c>
      <c r="J40" s="12">
        <v>39</v>
      </c>
      <c r="K40" s="12" cm="1">
        <f t="array" ref="K40">Bi_Call_Eur($I$1,$I$2,$I$3,$I$4,$I$5,J40)</f>
        <v>23.417825118937625</v>
      </c>
      <c r="L40" s="12" cm="1">
        <f t="array" ref="L40">BSCall($I$1,$I$2,$I$4,$I$5,$I$3)</f>
        <v>23.290127674229865</v>
      </c>
      <c r="M40" s="12" cm="1">
        <f t="array" ref="M40">LeisenReimerTrunc("a","c",$I$1,$I$2,$I$3,$I$4,$I$4,$I$5,J40)</f>
        <v>23.289433221839445</v>
      </c>
      <c r="Q40" s="12">
        <v>39</v>
      </c>
      <c r="R40" s="12" cm="1">
        <f t="array" ref="R40">Bi_Call_Eur($P$1,$P$2,$P$3,$P$4,$P$5,Q40)</f>
        <v>26.640605273440094</v>
      </c>
      <c r="S40" s="12" cm="1">
        <f t="array" ref="S40">BSCall($P$1,$P$2,$P$4,$P$5,$P$3)</f>
        <v>26.501515084741776</v>
      </c>
      <c r="T40" s="12" cm="1">
        <f t="array" ref="T40">LeisenReimerTrunc("a","c",$P$1,$P$2,$P$3,$P$4,$P$4,$P$5,Q40)</f>
        <v>26.50074013833877</v>
      </c>
    </row>
    <row r="41" spans="3:20" x14ac:dyDescent="0.3">
      <c r="C41" s="10">
        <v>40</v>
      </c>
      <c r="D41" s="10" cm="1">
        <f t="array" ref="D41">Bi_Call_Eur($B$1,$B$2,$B$3,$B$4,$B$5,C41)</f>
        <v>8.4361342911577761</v>
      </c>
      <c r="E41" s="10" cm="1">
        <f t="array" ref="E41">BSCall($B$1,$B$2,$B$4,$B$5,$B$3)</f>
        <v>8.4333186901096084</v>
      </c>
      <c r="F41" s="12" cm="1">
        <f t="array" ref="F41">LeisenReimerTrunc("a", "c", $B$1,$B$2,$B$3,$B$4,$B$4,$B$5,C41)</f>
        <v>8.4330879745363614</v>
      </c>
      <c r="J41" s="12">
        <v>40</v>
      </c>
      <c r="K41" s="12" cm="1">
        <f t="array" ref="K41">Bi_Call_Eur($I$1,$I$2,$I$3,$I$4,$I$5,J41)</f>
        <v>23.247289904907159</v>
      </c>
      <c r="L41" s="12" cm="1">
        <f t="array" ref="L41">BSCall($I$1,$I$2,$I$4,$I$5,$I$3)</f>
        <v>23.290127674229865</v>
      </c>
      <c r="M41" s="12" cm="1">
        <f t="array" ref="M41">LeisenReimerTrunc("a","c",$I$1,$I$2,$I$3,$I$4,$I$4,$I$5,J41)</f>
        <v>23.28949813979964</v>
      </c>
      <c r="Q41" s="12">
        <v>40</v>
      </c>
      <c r="R41" s="12" cm="1">
        <f t="array" ref="R41">Bi_Call_Eur($P$1,$P$2,$P$3,$P$4,$P$5,Q41)</f>
        <v>26.4658302681338</v>
      </c>
      <c r="S41" s="12" cm="1">
        <f t="array" ref="S41">BSCall($P$1,$P$2,$P$4,$P$5,$P$3)</f>
        <v>26.501515084741776</v>
      </c>
      <c r="T41" s="12" cm="1">
        <f t="array" ref="T41">LeisenReimerTrunc("a","c",$P$1,$P$2,$P$3,$P$4,$P$4,$P$5,Q41)</f>
        <v>26.500812577688418</v>
      </c>
    </row>
    <row r="42" spans="3:20" x14ac:dyDescent="0.3">
      <c r="C42" s="10">
        <v>41</v>
      </c>
      <c r="D42" s="10" cm="1">
        <f t="array" ref="D42">Bi_Call_Eur($B$1,$B$2,$B$3,$B$4,$B$5,C42)</f>
        <v>8.4715941033478437</v>
      </c>
      <c r="E42" s="10" cm="1">
        <f t="array" ref="E42">BSCall($B$1,$B$2,$B$4,$B$5,$B$3)</f>
        <v>8.4333186901096084</v>
      </c>
      <c r="F42" s="12" cm="1">
        <f t="array" ref="F42">LeisenReimerTrunc("a", "c", $B$1,$B$2,$B$3,$B$4,$B$4,$B$5,C42)</f>
        <v>8.4330879745363614</v>
      </c>
      <c r="J42" s="12">
        <v>41</v>
      </c>
      <c r="K42" s="12" cm="1">
        <f t="array" ref="K42">Bi_Call_Eur($I$1,$I$2,$I$3,$I$4,$I$5,J42)</f>
        <v>23.411051131855196</v>
      </c>
      <c r="L42" s="12" cm="1">
        <f t="array" ref="L42">BSCall($I$1,$I$2,$I$4,$I$5,$I$3)</f>
        <v>23.290127674229865</v>
      </c>
      <c r="M42" s="12" cm="1">
        <f t="array" ref="M42">LeisenReimerTrunc("a","c",$I$1,$I$2,$I$3,$I$4,$I$4,$I$5,J42)</f>
        <v>23.28949813979964</v>
      </c>
      <c r="Q42" s="12">
        <v>41</v>
      </c>
      <c r="R42" s="12" cm="1">
        <f t="array" ref="R42">Bi_Call_Eur($P$1,$P$2,$P$3,$P$4,$P$5,Q42)</f>
        <v>26.633049361406595</v>
      </c>
      <c r="S42" s="12" cm="1">
        <f t="array" ref="S42">BSCall($P$1,$P$2,$P$4,$P$5,$P$3)</f>
        <v>26.501515084741776</v>
      </c>
      <c r="T42" s="12" cm="1">
        <f t="array" ref="T42">LeisenReimerTrunc("a","c",$P$1,$P$2,$P$3,$P$4,$P$4,$P$5,Q42)</f>
        <v>26.500812577688418</v>
      </c>
    </row>
    <row r="43" spans="3:20" x14ac:dyDescent="0.3">
      <c r="C43" s="10">
        <v>42</v>
      </c>
      <c r="D43" s="10" cm="1">
        <f t="array" ref="D43">Bi_Call_Eur($B$1,$B$2,$B$3,$B$4,$B$5,C43)</f>
        <v>8.4369916078999072</v>
      </c>
      <c r="E43" s="10" cm="1">
        <f t="array" ref="E43">BSCall($B$1,$B$2,$B$4,$B$5,$B$3)</f>
        <v>8.4333186901096084</v>
      </c>
      <c r="F43" s="12" cm="1">
        <f t="array" ref="F43">LeisenReimerTrunc("a", "c", $B$1,$B$2,$B$3,$B$4,$B$4,$B$5,C43)</f>
        <v>8.433108581131366</v>
      </c>
      <c r="J43" s="12">
        <v>42</v>
      </c>
      <c r="K43" s="12" cm="1">
        <f t="array" ref="K43">Bi_Call_Eur($I$1,$I$2,$I$3,$I$4,$I$5,J43)</f>
        <v>23.251367618852857</v>
      </c>
      <c r="L43" s="12" cm="1">
        <f t="array" ref="L43">BSCall($I$1,$I$2,$I$4,$I$5,$I$3)</f>
        <v>23.290127674229865</v>
      </c>
      <c r="M43" s="12" cm="1">
        <f t="array" ref="M43">LeisenReimerTrunc("a","c",$I$1,$I$2,$I$3,$I$4,$I$4,$I$5,J43)</f>
        <v>23.289554361488072</v>
      </c>
      <c r="Q43" s="12">
        <v>42</v>
      </c>
      <c r="R43" s="12" cm="1">
        <f t="array" ref="R43">Bi_Call_Eur($P$1,$P$2,$P$3,$P$4,$P$5,Q43)</f>
        <v>26.470025891697382</v>
      </c>
      <c r="S43" s="12" cm="1">
        <f t="array" ref="S43">BSCall($P$1,$P$2,$P$4,$P$5,$P$3)</f>
        <v>26.501515084741776</v>
      </c>
      <c r="T43" s="12" cm="1">
        <f t="array" ref="T43">LeisenReimerTrunc("a","c",$P$1,$P$2,$P$3,$P$4,$P$4,$P$5,Q43)</f>
        <v>26.500875313612376</v>
      </c>
    </row>
    <row r="44" spans="3:20" x14ac:dyDescent="0.3">
      <c r="C44" s="10">
        <v>43</v>
      </c>
      <c r="D44" s="10" cm="1">
        <f t="array" ref="D44">Bi_Call_Eur($B$1,$B$2,$B$3,$B$4,$B$5,C44)</f>
        <v>8.4693497750618238</v>
      </c>
      <c r="E44" s="10" cm="1">
        <f t="array" ref="E44">BSCall($B$1,$B$2,$B$4,$B$5,$B$3)</f>
        <v>8.4333186901096084</v>
      </c>
      <c r="F44" s="12" cm="1">
        <f t="array" ref="F44">LeisenReimerTrunc("a", "c", $B$1,$B$2,$B$3,$B$4,$B$4,$B$5,C44)</f>
        <v>8.433108581131366</v>
      </c>
      <c r="J44" s="12">
        <v>43</v>
      </c>
      <c r="K44" s="12" cm="1">
        <f t="array" ref="K44">Bi_Call_Eur($I$1,$I$2,$I$3,$I$4,$I$5,J44)</f>
        <v>23.40491458099282</v>
      </c>
      <c r="L44" s="12" cm="1">
        <f t="array" ref="L44">BSCall($I$1,$I$2,$I$4,$I$5,$I$3)</f>
        <v>23.290127674229865</v>
      </c>
      <c r="M44" s="12" cm="1">
        <f t="array" ref="M44">LeisenReimerTrunc("a","c",$I$1,$I$2,$I$3,$I$4,$I$4,$I$5,J44)</f>
        <v>23.289554361488072</v>
      </c>
      <c r="Q44" s="12">
        <v>43</v>
      </c>
      <c r="R44" s="12" cm="1">
        <f t="array" ref="R44">Bi_Call_Eur($P$1,$P$2,$P$3,$P$4,$P$5,Q44)</f>
        <v>26.626196171999329</v>
      </c>
      <c r="S44" s="12" cm="1">
        <f t="array" ref="S44">BSCall($P$1,$P$2,$P$4,$P$5,$P$3)</f>
        <v>26.501515084741776</v>
      </c>
      <c r="T44" s="12" cm="1">
        <f t="array" ref="T44">LeisenReimerTrunc("a","c",$P$1,$P$2,$P$3,$P$4,$P$4,$P$5,Q44)</f>
        <v>26.500875313612376</v>
      </c>
    </row>
    <row r="45" spans="3:20" x14ac:dyDescent="0.3">
      <c r="C45" s="10">
        <v>44</v>
      </c>
      <c r="D45" s="10" cm="1">
        <f t="array" ref="D45">Bi_Call_Eur($B$1,$B$2,$B$3,$B$4,$B$5,C45)</f>
        <v>8.4377573401533912</v>
      </c>
      <c r="E45" s="10" cm="1">
        <f t="array" ref="E45">BSCall($B$1,$B$2,$B$4,$B$5,$B$3)</f>
        <v>8.4333186901096084</v>
      </c>
      <c r="F45" s="12" cm="1">
        <f t="array" ref="F45">LeisenReimerTrunc("a", "c", $B$1,$B$2,$B$3,$B$4,$B$4,$B$5,C45)</f>
        <v>8.4331265450467257</v>
      </c>
      <c r="J45" s="12">
        <v>44</v>
      </c>
      <c r="K45" s="12" cm="1">
        <f t="array" ref="K45">Bi_Call_Eur($I$1,$I$2,$I$3,$I$4,$I$5,J45)</f>
        <v>23.255013396130181</v>
      </c>
      <c r="L45" s="12" cm="1">
        <f t="array" ref="L45">BSCall($I$1,$I$2,$I$4,$I$5,$I$3)</f>
        <v>23.290127674229865</v>
      </c>
      <c r="M45" s="12" cm="1">
        <f t="array" ref="M45">LeisenReimerTrunc("a","c",$I$1,$I$2,$I$3,$I$4,$I$4,$I$5,J45)</f>
        <v>23.289603373740984</v>
      </c>
      <c r="Q45" s="12">
        <v>44</v>
      </c>
      <c r="R45" s="12" cm="1">
        <f t="array" ref="R45">Bi_Call_Eur($P$1,$P$2,$P$3,$P$4,$P$5,Q45)</f>
        <v>26.473801024444985</v>
      </c>
      <c r="S45" s="12" cm="1">
        <f t="array" ref="S45">BSCall($P$1,$P$2,$P$4,$P$5,$P$3)</f>
        <v>26.501515084741776</v>
      </c>
      <c r="T45" s="12" cm="1">
        <f t="array" ref="T45">LeisenReimerTrunc("a","c",$P$1,$P$2,$P$3,$P$4,$P$4,$P$5,Q45)</f>
        <v>26.500930005082612</v>
      </c>
    </row>
    <row r="46" spans="3:20" x14ac:dyDescent="0.3">
      <c r="C46" s="10">
        <v>45</v>
      </c>
      <c r="D46" s="10" cm="1">
        <f t="array" ref="D46">Bi_Call_Eur($B$1,$B$2,$B$3,$B$4,$B$5,C46)</f>
        <v>8.467301835620562</v>
      </c>
      <c r="E46" s="10" cm="1">
        <f t="array" ref="E46">BSCall($B$1,$B$2,$B$4,$B$5,$B$3)</f>
        <v>8.4333186901096084</v>
      </c>
      <c r="F46" s="12" cm="1">
        <f t="array" ref="F46">LeisenReimerTrunc("a", "c", $B$1,$B$2,$B$3,$B$4,$B$4,$B$5,C46)</f>
        <v>8.4331265450467257</v>
      </c>
      <c r="J46" s="12">
        <v>45</v>
      </c>
      <c r="K46" s="12" cm="1">
        <f t="array" ref="K46">Bi_Call_Eur($I$1,$I$2,$I$3,$I$4,$I$5,J46)</f>
        <v>23.399326039549397</v>
      </c>
      <c r="L46" s="12" cm="1">
        <f t="array" ref="L46">BSCall($I$1,$I$2,$I$4,$I$5,$I$3)</f>
        <v>23.290127674229865</v>
      </c>
      <c r="M46" s="12" cm="1">
        <f t="array" ref="M46">LeisenReimerTrunc("a","c",$I$1,$I$2,$I$3,$I$4,$I$4,$I$5,J46)</f>
        <v>23.289603373740984</v>
      </c>
      <c r="Q46" s="12">
        <v>45</v>
      </c>
      <c r="R46" s="12" cm="1">
        <f t="array" ref="R46">Bi_Call_Eur($P$1,$P$2,$P$3,$P$4,$P$5,Q46)</f>
        <v>26.619937771825967</v>
      </c>
      <c r="S46" s="12" cm="1">
        <f t="array" ref="S46">BSCall($P$1,$P$2,$P$4,$P$5,$P$3)</f>
        <v>26.501515084741776</v>
      </c>
      <c r="T46" s="12" cm="1">
        <f t="array" ref="T46">LeisenReimerTrunc("a","c",$P$1,$P$2,$P$3,$P$4,$P$4,$P$5,Q46)</f>
        <v>26.500930005082612</v>
      </c>
    </row>
    <row r="47" spans="3:20" x14ac:dyDescent="0.3">
      <c r="C47" s="10">
        <v>46</v>
      </c>
      <c r="D47" s="10" cm="1">
        <f t="array" ref="D47">Bi_Call_Eur($B$1,$B$2,$B$3,$B$4,$B$5,C47)</f>
        <v>8.438402217380446</v>
      </c>
      <c r="E47" s="10" cm="1">
        <f t="array" ref="E47">BSCall($B$1,$B$2,$B$4,$B$5,$B$3)</f>
        <v>8.4333186901096084</v>
      </c>
      <c r="F47" s="12" cm="1">
        <f t="array" ref="F47">LeisenReimerTrunc("a", "c", $B$1,$B$2,$B$3,$B$4,$B$4,$B$5,C47)</f>
        <v>8.4331422996281731</v>
      </c>
      <c r="J47" s="12">
        <v>46</v>
      </c>
      <c r="K47" s="12" cm="1">
        <f t="array" ref="K47">Bi_Call_Eur($I$1,$I$2,$I$3,$I$4,$I$5,J47)</f>
        <v>23.258303346539368</v>
      </c>
      <c r="L47" s="12" cm="1">
        <f t="array" ref="L47">BSCall($I$1,$I$2,$I$4,$I$5,$I$3)</f>
        <v>23.290127674229865</v>
      </c>
      <c r="M47" s="12" cm="1">
        <f t="array" ref="M47">LeisenReimerTrunc("a","c",$I$1,$I$2,$I$3,$I$4,$I$4,$I$5,J47)</f>
        <v>23.289646358659525</v>
      </c>
      <c r="Q47" s="12">
        <v>46</v>
      </c>
      <c r="R47" s="12" cm="1">
        <f t="array" ref="R47">Bi_Call_Eur($P$1,$P$2,$P$3,$P$4,$P$5,Q47)</f>
        <v>26.477149954825681</v>
      </c>
      <c r="S47" s="12" cm="1">
        <f t="array" ref="S47">BSCall($P$1,$P$2,$P$4,$P$5,$P$3)</f>
        <v>26.501515084741776</v>
      </c>
      <c r="T47" s="12" cm="1">
        <f t="array" ref="T47">LeisenReimerTrunc("a","c",$P$1,$P$2,$P$3,$P$4,$P$4,$P$5,Q47)</f>
        <v>26.500977971068394</v>
      </c>
    </row>
    <row r="48" spans="3:20" x14ac:dyDescent="0.3">
      <c r="C48" s="10">
        <v>47</v>
      </c>
      <c r="D48" s="10" cm="1">
        <f t="array" ref="D48">Bi_Call_Eur($B$1,$B$2,$B$3,$B$4,$B$5,C48)</f>
        <v>8.4654332937275356</v>
      </c>
      <c r="E48" s="10" cm="1">
        <f t="array" ref="E48">BSCall($B$1,$B$2,$B$4,$B$5,$B$3)</f>
        <v>8.4333186901096084</v>
      </c>
      <c r="F48" s="12" cm="1">
        <f t="array" ref="F48">LeisenReimerTrunc("a", "c", $B$1,$B$2,$B$3,$B$4,$B$4,$B$5,C48)</f>
        <v>8.4331422996281731</v>
      </c>
      <c r="J48" s="12">
        <v>47</v>
      </c>
      <c r="K48" s="12" cm="1">
        <f t="array" ref="K48">Bi_Call_Eur($I$1,$I$2,$I$3,$I$4,$I$5,J48)</f>
        <v>23.394224615246166</v>
      </c>
      <c r="L48" s="12" cm="1">
        <f t="array" ref="L48">BSCall($I$1,$I$2,$I$4,$I$5,$I$3)</f>
        <v>23.290127674229865</v>
      </c>
      <c r="M48" s="12" cm="1">
        <f t="array" ref="M48">LeisenReimerTrunc("a","c",$I$1,$I$2,$I$3,$I$4,$I$4,$I$5,J48)</f>
        <v>23.289646358659525</v>
      </c>
      <c r="Q48" s="12">
        <v>47</v>
      </c>
      <c r="R48" s="12" cm="1">
        <f t="array" ref="R48">Bi_Call_Eur($P$1,$P$2,$P$3,$P$4,$P$5,Q48)</f>
        <v>26.61423057739206</v>
      </c>
      <c r="S48" s="12" cm="1">
        <f t="array" ref="S48">BSCall($P$1,$P$2,$P$4,$P$5,$P$3)</f>
        <v>26.501515084741776</v>
      </c>
      <c r="T48" s="12" cm="1">
        <f t="array" ref="T48">LeisenReimerTrunc("a","c",$P$1,$P$2,$P$3,$P$4,$P$4,$P$5,Q48)</f>
        <v>26.500977971068394</v>
      </c>
    </row>
    <row r="49" spans="3:20" x14ac:dyDescent="0.3">
      <c r="C49" s="10">
        <v>48</v>
      </c>
      <c r="D49" s="10" cm="1">
        <f t="array" ref="D49">Bi_Call_Eur($B$1,$B$2,$B$3,$B$4,$B$5,C49)</f>
        <v>8.4390017775284072</v>
      </c>
      <c r="E49" s="10" cm="1">
        <f t="array" ref="E49">BSCall($B$1,$B$2,$B$4,$B$5,$B$3)</f>
        <v>8.4333186901096084</v>
      </c>
      <c r="F49" s="12" cm="1">
        <f t="array" ref="F49">LeisenReimerTrunc("a", "c", $B$1,$B$2,$B$3,$B$4,$B$4,$B$5,C49)</f>
        <v>8.433156192897151</v>
      </c>
      <c r="J49" s="12">
        <v>48</v>
      </c>
      <c r="K49" s="12" cm="1">
        <f t="array" ref="K49">Bi_Call_Eur($I$1,$I$2,$I$3,$I$4,$I$5,J49)</f>
        <v>23.261252698353402</v>
      </c>
      <c r="L49" s="12" cm="1">
        <f t="array" ref="L49">BSCall($I$1,$I$2,$I$4,$I$5,$I$3)</f>
        <v>23.290127674229865</v>
      </c>
      <c r="M49" s="12" cm="1">
        <f t="array" ref="M49">LeisenReimerTrunc("a","c",$I$1,$I$2,$I$3,$I$4,$I$4,$I$5,J49)</f>
        <v>23.289684265608567</v>
      </c>
      <c r="Q49" s="12">
        <v>48</v>
      </c>
      <c r="R49" s="12" cm="1">
        <f t="array" ref="R49">Bi_Call_Eur($P$1,$P$2,$P$3,$P$4,$P$5,Q49)</f>
        <v>26.480188225580534</v>
      </c>
      <c r="S49" s="12" cm="1">
        <f t="array" ref="S49">BSCall($P$1,$P$2,$P$4,$P$5,$P$3)</f>
        <v>26.501515084741776</v>
      </c>
      <c r="T49" s="12" cm="1">
        <f t="array" ref="T49">LeisenReimerTrunc("a","c",$P$1,$P$2,$P$3,$P$4,$P$4,$P$5,Q49)</f>
        <v>26.501020270860465</v>
      </c>
    </row>
    <row r="50" spans="3:20" x14ac:dyDescent="0.3">
      <c r="C50" s="10">
        <v>49</v>
      </c>
      <c r="D50" s="10" cm="1">
        <f t="array" ref="D50">Bi_Call_Eur($B$1,$B$2,$B$3,$B$4,$B$5,C50)</f>
        <v>8.463713934716754</v>
      </c>
      <c r="E50" s="10" cm="1">
        <f t="array" ref="E50">BSCall($B$1,$B$2,$B$4,$B$5,$B$3)</f>
        <v>8.4333186901096084</v>
      </c>
      <c r="F50" s="12" cm="1">
        <f t="array" ref="F50">LeisenReimerTrunc("a", "c", $B$1,$B$2,$B$3,$B$4,$B$4,$B$5,C50)</f>
        <v>8.433156192897151</v>
      </c>
      <c r="J50" s="12">
        <v>49</v>
      </c>
      <c r="K50" s="12" cm="1">
        <f t="array" ref="K50">Bi_Call_Eur($I$1,$I$2,$I$3,$I$4,$I$5,J50)</f>
        <v>23.389530389839138</v>
      </c>
      <c r="L50" s="12" cm="1">
        <f t="array" ref="L50">BSCall($I$1,$I$2,$I$4,$I$5,$I$3)</f>
        <v>23.290127674229865</v>
      </c>
      <c r="M50" s="12" cm="1">
        <f t="array" ref="M50">LeisenReimerTrunc("a","c",$I$1,$I$2,$I$3,$I$4,$I$4,$I$5,J50)</f>
        <v>23.289684265608567</v>
      </c>
      <c r="Q50" s="12">
        <v>49</v>
      </c>
      <c r="R50" s="12" cm="1">
        <f t="array" ref="R50">Bi_Call_Eur($P$1,$P$2,$P$3,$P$4,$P$5,Q50)</f>
        <v>26.608989353349923</v>
      </c>
      <c r="S50" s="12" cm="1">
        <f t="array" ref="S50">BSCall($P$1,$P$2,$P$4,$P$5,$P$3)</f>
        <v>26.501515084741776</v>
      </c>
      <c r="T50" s="12" cm="1">
        <f t="array" ref="T50">LeisenReimerTrunc("a","c",$P$1,$P$2,$P$3,$P$4,$P$4,$P$5,Q50)</f>
        <v>26.501020270860465</v>
      </c>
    </row>
    <row r="51" spans="3:20" x14ac:dyDescent="0.3">
      <c r="C51" s="10">
        <v>50</v>
      </c>
      <c r="D51" s="10" cm="1">
        <f t="array" ref="D51">Bi_Call_Eur($B$1,$B$2,$B$3,$B$4,$B$5,C51)</f>
        <v>8.4395012500087319</v>
      </c>
      <c r="E51" s="10" cm="1">
        <f t="array" ref="E51">BSCall($B$1,$B$2,$B$4,$B$5,$B$3)</f>
        <v>8.4333186901096084</v>
      </c>
      <c r="F51" s="12" cm="1">
        <f t="array" ref="F51">LeisenReimerTrunc("a", "c", $B$1,$B$2,$B$3,$B$4,$B$4,$B$5,C51)</f>
        <v>8.4331685069464193</v>
      </c>
      <c r="J51" s="12">
        <v>50</v>
      </c>
      <c r="K51" s="12" cm="1">
        <f t="array" ref="K51">Bi_Call_Eur($I$1,$I$2,$I$3,$I$4,$I$5,J51)</f>
        <v>23.26392233429339</v>
      </c>
      <c r="L51" s="12" cm="1">
        <f t="array" ref="L51">BSCall($I$1,$I$2,$I$4,$I$5,$I$3)</f>
        <v>23.290127674229865</v>
      </c>
      <c r="M51" s="12" cm="1">
        <f t="array" ref="M51">LeisenReimerTrunc("a","c",$I$1,$I$2,$I$3,$I$4,$I$4,$I$5,J51)</f>
        <v>23.289717864116472</v>
      </c>
      <c r="Q51" s="12">
        <v>50</v>
      </c>
      <c r="R51" s="12" cm="1">
        <f t="array" ref="R51">Bi_Call_Eur($P$1,$P$2,$P$3,$P$4,$P$5,Q51)</f>
        <v>26.482919655805155</v>
      </c>
      <c r="S51" s="12" cm="1">
        <f t="array" ref="S51">BSCall($P$1,$P$2,$P$4,$P$5,$P$3)</f>
        <v>26.501515084741776</v>
      </c>
      <c r="T51" s="12" cm="1">
        <f t="array" ref="T51">LeisenReimerTrunc("a","c",$P$1,$P$2,$P$3,$P$4,$P$4,$P$5,Q51)</f>
        <v>26.501057763101652</v>
      </c>
    </row>
    <row r="52" spans="3:20" x14ac:dyDescent="0.3">
      <c r="C52" s="10">
        <v>51</v>
      </c>
      <c r="D52" s="10" cm="1">
        <f t="array" ref="D52">Bi_Call_Eur($B$1,$B$2,$B$3,$B$4,$B$5,C52)</f>
        <v>8.4621229837804179</v>
      </c>
      <c r="E52" s="10" cm="1">
        <f t="array" ref="E52">BSCall($B$1,$B$2,$B$4,$B$5,$B$3)</f>
        <v>8.4333186901096084</v>
      </c>
      <c r="F52" s="12" cm="1">
        <f t="array" ref="F52">LeisenReimerTrunc("a", "c", $B$1,$B$2,$B$3,$B$4,$B$4,$B$5,C52)</f>
        <v>8.4331685069464193</v>
      </c>
      <c r="J52" s="12">
        <v>51</v>
      </c>
      <c r="K52" s="12" cm="1">
        <f t="array" ref="K52">Bi_Call_Eur($I$1,$I$2,$I$3,$I$4,$I$5,J52)</f>
        <v>23.385186285168881</v>
      </c>
      <c r="L52" s="12" cm="1">
        <f t="array" ref="L52">BSCall($I$1,$I$2,$I$4,$I$5,$I$3)</f>
        <v>23.290127674229865</v>
      </c>
      <c r="M52" s="12" cm="1">
        <f t="array" ref="M52">LeisenReimerTrunc("a","c",$I$1,$I$2,$I$3,$I$4,$I$4,$I$5,J52)</f>
        <v>23.289717864116472</v>
      </c>
      <c r="Q52" s="12">
        <v>51</v>
      </c>
      <c r="R52" s="12" cm="1">
        <f t="array" ref="R52">Bi_Call_Eur($P$1,$P$2,$P$3,$P$4,$P$5,Q52)</f>
        <v>26.604149703064273</v>
      </c>
      <c r="S52" s="12" cm="1">
        <f t="array" ref="S52">BSCall($P$1,$P$2,$P$4,$P$5,$P$3)</f>
        <v>26.501515084741776</v>
      </c>
      <c r="T52" s="12" cm="1">
        <f t="array" ref="T52">LeisenReimerTrunc("a","c",$P$1,$P$2,$P$3,$P$4,$P$4,$P$5,Q52)</f>
        <v>26.501057763101652</v>
      </c>
    </row>
    <row r="53" spans="3:20" x14ac:dyDescent="0.3">
      <c r="C53" s="10">
        <v>52</v>
      </c>
      <c r="D53" s="10" cm="1">
        <f t="array" ref="D53">Bi_Call_Eur($B$1,$B$2,$B$3,$B$4,$B$5,C53)</f>
        <v>8.439937463106336</v>
      </c>
      <c r="E53" s="10" cm="1">
        <f t="array" ref="E53">BSCall($B$1,$B$2,$B$4,$B$5,$B$3)</f>
        <v>8.4333186901096084</v>
      </c>
      <c r="F53" s="12" cm="1">
        <f t="array" ref="F53">LeisenReimerTrunc("a", "c", $B$1,$B$2,$B$3,$B$4,$B$4,$B$5,C53)</f>
        <v>8.4331794723739915</v>
      </c>
      <c r="J53" s="12">
        <v>52</v>
      </c>
      <c r="K53" s="12" cm="1">
        <f t="array" ref="K53">Bi_Call_Eur($I$1,$I$2,$I$3,$I$4,$I$5,J53)</f>
        <v>23.266350317381594</v>
      </c>
      <c r="L53" s="12" cm="1">
        <f t="array" ref="L53">BSCall($I$1,$I$2,$I$4,$I$5,$I$3)</f>
        <v>23.290127674229865</v>
      </c>
      <c r="M53" s="12" cm="1">
        <f t="array" ref="M53">LeisenReimerTrunc("a","c",$I$1,$I$2,$I$3,$I$4,$I$4,$I$5,J53)</f>
        <v>23.289747783263159</v>
      </c>
      <c r="Q53" s="12">
        <v>52</v>
      </c>
      <c r="R53" s="12" cm="1">
        <f t="array" ref="R53">Bi_Call_Eur($P$1,$P$2,$P$3,$P$4,$P$5,Q53)</f>
        <v>26.485378306329881</v>
      </c>
      <c r="S53" s="12" cm="1">
        <f t="array" ref="S53">BSCall($P$1,$P$2,$P$4,$P$5,$P$3)</f>
        <v>26.501515084741776</v>
      </c>
      <c r="T53" s="12" cm="1">
        <f t="array" ref="T53">LeisenReimerTrunc("a","c",$P$1,$P$2,$P$3,$P$4,$P$4,$P$5,Q53)</f>
        <v>26.501091149723241</v>
      </c>
    </row>
    <row r="54" spans="3:20" x14ac:dyDescent="0.3">
      <c r="C54" s="10">
        <v>53</v>
      </c>
      <c r="D54" s="10" cm="1">
        <f t="array" ref="D54">Bi_Call_Eur($B$1,$B$2,$B$3,$B$4,$B$5,C54)</f>
        <v>8.4606717712017296</v>
      </c>
      <c r="E54" s="10" cm="1">
        <f t="array" ref="E54">BSCall($B$1,$B$2,$B$4,$B$5,$B$3)</f>
        <v>8.4333186901096084</v>
      </c>
      <c r="F54" s="12" cm="1">
        <f t="array" ref="F54">LeisenReimerTrunc("a", "c", $B$1,$B$2,$B$3,$B$4,$B$4,$B$5,C54)</f>
        <v>8.4331794723739915</v>
      </c>
      <c r="J54" s="12">
        <v>53</v>
      </c>
      <c r="K54" s="12" cm="1">
        <f t="array" ref="K54">Bi_Call_Eur($I$1,$I$2,$I$3,$I$4,$I$5,J54)</f>
        <v>23.381217029038506</v>
      </c>
      <c r="L54" s="12" cm="1">
        <f t="array" ref="L54">BSCall($I$1,$I$2,$I$4,$I$5,$I$3)</f>
        <v>23.290127674229865</v>
      </c>
      <c r="M54" s="12" cm="1">
        <f t="array" ref="M54">LeisenReimerTrunc("a","c",$I$1,$I$2,$I$3,$I$4,$I$4,$I$5,J54)</f>
        <v>23.289747783263159</v>
      </c>
      <c r="Q54" s="12">
        <v>53</v>
      </c>
      <c r="R54" s="12" cm="1">
        <f t="array" ref="R54">Bi_Call_Eur($P$1,$P$2,$P$3,$P$4,$P$5,Q54)</f>
        <v>26.599666159897456</v>
      </c>
      <c r="S54" s="12" cm="1">
        <f t="array" ref="S54">BSCall($P$1,$P$2,$P$4,$P$5,$P$3)</f>
        <v>26.501515084741776</v>
      </c>
      <c r="T54" s="12" cm="1">
        <f t="array" ref="T54">LeisenReimerTrunc("a","c",$P$1,$P$2,$P$3,$P$4,$P$4,$P$5,Q54)</f>
        <v>26.501091149723241</v>
      </c>
    </row>
    <row r="55" spans="3:20" x14ac:dyDescent="0.3">
      <c r="C55" s="10">
        <v>54</v>
      </c>
      <c r="D55" s="10" cm="1">
        <f t="array" ref="D55">Bi_Call_Eur($B$1,$B$2,$B$3,$B$4,$B$5,C55)</f>
        <v>8.4403481878505122</v>
      </c>
      <c r="E55" s="10" cm="1">
        <f t="array" ref="E55">BSCall($B$1,$B$2,$B$4,$B$5,$B$3)</f>
        <v>8.4333186901096084</v>
      </c>
      <c r="F55" s="12" cm="1">
        <f t="array" ref="F55">LeisenReimerTrunc("a", "c", $B$1,$B$2,$B$3,$B$4,$B$4,$B$5,C55)</f>
        <v>8.4331892791766396</v>
      </c>
      <c r="J55" s="12">
        <v>54</v>
      </c>
      <c r="K55" s="12" cm="1">
        <f t="array" ref="K55">Bi_Call_Eur($I$1,$I$2,$I$3,$I$4,$I$5,J55)</f>
        <v>23.268588017334277</v>
      </c>
      <c r="L55" s="12" cm="1">
        <f t="array" ref="L55">BSCall($I$1,$I$2,$I$4,$I$5,$I$3)</f>
        <v>23.290127674229865</v>
      </c>
      <c r="M55" s="12" cm="1">
        <f t="array" ref="M55">LeisenReimerTrunc("a","c",$I$1,$I$2,$I$3,$I$4,$I$4,$I$5,J55)</f>
        <v>23.289774541358483</v>
      </c>
      <c r="Q55" s="12">
        <v>54</v>
      </c>
      <c r="R55" s="12" cm="1">
        <f t="array" ref="R55">Bi_Call_Eur($P$1,$P$2,$P$3,$P$4,$P$5,Q55)</f>
        <v>26.487658919124346</v>
      </c>
      <c r="S55" s="12" cm="1">
        <f t="array" ref="S55">BSCall($P$1,$P$2,$P$4,$P$5,$P$3)</f>
        <v>26.501515084741776</v>
      </c>
      <c r="T55" s="12" cm="1">
        <f t="array" ref="T55">LeisenReimerTrunc("a","c",$P$1,$P$2,$P$3,$P$4,$P$4,$P$5,Q55)</f>
        <v>26.501121009062686</v>
      </c>
    </row>
    <row r="56" spans="3:20" x14ac:dyDescent="0.3">
      <c r="C56" s="10">
        <v>55</v>
      </c>
      <c r="D56" s="10" cm="1">
        <f t="array" ref="D56">Bi_Call_Eur($B$1,$B$2,$B$3,$B$4,$B$5,C56)</f>
        <v>8.4593093118909497</v>
      </c>
      <c r="E56" s="10" cm="1">
        <f t="array" ref="E56">BSCall($B$1,$B$2,$B$4,$B$5,$B$3)</f>
        <v>8.4333186901096084</v>
      </c>
      <c r="F56" s="12" cm="1">
        <f t="array" ref="F56">LeisenReimerTrunc("a", "c", $B$1,$B$2,$B$3,$B$4,$B$4,$B$5,C56)</f>
        <v>8.4331892791766396</v>
      </c>
      <c r="J56" s="12">
        <v>55</v>
      </c>
      <c r="K56" s="12" cm="1">
        <f t="array" ref="K56">Bi_Call_Eur($I$1,$I$2,$I$3,$I$4,$I$5,J56)</f>
        <v>23.377506559601461</v>
      </c>
      <c r="L56" s="12" cm="1">
        <f t="array" ref="L56">BSCall($I$1,$I$2,$I$4,$I$5,$I$3)</f>
        <v>23.290127674229865</v>
      </c>
      <c r="M56" s="12" cm="1">
        <f t="array" ref="M56">LeisenReimerTrunc("a","c",$I$1,$I$2,$I$3,$I$4,$I$4,$I$5,J56)</f>
        <v>23.289774541358483</v>
      </c>
      <c r="Q56" s="12">
        <v>55</v>
      </c>
      <c r="R56" s="12" cm="1">
        <f t="array" ref="R56">Bi_Call_Eur($P$1,$P$2,$P$3,$P$4,$P$5,Q56)</f>
        <v>26.595533028954193</v>
      </c>
      <c r="S56" s="12" cm="1">
        <f t="array" ref="S56">BSCall($P$1,$P$2,$P$4,$P$5,$P$3)</f>
        <v>26.501515084741776</v>
      </c>
      <c r="T56" s="12" cm="1">
        <f t="array" ref="T56">LeisenReimerTrunc("a","c",$P$1,$P$2,$P$3,$P$4,$P$4,$P$5,Q56)</f>
        <v>26.501121009062686</v>
      </c>
    </row>
    <row r="57" spans="3:20" x14ac:dyDescent="0.3">
      <c r="C57" s="10">
        <v>56</v>
      </c>
      <c r="D57" s="10" cm="1">
        <f t="array" ref="D57">Bi_Call_Eur($B$1,$B$2,$B$3,$B$4,$B$5,C57)</f>
        <v>8.440705086042156</v>
      </c>
      <c r="E57" s="10" cm="1">
        <f t="array" ref="E57">BSCall($B$1,$B$2,$B$4,$B$5,$B$3)</f>
        <v>8.4333186901096084</v>
      </c>
      <c r="F57" s="12" cm="1">
        <f t="array" ref="F57">LeisenReimerTrunc("a", "c", $B$1,$B$2,$B$3,$B$4,$B$4,$B$5,C57)</f>
        <v>8.4331980850295611</v>
      </c>
      <c r="J57" s="12">
        <v>56</v>
      </c>
      <c r="K57" s="12" cm="1">
        <f t="array" ref="K57">Bi_Call_Eur($I$1,$I$2,$I$3,$I$4,$I$5,J57)</f>
        <v>23.270625922254517</v>
      </c>
      <c r="L57" s="12" cm="1">
        <f t="array" ref="L57">BSCall($I$1,$I$2,$I$4,$I$5,$I$3)</f>
        <v>23.290127674229865</v>
      </c>
      <c r="M57" s="12" cm="1">
        <f t="array" ref="M57">LeisenReimerTrunc("a","c",$I$1,$I$2,$I$3,$I$4,$I$4,$I$5,J57)</f>
        <v>23.289798568549422</v>
      </c>
      <c r="Q57" s="12">
        <v>56</v>
      </c>
      <c r="R57" s="12" cm="1">
        <f t="array" ref="R57">Bi_Call_Eur($P$1,$P$2,$P$3,$P$4,$P$5,Q57)</f>
        <v>26.48970654030828</v>
      </c>
      <c r="S57" s="12" cm="1">
        <f t="array" ref="S57">BSCall($P$1,$P$2,$P$4,$P$5,$P$3)</f>
        <v>26.501515084741776</v>
      </c>
      <c r="T57" s="12" cm="1">
        <f t="array" ref="T57">LeisenReimerTrunc("a","c",$P$1,$P$2,$P$3,$P$4,$P$4,$P$5,Q57)</f>
        <v>26.501147821088864</v>
      </c>
    </row>
    <row r="58" spans="3:20" x14ac:dyDescent="0.3">
      <c r="C58" s="10">
        <v>57</v>
      </c>
      <c r="D58" s="10" cm="1">
        <f t="array" ref="D58">Bi_Call_Eur($B$1,$B$2,$B$3,$B$4,$B$5,C58)</f>
        <v>8.4580478800737904</v>
      </c>
      <c r="E58" s="10" cm="1">
        <f t="array" ref="E58">BSCall($B$1,$B$2,$B$4,$B$5,$B$3)</f>
        <v>8.4333186901096084</v>
      </c>
      <c r="F58" s="12" cm="1">
        <f t="array" ref="F58">LeisenReimerTrunc("a", "c", $B$1,$B$2,$B$3,$B$4,$B$4,$B$5,C58)</f>
        <v>8.4331980850295611</v>
      </c>
      <c r="J58" s="12">
        <v>57</v>
      </c>
      <c r="K58" s="12" cm="1">
        <f t="array" ref="K58">Bi_Call_Eur($I$1,$I$2,$I$3,$I$4,$I$5,J58)</f>
        <v>23.374054864234708</v>
      </c>
      <c r="L58" s="12" cm="1">
        <f t="array" ref="L58">BSCall($I$1,$I$2,$I$4,$I$5,$I$3)</f>
        <v>23.290127674229865</v>
      </c>
      <c r="M58" s="12" cm="1">
        <f t="array" ref="M58">LeisenReimerTrunc("a","c",$I$1,$I$2,$I$3,$I$4,$I$4,$I$5,J58)</f>
        <v>23.289798568549422</v>
      </c>
      <c r="Q58" s="12">
        <v>57</v>
      </c>
      <c r="R58" s="12" cm="1">
        <f t="array" ref="R58">Bi_Call_Eur($P$1,$P$2,$P$3,$P$4,$P$5,Q58)</f>
        <v>26.591695400077882</v>
      </c>
      <c r="S58" s="12" cm="1">
        <f t="array" ref="S58">BSCall($P$1,$P$2,$P$4,$P$5,$P$3)</f>
        <v>26.501515084741776</v>
      </c>
      <c r="T58" s="12" cm="1">
        <f t="array" ref="T58">LeisenReimerTrunc("a","c",$P$1,$P$2,$P$3,$P$4,$P$4,$P$5,Q58)</f>
        <v>26.501147821088864</v>
      </c>
    </row>
    <row r="59" spans="3:20" x14ac:dyDescent="0.3">
      <c r="C59" s="10">
        <v>58</v>
      </c>
      <c r="D59" s="10" cm="1">
        <f t="array" ref="D59">Bi_Call_Eur($B$1,$B$2,$B$3,$B$4,$B$5,C59)</f>
        <v>8.4410053386233876</v>
      </c>
      <c r="E59" s="10" cm="1">
        <f t="array" ref="E59">BSCall($B$1,$B$2,$B$4,$B$5,$B$3)</f>
        <v>8.4333186901096084</v>
      </c>
      <c r="F59" s="12" cm="1">
        <f t="array" ref="F59">LeisenReimerTrunc("a", "c", $B$1,$B$2,$B$3,$B$4,$B$4,$B$5,C59)</f>
        <v>8.4332060216648106</v>
      </c>
      <c r="J59" s="12">
        <v>58</v>
      </c>
      <c r="K59" s="12" cm="1">
        <f t="array" ref="K59">Bi_Call_Eur($I$1,$I$2,$I$3,$I$4,$I$5,J59)</f>
        <v>23.272481159591575</v>
      </c>
      <c r="L59" s="12" cm="1">
        <f t="array" ref="L59">BSCall($I$1,$I$2,$I$4,$I$5,$I$3)</f>
        <v>23.290127674229865</v>
      </c>
      <c r="M59" s="12" cm="1">
        <f t="array" ref="M59">LeisenReimerTrunc("a","c",$I$1,$I$2,$I$3,$I$4,$I$4,$I$5,J59)</f>
        <v>23.289820224225654</v>
      </c>
      <c r="Q59" s="12">
        <v>58</v>
      </c>
      <c r="R59" s="12" cm="1">
        <f t="array" ref="R59">Bi_Call_Eur($P$1,$P$2,$P$3,$P$4,$P$5,Q59)</f>
        <v>26.491572314678397</v>
      </c>
      <c r="S59" s="12" cm="1">
        <f t="array" ref="S59">BSCall($P$1,$P$2,$P$4,$P$5,$P$3)</f>
        <v>26.501515084741776</v>
      </c>
      <c r="T59" s="12" cm="1">
        <f t="array" ref="T59">LeisenReimerTrunc("a","c",$P$1,$P$2,$P$3,$P$4,$P$4,$P$5,Q59)</f>
        <v>26.501171986816409</v>
      </c>
    </row>
    <row r="60" spans="3:20" x14ac:dyDescent="0.3">
      <c r="C60" s="10">
        <v>59</v>
      </c>
      <c r="D60" s="10" cm="1">
        <f t="array" ref="D60">Bi_Call_Eur($B$1,$B$2,$B$3,$B$4,$B$5,C60)</f>
        <v>8.4568704805628236</v>
      </c>
      <c r="E60" s="10" cm="1">
        <f t="array" ref="E60">BSCall($B$1,$B$2,$B$4,$B$5,$B$3)</f>
        <v>8.4333186901096084</v>
      </c>
      <c r="F60" s="12" cm="1">
        <f t="array" ref="F60">LeisenReimerTrunc("a", "c", $B$1,$B$2,$B$3,$B$4,$B$4,$B$5,C60)</f>
        <v>8.4332060216648106</v>
      </c>
      <c r="J60" s="12">
        <v>59</v>
      </c>
      <c r="K60" s="12" cm="1">
        <f t="array" ref="K60">Bi_Call_Eur($I$1,$I$2,$I$3,$I$4,$I$5,J60)</f>
        <v>23.370846733257892</v>
      </c>
      <c r="L60" s="12" cm="1">
        <f t="array" ref="L60">BSCall($I$1,$I$2,$I$4,$I$5,$I$3)</f>
        <v>23.290127674229865</v>
      </c>
      <c r="M60" s="12" cm="1">
        <f t="array" ref="M60">LeisenReimerTrunc("a","c",$I$1,$I$2,$I$3,$I$4,$I$4,$I$5,J60)</f>
        <v>23.289820224225654</v>
      </c>
      <c r="Q60" s="12">
        <v>59</v>
      </c>
      <c r="R60" s="12" cm="1">
        <f t="array" ref="R60">Bi_Call_Eur($P$1,$P$2,$P$3,$P$4,$P$5,Q60)</f>
        <v>26.588088861303849</v>
      </c>
      <c r="S60" s="12" cm="1">
        <f t="array" ref="S60">BSCall($P$1,$P$2,$P$4,$P$5,$P$3)</f>
        <v>26.501515084741776</v>
      </c>
      <c r="T60" s="12" cm="1">
        <f t="array" ref="T60">LeisenReimerTrunc("a","c",$P$1,$P$2,$P$3,$P$4,$P$4,$P$5,Q60)</f>
        <v>26.501171986816409</v>
      </c>
    </row>
    <row r="61" spans="3:20" x14ac:dyDescent="0.3">
      <c r="C61" s="10">
        <v>60</v>
      </c>
      <c r="D61" s="10" cm="1">
        <f t="array" ref="D61">Bi_Call_Eur($B$1,$B$2,$B$3,$B$4,$B$5,C61)</f>
        <v>8.4412640417884344</v>
      </c>
      <c r="E61" s="10" cm="1">
        <f t="array" ref="E61">BSCall($B$1,$B$2,$B$4,$B$5,$B$3)</f>
        <v>8.4333186901096084</v>
      </c>
      <c r="F61" s="12" cm="1">
        <f t="array" ref="F61">LeisenReimerTrunc("a", "c", $B$1,$B$2,$B$3,$B$4,$B$4,$B$5,C61)</f>
        <v>8.4332131998401341</v>
      </c>
      <c r="J61" s="12">
        <v>60</v>
      </c>
      <c r="K61" s="12" cm="1">
        <f t="array" ref="K61">Bi_Call_Eur($I$1,$I$2,$I$3,$I$4,$I$5,J61)</f>
        <v>23.274178462987386</v>
      </c>
      <c r="L61" s="12" cm="1">
        <f t="array" ref="L61">BSCall($I$1,$I$2,$I$4,$I$5,$I$3)</f>
        <v>23.290127674229865</v>
      </c>
      <c r="M61" s="12" cm="1">
        <f t="array" ref="M61">LeisenReimerTrunc("a","c",$I$1,$I$2,$I$3,$I$4,$I$4,$I$5,J61)</f>
        <v>23.289839810537352</v>
      </c>
      <c r="Q61" s="12">
        <v>60</v>
      </c>
      <c r="R61" s="12" cm="1">
        <f t="array" ref="R61">Bi_Call_Eur($P$1,$P$2,$P$3,$P$4,$P$5,Q61)</f>
        <v>26.493296020796063</v>
      </c>
      <c r="S61" s="12" cm="1">
        <f t="array" ref="S61">BSCall($P$1,$P$2,$P$4,$P$5,$P$3)</f>
        <v>26.501515084741776</v>
      </c>
      <c r="T61" s="12" cm="1">
        <f t="array" ref="T61">LeisenReimerTrunc("a","c",$P$1,$P$2,$P$3,$P$4,$P$4,$P$5,Q61)</f>
        <v>26.501193843397996</v>
      </c>
    </row>
    <row r="62" spans="3:20" x14ac:dyDescent="0.3">
      <c r="C62" s="10">
        <v>61</v>
      </c>
      <c r="D62" s="10" cm="1">
        <f t="array" ref="D62">Bi_Call_Eur($B$1,$B$2,$B$3,$B$4,$B$5,C62)</f>
        <v>8.4557714519849778</v>
      </c>
      <c r="E62" s="10" cm="1">
        <f t="array" ref="E62">BSCall($B$1,$B$2,$B$4,$B$5,$B$3)</f>
        <v>8.4333186901096084</v>
      </c>
      <c r="F62" s="12" cm="1">
        <f t="array" ref="F62">LeisenReimerTrunc("a", "c", $B$1,$B$2,$B$3,$B$4,$B$4,$B$5,C62)</f>
        <v>8.4332131998401341</v>
      </c>
      <c r="J62" s="12">
        <v>61</v>
      </c>
      <c r="K62" s="12" cm="1">
        <f t="array" ref="K62">Bi_Call_Eur($I$1,$I$2,$I$3,$I$4,$I$5,J62)</f>
        <v>23.367855520721008</v>
      </c>
      <c r="L62" s="12" cm="1">
        <f t="array" ref="L62">BSCall($I$1,$I$2,$I$4,$I$5,$I$3)</f>
        <v>23.290127674229865</v>
      </c>
      <c r="M62" s="12" cm="1">
        <f t="array" ref="M62">LeisenReimerTrunc("a","c",$I$1,$I$2,$I$3,$I$4,$I$4,$I$5,J62)</f>
        <v>23.289839810537352</v>
      </c>
      <c r="Q62" s="12">
        <v>61</v>
      </c>
      <c r="R62" s="12" cm="1">
        <f t="array" ref="R62">Bi_Call_Eur($P$1,$P$2,$P$3,$P$4,$P$5,Q62)</f>
        <v>26.584730463240525</v>
      </c>
      <c r="S62" s="12" cm="1">
        <f t="array" ref="S62">BSCall($P$1,$P$2,$P$4,$P$5,$P$3)</f>
        <v>26.501515084741776</v>
      </c>
      <c r="T62" s="12" cm="1">
        <f t="array" ref="T62">LeisenReimerTrunc("a","c",$P$1,$P$2,$P$3,$P$4,$P$4,$P$5,Q62)</f>
        <v>26.501193843397996</v>
      </c>
    </row>
    <row r="63" spans="3:20" x14ac:dyDescent="0.3">
      <c r="C63" s="10">
        <v>62</v>
      </c>
      <c r="D63" s="10" cm="1">
        <f t="array" ref="D63">Bi_Call_Eur($B$1,$B$2,$B$3,$B$4,$B$5,C63)</f>
        <v>8.4415152014726171</v>
      </c>
      <c r="E63" s="10" cm="1">
        <f t="array" ref="E63">BSCall($B$1,$B$2,$B$4,$B$5,$B$3)</f>
        <v>8.4333186901096084</v>
      </c>
      <c r="F63" s="12" cm="1">
        <f t="array" ref="F63">LeisenReimerTrunc("a", "c", $B$1,$B$2,$B$3,$B$4,$B$4,$B$5,C63)</f>
        <v>8.4332197132102777</v>
      </c>
      <c r="J63" s="12">
        <v>62</v>
      </c>
      <c r="K63" s="12" cm="1">
        <f t="array" ref="K63">Bi_Call_Eur($I$1,$I$2,$I$3,$I$4,$I$5,J63)</f>
        <v>23.275784431419201</v>
      </c>
      <c r="L63" s="12" cm="1">
        <f t="array" ref="L63">BSCall($I$1,$I$2,$I$4,$I$5,$I$3)</f>
        <v>23.290127674229865</v>
      </c>
      <c r="M63" s="12" cm="1">
        <f t="array" ref="M63">LeisenReimerTrunc("a","c",$I$1,$I$2,$I$3,$I$4,$I$4,$I$5,J63)</f>
        <v>23.289857583002608</v>
      </c>
      <c r="Q63" s="12">
        <v>62</v>
      </c>
      <c r="R63" s="12" cm="1">
        <f t="array" ref="R63">Bi_Call_Eur($P$1,$P$2,$P$3,$P$4,$P$5,Q63)</f>
        <v>26.494836000921797</v>
      </c>
      <c r="S63" s="12" cm="1">
        <f t="array" ref="S63">BSCall($P$1,$P$2,$P$4,$P$5,$P$3)</f>
        <v>26.501515084741776</v>
      </c>
      <c r="T63" s="12" cm="1">
        <f t="array" ref="T63">LeisenReimerTrunc("a","c",$P$1,$P$2,$P$3,$P$4,$P$4,$P$5,Q63)</f>
        <v>26.501213675949433</v>
      </c>
    </row>
    <row r="64" spans="3:20" x14ac:dyDescent="0.3">
      <c r="C64" s="10">
        <v>63</v>
      </c>
      <c r="D64" s="10" cm="1">
        <f t="array" ref="D64">Bi_Call_Eur($B$1,$B$2,$B$3,$B$4,$B$5,C64)</f>
        <v>8.4547394559049405</v>
      </c>
      <c r="E64" s="10" cm="1">
        <f t="array" ref="E64">BSCall($B$1,$B$2,$B$4,$B$5,$B$3)</f>
        <v>8.4333186901096084</v>
      </c>
      <c r="F64" s="12" cm="1">
        <f t="array" ref="F64">LeisenReimerTrunc("a", "c", $B$1,$B$2,$B$3,$B$4,$B$4,$B$5,C64)</f>
        <v>8.4332197132102777</v>
      </c>
      <c r="J64" s="12">
        <v>63</v>
      </c>
      <c r="K64" s="12" cm="1">
        <f t="array" ref="K64">Bi_Call_Eur($I$1,$I$2,$I$3,$I$4,$I$5,J64)</f>
        <v>23.365046979687573</v>
      </c>
      <c r="L64" s="12" cm="1">
        <f t="array" ref="L64">BSCall($I$1,$I$2,$I$4,$I$5,$I$3)</f>
        <v>23.290127674229865</v>
      </c>
      <c r="M64" s="12" cm="1">
        <f t="array" ref="M64">LeisenReimerTrunc("a","c",$I$1,$I$2,$I$3,$I$4,$I$4,$I$5,J64)</f>
        <v>23.289857583002608</v>
      </c>
      <c r="Q64" s="12">
        <v>63</v>
      </c>
      <c r="R64" s="12" cm="1">
        <f t="array" ref="R64">Bi_Call_Eur($P$1,$P$2,$P$3,$P$4,$P$5,Q64)</f>
        <v>26.581603163353947</v>
      </c>
      <c r="S64" s="12" cm="1">
        <f t="array" ref="S64">BSCall($P$1,$P$2,$P$4,$P$5,$P$3)</f>
        <v>26.501515084741776</v>
      </c>
      <c r="T64" s="12" cm="1">
        <f t="array" ref="T64">LeisenReimerTrunc("a","c",$P$1,$P$2,$P$3,$P$4,$P$4,$P$5,Q64)</f>
        <v>26.501213675949433</v>
      </c>
    </row>
    <row r="65" spans="3:20" x14ac:dyDescent="0.3">
      <c r="C65" s="10">
        <v>64</v>
      </c>
      <c r="D65" s="10" cm="1">
        <f t="array" ref="D65">Bi_Call_Eur($B$1,$B$2,$B$3,$B$4,$B$5,C65)</f>
        <v>8.4417399150666004</v>
      </c>
      <c r="E65" s="10" cm="1">
        <f t="array" ref="E65">BSCall($B$1,$B$2,$B$4,$B$5,$B$3)</f>
        <v>8.4333186901096084</v>
      </c>
      <c r="F65" s="12" cm="1">
        <f t="array" ref="F65">LeisenReimerTrunc("a", "c", $B$1,$B$2,$B$3,$B$4,$B$4,$B$5,C65)</f>
        <v>8.4332256414101376</v>
      </c>
      <c r="J65" s="12">
        <v>64</v>
      </c>
      <c r="K65" s="12" cm="1">
        <f t="array" ref="K65">Bi_Call_Eur($I$1,$I$2,$I$3,$I$4,$I$5,J65)</f>
        <v>23.277215339481511</v>
      </c>
      <c r="L65" s="12" cm="1">
        <f t="array" ref="L65">BSCall($I$1,$I$2,$I$4,$I$5,$I$3)</f>
        <v>23.290127674229865</v>
      </c>
      <c r="M65" s="12" cm="1">
        <f t="array" ref="M65">LeisenReimerTrunc("a","c",$I$1,$I$2,$I$3,$I$4,$I$4,$I$5,J65)</f>
        <v>23.289873758882084</v>
      </c>
      <c r="Q65" s="12">
        <v>64</v>
      </c>
      <c r="R65" s="12" cm="1">
        <f t="array" ref="R65">Bi_Call_Eur($P$1,$P$2,$P$3,$P$4,$P$5,Q65)</f>
        <v>26.496324835351647</v>
      </c>
      <c r="S65" s="12" cm="1">
        <f t="array" ref="S65">BSCall($P$1,$P$2,$P$4,$P$5,$P$3)</f>
        <v>26.501515084741776</v>
      </c>
      <c r="T65" s="12" cm="1">
        <f t="array" ref="T65">LeisenReimerTrunc("a","c",$P$1,$P$2,$P$3,$P$4,$P$4,$P$5,Q65)</f>
        <v>26.501231726899096</v>
      </c>
    </row>
    <row r="66" spans="3:20" x14ac:dyDescent="0.3">
      <c r="C66" s="10">
        <v>65</v>
      </c>
      <c r="D66" s="10" cm="1">
        <f t="array" ref="D66">Bi_Call_Eur($B$1,$B$2,$B$3,$B$4,$B$5,C66)</f>
        <v>8.4537811103292277</v>
      </c>
      <c r="E66" s="10" cm="1">
        <f t="array" ref="E66">BSCall($B$1,$B$2,$B$4,$B$5,$B$3)</f>
        <v>8.4333186901096084</v>
      </c>
      <c r="F66" s="12" cm="1">
        <f t="array" ref="F66">LeisenReimerTrunc("a", "c", $B$1,$B$2,$B$3,$B$4,$B$4,$B$5,C66)</f>
        <v>8.4332256414101376</v>
      </c>
      <c r="J66" s="12">
        <v>65</v>
      </c>
      <c r="K66" s="12" cm="1">
        <f t="array" ref="K66">Bi_Call_Eur($I$1,$I$2,$I$3,$I$4,$I$5,J66)</f>
        <v>23.362398272864162</v>
      </c>
      <c r="L66" s="12" cm="1">
        <f t="array" ref="L66">BSCall($I$1,$I$2,$I$4,$I$5,$I$3)</f>
        <v>23.290127674229865</v>
      </c>
      <c r="M66" s="12" cm="1">
        <f t="array" ref="M66">LeisenReimerTrunc("a","c",$I$1,$I$2,$I$3,$I$4,$I$4,$I$5,J66)</f>
        <v>23.289873758882084</v>
      </c>
      <c r="Q66" s="12">
        <v>65</v>
      </c>
      <c r="R66" s="12" cm="1">
        <f t="array" ref="R66">Bi_Call_Eur($P$1,$P$2,$P$3,$P$4,$P$5,Q66)</f>
        <v>26.578655799809596</v>
      </c>
      <c r="S66" s="12" cm="1">
        <f t="array" ref="S66">BSCall($P$1,$P$2,$P$4,$P$5,$P$3)</f>
        <v>26.501515084741776</v>
      </c>
      <c r="T66" s="12" cm="1">
        <f t="array" ref="T66">LeisenReimerTrunc("a","c",$P$1,$P$2,$P$3,$P$4,$P$4,$P$5,Q66)</f>
        <v>26.501231726899096</v>
      </c>
    </row>
    <row r="67" spans="3:20" x14ac:dyDescent="0.3">
      <c r="C67" s="10">
        <v>66</v>
      </c>
      <c r="D67" s="10" cm="1">
        <f t="array" ref="D67">Bi_Call_Eur($B$1,$B$2,$B$3,$B$4,$B$5,C67)</f>
        <v>8.4419145862331959</v>
      </c>
      <c r="E67" s="10" cm="1">
        <f t="array" ref="E67">BSCall($B$1,$B$2,$B$4,$B$5,$B$3)</f>
        <v>8.4333186901096084</v>
      </c>
      <c r="F67" s="12" cm="1">
        <f t="array" ref="F67">LeisenReimerTrunc("a", "c", $B$1,$B$2,$B$3,$B$4,$B$4,$B$5,C67)</f>
        <v>8.4332310525016627</v>
      </c>
      <c r="J67" s="12">
        <v>66</v>
      </c>
      <c r="K67" s="12" cm="1">
        <f t="array" ref="K67">Bi_Call_Eur($I$1,$I$2,$I$3,$I$4,$I$5,J67)</f>
        <v>23.278608193606001</v>
      </c>
      <c r="L67" s="12" cm="1">
        <f t="array" ref="L67">BSCall($I$1,$I$2,$I$4,$I$5,$I$3)</f>
        <v>23.290127674229865</v>
      </c>
      <c r="M67" s="12" cm="1">
        <f t="array" ref="M67">LeisenReimerTrunc("a","c",$I$1,$I$2,$I$3,$I$4,$I$4,$I$5,J67)</f>
        <v>23.289888523851435</v>
      </c>
      <c r="Q67" s="12">
        <v>66</v>
      </c>
      <c r="R67" s="12" cm="1">
        <f t="array" ref="R67">Bi_Call_Eur($P$1,$P$2,$P$3,$P$4,$P$5,Q67)</f>
        <v>26.497645082368845</v>
      </c>
      <c r="S67" s="12" cm="1">
        <f t="array" ref="S67">BSCall($P$1,$P$2,$P$4,$P$5,$P$3)</f>
        <v>26.501515084741776</v>
      </c>
      <c r="T67" s="12" cm="1">
        <f t="array" ref="T67">LeisenReimerTrunc("a","c",$P$1,$P$2,$P$3,$P$4,$P$4,$P$5,Q67)</f>
        <v>26.501248203435427</v>
      </c>
    </row>
    <row r="68" spans="3:20" x14ac:dyDescent="0.3">
      <c r="C68" s="10">
        <v>67</v>
      </c>
      <c r="D68" s="10" cm="1">
        <f t="array" ref="D68">Bi_Call_Eur($B$1,$B$2,$B$3,$B$4,$B$5,C68)</f>
        <v>8.4528765753343844</v>
      </c>
      <c r="E68" s="10" cm="1">
        <f t="array" ref="E68">BSCall($B$1,$B$2,$B$4,$B$5,$B$3)</f>
        <v>8.4333186901096084</v>
      </c>
      <c r="F68" s="12" cm="1">
        <f t="array" ref="F68">LeisenReimerTrunc("a", "c", $B$1,$B$2,$B$3,$B$4,$B$4,$B$5,C68)</f>
        <v>8.4332310525016627</v>
      </c>
      <c r="J68" s="12">
        <v>67</v>
      </c>
      <c r="K68" s="12" cm="1">
        <f t="array" ref="K68">Bi_Call_Eur($I$1,$I$2,$I$3,$I$4,$I$5,J68)</f>
        <v>23.359932234927431</v>
      </c>
      <c r="L68" s="12" cm="1">
        <f t="array" ref="L68">BSCall($I$1,$I$2,$I$4,$I$5,$I$3)</f>
        <v>23.290127674229865</v>
      </c>
      <c r="M68" s="12" cm="1">
        <f t="array" ref="M68">LeisenReimerTrunc("a","c",$I$1,$I$2,$I$3,$I$4,$I$4,$I$5,J68)</f>
        <v>23.289888523851435</v>
      </c>
      <c r="Q68" s="12">
        <v>67</v>
      </c>
      <c r="R68" s="12" cm="1">
        <f t="array" ref="R68">Bi_Call_Eur($P$1,$P$2,$P$3,$P$4,$P$5,Q68)</f>
        <v>26.575877026719581</v>
      </c>
      <c r="S68" s="12" cm="1">
        <f t="array" ref="S68">BSCall($P$1,$P$2,$P$4,$P$5,$P$3)</f>
        <v>26.501515084741776</v>
      </c>
      <c r="T68" s="12" cm="1">
        <f t="array" ref="T68">LeisenReimerTrunc("a","c",$P$1,$P$2,$P$3,$P$4,$P$4,$P$5,Q68)</f>
        <v>26.501248203435427</v>
      </c>
    </row>
    <row r="69" spans="3:20" x14ac:dyDescent="0.3">
      <c r="C69" s="10">
        <v>68</v>
      </c>
      <c r="D69" s="10" cm="1">
        <f t="array" ref="D69">Bi_Call_Eur($B$1,$B$2,$B$3,$B$4,$B$5,C69)</f>
        <v>8.4420864257917874</v>
      </c>
      <c r="E69" s="10" cm="1">
        <f t="array" ref="E69">BSCall($B$1,$B$2,$B$4,$B$5,$B$3)</f>
        <v>8.4333186901096084</v>
      </c>
      <c r="F69" s="12" cm="1">
        <f t="array" ref="F69">LeisenReimerTrunc("a", "c", $B$1,$B$2,$B$3,$B$4,$B$4,$B$5,C69)</f>
        <v>8.4332360049228434</v>
      </c>
      <c r="J69" s="12">
        <v>68</v>
      </c>
      <c r="K69" s="12" cm="1">
        <f t="array" ref="K69">Bi_Call_Eur($I$1,$I$2,$I$3,$I$4,$I$5,J69)</f>
        <v>23.279858336044196</v>
      </c>
      <c r="L69" s="12" cm="1">
        <f t="array" ref="L69">BSCall($I$1,$I$2,$I$4,$I$5,$I$3)</f>
        <v>23.290127674229865</v>
      </c>
      <c r="M69" s="12" cm="1">
        <f t="array" ref="M69">LeisenReimerTrunc("a","c",$I$1,$I$2,$I$3,$I$4,$I$4,$I$5,J69)</f>
        <v>23.289902037360644</v>
      </c>
      <c r="Q69" s="12">
        <v>68</v>
      </c>
      <c r="R69" s="12" cm="1">
        <f t="array" ref="R69">Bi_Call_Eur($P$1,$P$2,$P$3,$P$4,$P$5,Q69)</f>
        <v>26.498847896499004</v>
      </c>
      <c r="S69" s="12" cm="1">
        <f t="array" ref="S69">BSCall($P$1,$P$2,$P$4,$P$5,$P$3)</f>
        <v>26.501515084741776</v>
      </c>
      <c r="T69" s="12" cm="1">
        <f t="array" ref="T69">LeisenReimerTrunc("a","c",$P$1,$P$2,$P$3,$P$4,$P$4,$P$5,Q69)</f>
        <v>26.501263283479958</v>
      </c>
    </row>
    <row r="70" spans="3:20" x14ac:dyDescent="0.3">
      <c r="C70" s="10">
        <v>69</v>
      </c>
      <c r="D70" s="10" cm="1">
        <f t="array" ref="D70">Bi_Call_Eur($B$1,$B$2,$B$3,$B$4,$B$5,C70)</f>
        <v>8.4520315330391522</v>
      </c>
      <c r="E70" s="10" cm="1">
        <f t="array" ref="E70">BSCall($B$1,$B$2,$B$4,$B$5,$B$3)</f>
        <v>8.4333186901096084</v>
      </c>
      <c r="F70" s="12" cm="1">
        <f t="array" ref="F70">LeisenReimerTrunc("a", "c", $B$1,$B$2,$B$3,$B$4,$B$4,$B$5,C70)</f>
        <v>8.4332360049228434</v>
      </c>
      <c r="J70" s="12">
        <v>69</v>
      </c>
      <c r="K70" s="12" cm="1">
        <f t="array" ref="K70">Bi_Call_Eur($I$1,$I$2,$I$3,$I$4,$I$5,J70)</f>
        <v>23.357591782536677</v>
      </c>
      <c r="L70" s="12" cm="1">
        <f t="array" ref="L70">BSCall($I$1,$I$2,$I$4,$I$5,$I$3)</f>
        <v>23.290127674229865</v>
      </c>
      <c r="M70" s="12" cm="1">
        <f t="array" ref="M70">LeisenReimerTrunc("a","c",$I$1,$I$2,$I$3,$I$4,$I$4,$I$5,J70)</f>
        <v>23.289902037360644</v>
      </c>
      <c r="Q70" s="12">
        <v>69</v>
      </c>
      <c r="R70" s="12" cm="1">
        <f t="array" ref="R70">Bi_Call_Eur($P$1,$P$2,$P$3,$P$4,$P$5,Q70)</f>
        <v>26.573263043647529</v>
      </c>
      <c r="S70" s="12" cm="1">
        <f t="array" ref="S70">BSCall($P$1,$P$2,$P$4,$P$5,$P$3)</f>
        <v>26.501515084741776</v>
      </c>
      <c r="T70" s="12" cm="1">
        <f t="array" ref="T70">LeisenReimerTrunc("a","c",$P$1,$P$2,$P$3,$P$4,$P$4,$P$5,Q70)</f>
        <v>26.501263283479958</v>
      </c>
    </row>
    <row r="71" spans="3:20" x14ac:dyDescent="0.3">
      <c r="C71" s="10">
        <v>70</v>
      </c>
      <c r="D71" s="10" cm="1">
        <f t="array" ref="D71">Bi_Call_Eur($B$1,$B$2,$B$3,$B$4,$B$5,C71)</f>
        <v>8.4422422234786332</v>
      </c>
      <c r="E71" s="10" cm="1">
        <f t="array" ref="E71">BSCall($B$1,$B$2,$B$4,$B$5,$B$3)</f>
        <v>8.4333186901096084</v>
      </c>
      <c r="F71" s="12" cm="1">
        <f t="array" ref="F71">LeisenReimerTrunc("a", "c", $B$1,$B$2,$B$3,$B$4,$B$4,$B$5,C71)</f>
        <v>8.4332405490925346</v>
      </c>
      <c r="J71" s="12">
        <v>70</v>
      </c>
      <c r="K71" s="12" cm="1">
        <f t="array" ref="K71">Bi_Call_Eur($I$1,$I$2,$I$3,$I$4,$I$5,J71)</f>
        <v>23.280998121969205</v>
      </c>
      <c r="L71" s="12" cm="1">
        <f t="array" ref="L71">BSCall($I$1,$I$2,$I$4,$I$5,$I$3)</f>
        <v>23.290127674229865</v>
      </c>
      <c r="M71" s="12" cm="1">
        <f t="array" ref="M71">LeisenReimerTrunc("a","c",$I$1,$I$2,$I$3,$I$4,$I$4,$I$5,J71)</f>
        <v>23.289914436949889</v>
      </c>
      <c r="Q71" s="12">
        <v>70</v>
      </c>
      <c r="R71" s="12" cm="1">
        <f t="array" ref="R71">Bi_Call_Eur($P$1,$P$2,$P$3,$P$4,$P$5,Q71)</f>
        <v>26.500024186933544</v>
      </c>
      <c r="S71" s="12" cm="1">
        <f t="array" ref="S71">BSCall($P$1,$P$2,$P$4,$P$5,$P$3)</f>
        <v>26.501515084741776</v>
      </c>
      <c r="T71" s="12" cm="1">
        <f t="array" ref="T71">LeisenReimerTrunc("a","c",$P$1,$P$2,$P$3,$P$4,$P$4,$P$5,Q71)</f>
        <v>26.501277120510235</v>
      </c>
    </row>
    <row r="72" spans="3:20" x14ac:dyDescent="0.3">
      <c r="C72" s="10">
        <v>71</v>
      </c>
      <c r="D72" s="10" cm="1">
        <f t="array" ref="D72">Bi_Call_Eur($B$1,$B$2,$B$3,$B$4,$B$5,C72)</f>
        <v>8.4512157571314237</v>
      </c>
      <c r="E72" s="10" cm="1">
        <f t="array" ref="E72">BSCall($B$1,$B$2,$B$4,$B$5,$B$3)</f>
        <v>8.4333186901096084</v>
      </c>
      <c r="F72" s="12" cm="1">
        <f t="array" ref="F72">LeisenReimerTrunc("a", "c", $B$1,$B$2,$B$3,$B$4,$B$4,$B$5,C72)</f>
        <v>8.4332405490925346</v>
      </c>
      <c r="J72" s="12">
        <v>71</v>
      </c>
      <c r="K72" s="12" cm="1">
        <f t="array" ref="K72">Bi_Call_Eur($I$1,$I$2,$I$3,$I$4,$I$5,J72)</f>
        <v>23.355382626595524</v>
      </c>
      <c r="L72" s="12" cm="1">
        <f t="array" ref="L72">BSCall($I$1,$I$2,$I$4,$I$5,$I$3)</f>
        <v>23.290127674229865</v>
      </c>
      <c r="M72" s="12" cm="1">
        <f t="array" ref="M72">LeisenReimerTrunc("a","c",$I$1,$I$2,$I$3,$I$4,$I$4,$I$5,J72)</f>
        <v>23.289914436949889</v>
      </c>
      <c r="Q72" s="12">
        <v>71</v>
      </c>
      <c r="R72" s="12" cm="1">
        <f t="array" ref="R72">Bi_Call_Eur($P$1,$P$2,$P$3,$P$4,$P$5,Q72)</f>
        <v>26.570810060975603</v>
      </c>
      <c r="S72" s="12" cm="1">
        <f t="array" ref="S72">BSCall($P$1,$P$2,$P$4,$P$5,$P$3)</f>
        <v>26.501515084741776</v>
      </c>
      <c r="T72" s="12" cm="1">
        <f t="array" ref="T72">LeisenReimerTrunc("a","c",$P$1,$P$2,$P$3,$P$4,$P$4,$P$5,Q72)</f>
        <v>26.501277120510235</v>
      </c>
    </row>
    <row r="73" spans="3:20" x14ac:dyDescent="0.3">
      <c r="C73" s="10">
        <v>72</v>
      </c>
      <c r="D73" s="10" cm="1">
        <f t="array" ref="D73">Bi_Call_Eur($B$1,$B$2,$B$3,$B$4,$B$5,C73)</f>
        <v>8.4423621284010082</v>
      </c>
      <c r="E73" s="10" cm="1">
        <f t="array" ref="E73">BSCall($B$1,$B$2,$B$4,$B$5,$B$3)</f>
        <v>8.4333186901096084</v>
      </c>
      <c r="F73" s="12" cm="1">
        <f t="array" ref="F73">LeisenReimerTrunc("a", "c", $B$1,$B$2,$B$3,$B$4,$B$4,$B$5,C73)</f>
        <v>8.4332447286781367</v>
      </c>
      <c r="J73" s="12">
        <v>72</v>
      </c>
      <c r="K73" s="12" cm="1">
        <f t="array" ref="K73">Bi_Call_Eur($I$1,$I$2,$I$3,$I$4,$I$5,J73)</f>
        <v>23.282077007438065</v>
      </c>
      <c r="L73" s="12" cm="1">
        <f t="array" ref="L73">BSCall($I$1,$I$2,$I$4,$I$5,$I$3)</f>
        <v>23.290127674229865</v>
      </c>
      <c r="M73" s="12" cm="1">
        <f t="array" ref="M73">LeisenReimerTrunc("a","c",$I$1,$I$2,$I$3,$I$4,$I$4,$I$5,J73)</f>
        <v>23.289925841774206</v>
      </c>
      <c r="Q73" s="12">
        <v>72</v>
      </c>
      <c r="R73" s="12" cm="1">
        <f t="array" ref="R73">Bi_Call_Eur($P$1,$P$2,$P$3,$P$4,$P$5,Q73)</f>
        <v>26.501075462544691</v>
      </c>
      <c r="S73" s="12" cm="1">
        <f t="array" ref="S73">BSCall($P$1,$P$2,$P$4,$P$5,$P$3)</f>
        <v>26.501515084741776</v>
      </c>
      <c r="T73" s="12" cm="1">
        <f t="array" ref="T73">LeisenReimerTrunc("a","c",$P$1,$P$2,$P$3,$P$4,$P$4,$P$5,Q73)</f>
        <v>26.501289847486284</v>
      </c>
    </row>
    <row r="74" spans="3:20" x14ac:dyDescent="0.3">
      <c r="C74" s="10">
        <v>73</v>
      </c>
      <c r="D74" s="10" cm="1">
        <f t="array" ref="D74">Bi_Call_Eur($B$1,$B$2,$B$3,$B$4,$B$5,C74)</f>
        <v>8.4504556843172658</v>
      </c>
      <c r="E74" s="10" cm="1">
        <f t="array" ref="E74">BSCall($B$1,$B$2,$B$4,$B$5,$B$3)</f>
        <v>8.4333186901096084</v>
      </c>
      <c r="F74" s="12" cm="1">
        <f t="array" ref="F74">LeisenReimerTrunc("a", "c", $B$1,$B$2,$B$3,$B$4,$B$4,$B$5,C74)</f>
        <v>8.4332447286781367</v>
      </c>
      <c r="J74" s="12">
        <v>73</v>
      </c>
      <c r="K74" s="12" cm="1">
        <f t="array" ref="K74">Bi_Call_Eur($I$1,$I$2,$I$3,$I$4,$I$5,J74)</f>
        <v>23.353304761193233</v>
      </c>
      <c r="L74" s="12" cm="1">
        <f t="array" ref="L74">BSCall($I$1,$I$2,$I$4,$I$5,$I$3)</f>
        <v>23.290127674229865</v>
      </c>
      <c r="M74" s="12" cm="1">
        <f t="array" ref="M74">LeisenReimerTrunc("a","c",$I$1,$I$2,$I$3,$I$4,$I$4,$I$5,J74)</f>
        <v>23.289925841774206</v>
      </c>
      <c r="Q74" s="12">
        <v>73</v>
      </c>
      <c r="R74" s="12" cm="1">
        <f t="array" ref="R74">Bi_Call_Eur($P$1,$P$2,$P$3,$P$4,$P$5,Q74)</f>
        <v>26.568472625955902</v>
      </c>
      <c r="S74" s="12" cm="1">
        <f t="array" ref="S74">BSCall($P$1,$P$2,$P$4,$P$5,$P$3)</f>
        <v>26.501515084741776</v>
      </c>
      <c r="T74" s="12" cm="1">
        <f t="array" ref="T74">LeisenReimerTrunc("a","c",$P$1,$P$2,$P$3,$P$4,$P$4,$P$5,Q74)</f>
        <v>26.501289847486284</v>
      </c>
    </row>
    <row r="75" spans="3:20" x14ac:dyDescent="0.3">
      <c r="C75" s="10">
        <v>74</v>
      </c>
      <c r="D75" s="10" cm="1">
        <f t="array" ref="D75">Bi_Call_Eur($B$1,$B$2,$B$3,$B$4,$B$5,C75)</f>
        <v>8.4424659946705312</v>
      </c>
      <c r="E75" s="10" cm="1">
        <f t="array" ref="E75">BSCall($B$1,$B$2,$B$4,$B$5,$B$3)</f>
        <v>8.4333186901096084</v>
      </c>
      <c r="F75" s="12" cm="1">
        <f t="array" ref="F75">LeisenReimerTrunc("a", "c", $B$1,$B$2,$B$3,$B$4,$B$4,$B$5,C75)</f>
        <v>8.4332485816652571</v>
      </c>
      <c r="J75" s="12">
        <v>74</v>
      </c>
      <c r="K75" s="12" cm="1">
        <f t="array" ref="K75">Bi_Call_Eur($I$1,$I$2,$I$3,$I$4,$I$5,J75)</f>
        <v>23.283115944369701</v>
      </c>
      <c r="L75" s="12" cm="1">
        <f t="array" ref="L75">BSCall($I$1,$I$2,$I$4,$I$5,$I$3)</f>
        <v>23.290127674229865</v>
      </c>
      <c r="M75" s="12" cm="1">
        <f t="array" ref="M75">LeisenReimerTrunc("a","c",$I$1,$I$2,$I$3,$I$4,$I$4,$I$5,J75)</f>
        <v>23.289936355469795</v>
      </c>
      <c r="Q75" s="12">
        <v>74</v>
      </c>
      <c r="R75" s="12" cm="1">
        <f t="array" ref="R75">Bi_Call_Eur($P$1,$P$2,$P$3,$P$4,$P$5,Q75)</f>
        <v>26.502052864487929</v>
      </c>
      <c r="S75" s="12" cm="1">
        <f t="array" ref="S75">BSCall($P$1,$P$2,$P$4,$P$5,$P$3)</f>
        <v>26.501515084741776</v>
      </c>
      <c r="T75" s="12" cm="1">
        <f t="array" ref="T75">LeisenReimerTrunc("a","c",$P$1,$P$2,$P$3,$P$4,$P$4,$P$5,Q75)</f>
        <v>26.501301580048864</v>
      </c>
    </row>
    <row r="76" spans="3:20" x14ac:dyDescent="0.3">
      <c r="C76" s="10">
        <v>75</v>
      </c>
      <c r="D76" s="10" cm="1">
        <f t="array" ref="D76">Bi_Call_Eur($B$1,$B$2,$B$3,$B$4,$B$5,C76)</f>
        <v>8.4497296060673381</v>
      </c>
      <c r="E76" s="10" cm="1">
        <f t="array" ref="E76">BSCall($B$1,$B$2,$B$4,$B$5,$B$3)</f>
        <v>8.4333186901096084</v>
      </c>
      <c r="F76" s="12" cm="1">
        <f t="array" ref="F76">LeisenReimerTrunc("a", "c", $B$1,$B$2,$B$3,$B$4,$B$4,$B$5,C76)</f>
        <v>8.4332485816652571</v>
      </c>
      <c r="J76" s="12">
        <v>75</v>
      </c>
      <c r="K76" s="12" cm="1">
        <f t="array" ref="K76">Bi_Call_Eur($I$1,$I$2,$I$3,$I$4,$I$5,J76)</f>
        <v>23.351322039516138</v>
      </c>
      <c r="L76" s="12" cm="1">
        <f t="array" ref="L76">BSCall($I$1,$I$2,$I$4,$I$5,$I$3)</f>
        <v>23.290127674229865</v>
      </c>
      <c r="M76" s="12" cm="1">
        <f t="array" ref="M76">LeisenReimerTrunc("a","c",$I$1,$I$2,$I$3,$I$4,$I$4,$I$5,J76)</f>
        <v>23.289936355469795</v>
      </c>
      <c r="Q76" s="12">
        <v>75</v>
      </c>
      <c r="R76" s="12" cm="1">
        <f t="array" ref="R76">Bi_Call_Eur($P$1,$P$2,$P$3,$P$4,$P$5,Q76)</f>
        <v>26.566265906043711</v>
      </c>
      <c r="S76" s="12" cm="1">
        <f t="array" ref="S76">BSCall($P$1,$P$2,$P$4,$P$5,$P$3)</f>
        <v>26.501515084741776</v>
      </c>
      <c r="T76" s="12" cm="1">
        <f t="array" ref="T76">LeisenReimerTrunc("a","c",$P$1,$P$2,$P$3,$P$4,$P$4,$P$5,Q76)</f>
        <v>26.501301580048864</v>
      </c>
    </row>
    <row r="77" spans="3:20" x14ac:dyDescent="0.3">
      <c r="C77" s="10">
        <v>76</v>
      </c>
      <c r="D77" s="10" cm="1">
        <f t="array" ref="D77">Bi_Call_Eur($B$1,$B$2,$B$3,$B$4,$B$5,C77)</f>
        <v>8.4425774090028725</v>
      </c>
      <c r="E77" s="10" cm="1">
        <f t="array" ref="E77">BSCall($B$1,$B$2,$B$4,$B$5,$B$3)</f>
        <v>8.4333186901096084</v>
      </c>
      <c r="F77" s="12" cm="1">
        <f t="array" ref="F77">LeisenReimerTrunc("a", "c", $B$1,$B$2,$B$3,$B$4,$B$4,$B$5,C77)</f>
        <v>8.433252141218615</v>
      </c>
      <c r="J77" s="12">
        <v>76</v>
      </c>
      <c r="K77" s="12" cm="1">
        <f t="array" ref="K77">Bi_Call_Eur($I$1,$I$2,$I$3,$I$4,$I$5,J77)</f>
        <v>23.284038802609242</v>
      </c>
      <c r="L77" s="12" cm="1">
        <f t="array" ref="L77">BSCall($I$1,$I$2,$I$4,$I$5,$I$3)</f>
        <v>23.290127674229865</v>
      </c>
      <c r="M77" s="12" cm="1">
        <f t="array" ref="M77">LeisenReimerTrunc("a","c",$I$1,$I$2,$I$3,$I$4,$I$4,$I$5,J77)</f>
        <v>23.289946068515658</v>
      </c>
      <c r="Q77" s="12">
        <v>76</v>
      </c>
      <c r="R77" s="12" cm="1">
        <f t="array" ref="R77">Bi_Call_Eur($P$1,$P$2,$P$3,$P$4,$P$5,Q77)</f>
        <v>26.502931760277043</v>
      </c>
      <c r="S77" s="12" cm="1">
        <f t="array" ref="S77">BSCall($P$1,$P$2,$P$4,$P$5,$P$3)</f>
        <v>26.501515084741776</v>
      </c>
      <c r="T77" s="12" cm="1">
        <f t="array" ref="T77">LeisenReimerTrunc("a","c",$P$1,$P$2,$P$3,$P$4,$P$4,$P$5,Q77)</f>
        <v>26.501312419167451</v>
      </c>
    </row>
    <row r="78" spans="3:20" x14ac:dyDescent="0.3">
      <c r="C78" s="10">
        <v>77</v>
      </c>
      <c r="D78" s="10" cm="1">
        <f t="array" ref="D78">Bi_Call_Eur($B$1,$B$2,$B$3,$B$4,$B$5,C78)</f>
        <v>8.4490375197362457</v>
      </c>
      <c r="E78" s="10" cm="1">
        <f t="array" ref="E78">BSCall($B$1,$B$2,$B$4,$B$5,$B$3)</f>
        <v>8.4333186901096084</v>
      </c>
      <c r="F78" s="12" cm="1">
        <f t="array" ref="F78">LeisenReimerTrunc("a", "c", $B$1,$B$2,$B$3,$B$4,$B$4,$B$5,C78)</f>
        <v>8.433252141218615</v>
      </c>
      <c r="J78" s="12">
        <v>77</v>
      </c>
      <c r="K78" s="12" cm="1">
        <f t="array" ref="K78">Bi_Call_Eur($I$1,$I$2,$I$3,$I$4,$I$5,J78)</f>
        <v>23.349453482895548</v>
      </c>
      <c r="L78" s="12" cm="1">
        <f t="array" ref="L78">BSCall($I$1,$I$2,$I$4,$I$5,$I$3)</f>
        <v>23.290127674229865</v>
      </c>
      <c r="M78" s="12" cm="1">
        <f t="array" ref="M78">LeisenReimerTrunc("a","c",$I$1,$I$2,$I$3,$I$4,$I$4,$I$5,J78)</f>
        <v>23.289946068515658</v>
      </c>
      <c r="Q78" s="12">
        <v>77</v>
      </c>
      <c r="R78" s="12" cm="1">
        <f t="array" ref="R78">Bi_Call_Eur($P$1,$P$2,$P$3,$P$4,$P$5,Q78)</f>
        <v>26.564186082845225</v>
      </c>
      <c r="S78" s="12" cm="1">
        <f t="array" ref="S78">BSCall($P$1,$P$2,$P$4,$P$5,$P$3)</f>
        <v>26.501515084741776</v>
      </c>
      <c r="T78" s="12" cm="1">
        <f t="array" ref="T78">LeisenReimerTrunc("a","c",$P$1,$P$2,$P$3,$P$4,$P$4,$P$5,Q78)</f>
        <v>26.501312419167451</v>
      </c>
    </row>
    <row r="79" spans="3:20" x14ac:dyDescent="0.3">
      <c r="C79" s="10">
        <v>78</v>
      </c>
      <c r="D79" s="10" cm="1">
        <f t="array" ref="D79">Bi_Call_Eur($B$1,$B$2,$B$3,$B$4,$B$5,C79)</f>
        <v>8.4426642721480949</v>
      </c>
      <c r="E79" s="10" cm="1">
        <f t="array" ref="E79">BSCall($B$1,$B$2,$B$4,$B$5,$B$3)</f>
        <v>8.4333186901096084</v>
      </c>
      <c r="F79" s="12" cm="1">
        <f t="array" ref="F79">LeisenReimerTrunc("a", "c", $B$1,$B$2,$B$3,$B$4,$B$4,$B$5,C79)</f>
        <v>8.4332554363969123</v>
      </c>
      <c r="J79" s="12">
        <v>78</v>
      </c>
      <c r="K79" s="12" cm="1">
        <f t="array" ref="K79">Bi_Call_Eur($I$1,$I$2,$I$3,$I$4,$I$5,J79)</f>
        <v>23.28491028967089</v>
      </c>
      <c r="L79" s="12" cm="1">
        <f t="array" ref="L79">BSCall($I$1,$I$2,$I$4,$I$5,$I$3)</f>
        <v>23.290127674229865</v>
      </c>
      <c r="M79" s="12" cm="1">
        <f t="array" ref="M79">LeisenReimerTrunc("a","c",$I$1,$I$2,$I$3,$I$4,$I$4,$I$5,J79)</f>
        <v>23.289955060197325</v>
      </c>
      <c r="Q79" s="12">
        <v>78</v>
      </c>
      <c r="R79" s="12" cm="1">
        <f t="array" ref="R79">Bi_Call_Eur($P$1,$P$2,$P$3,$P$4,$P$5,Q79)</f>
        <v>26.503803096672904</v>
      </c>
      <c r="S79" s="12" cm="1">
        <f t="array" ref="S79">BSCall($P$1,$P$2,$P$4,$P$5,$P$3)</f>
        <v>26.501515084741776</v>
      </c>
      <c r="T79" s="12" cm="1">
        <f t="array" ref="T79">LeisenReimerTrunc("a","c",$P$1,$P$2,$P$3,$P$4,$P$4,$P$5,Q79)</f>
        <v>26.501322453308347</v>
      </c>
    </row>
    <row r="80" spans="3:20" x14ac:dyDescent="0.3">
      <c r="C80" s="10">
        <v>79</v>
      </c>
      <c r="D80" s="10" cm="1">
        <f t="array" ref="D80">Bi_Call_Eur($B$1,$B$2,$B$3,$B$4,$B$5,C80)</f>
        <v>8.4483907490356653</v>
      </c>
      <c r="E80" s="10" cm="1">
        <f t="array" ref="E80">BSCall($B$1,$B$2,$B$4,$B$5,$B$3)</f>
        <v>8.4333186901096084</v>
      </c>
      <c r="F80" s="12" cm="1">
        <f t="array" ref="F80">LeisenReimerTrunc("a", "c", $B$1,$B$2,$B$3,$B$4,$B$4,$B$5,C80)</f>
        <v>8.4332554363969123</v>
      </c>
      <c r="J80" s="12">
        <v>79</v>
      </c>
      <c r="K80" s="12" cm="1">
        <f t="array" ref="K80">Bi_Call_Eur($I$1,$I$2,$I$3,$I$4,$I$5,J80)</f>
        <v>23.34767055143379</v>
      </c>
      <c r="L80" s="12" cm="1">
        <f t="array" ref="L80">BSCall($I$1,$I$2,$I$4,$I$5,$I$3)</f>
        <v>23.290127674229865</v>
      </c>
      <c r="M80" s="12" cm="1">
        <f t="array" ref="M80">LeisenReimerTrunc("a","c",$I$1,$I$2,$I$3,$I$4,$I$4,$I$5,J80)</f>
        <v>23.289955060197325</v>
      </c>
      <c r="Q80" s="12">
        <v>79</v>
      </c>
      <c r="R80" s="12" cm="1">
        <f t="array" ref="R80">Bi_Call_Eur($P$1,$P$2,$P$3,$P$4,$P$5,Q80)</f>
        <v>26.562200976054225</v>
      </c>
      <c r="S80" s="12" cm="1">
        <f t="array" ref="S80">BSCall($P$1,$P$2,$P$4,$P$5,$P$3)</f>
        <v>26.501515084741776</v>
      </c>
      <c r="T80" s="12" cm="1">
        <f t="array" ref="T80">LeisenReimerTrunc("a","c",$P$1,$P$2,$P$3,$P$4,$P$4,$P$5,Q80)</f>
        <v>26.501322453308347</v>
      </c>
    </row>
    <row r="81" spans="3:20" x14ac:dyDescent="0.3">
      <c r="C81" s="10">
        <v>80</v>
      </c>
      <c r="D81" s="10" cm="1">
        <f t="array" ref="D81">Bi_Call_Eur($B$1,$B$2,$B$3,$B$4,$B$5,C81)</f>
        <v>8.4427379223488686</v>
      </c>
      <c r="E81" s="10" cm="1">
        <f t="array" ref="E81">BSCall($B$1,$B$2,$B$4,$B$5,$B$3)</f>
        <v>8.4333186901096084</v>
      </c>
      <c r="F81" s="12" cm="1">
        <f t="array" ref="F81">LeisenReimerTrunc("a", "c", $B$1,$B$2,$B$3,$B$4,$B$4,$B$5,C81)</f>
        <v>8.4332584927495695</v>
      </c>
      <c r="J81" s="12">
        <v>80</v>
      </c>
      <c r="K81" s="12" cm="1">
        <f t="array" ref="K81">Bi_Call_Eur($I$1,$I$2,$I$3,$I$4,$I$5,J81)</f>
        <v>23.28572849655907</v>
      </c>
      <c r="L81" s="12" cm="1">
        <f t="array" ref="L81">BSCall($I$1,$I$2,$I$4,$I$5,$I$3)</f>
        <v>23.290127674229865</v>
      </c>
      <c r="M81" s="12" cm="1">
        <f t="array" ref="M81">LeisenReimerTrunc("a","c",$I$1,$I$2,$I$3,$I$4,$I$4,$I$5,J81)</f>
        <v>23.289963400219744</v>
      </c>
      <c r="Q81" s="12">
        <v>80</v>
      </c>
      <c r="R81" s="12" cm="1">
        <f t="array" ref="R81">Bi_Call_Eur($P$1,$P$2,$P$3,$P$4,$P$5,Q81)</f>
        <v>26.504600553406569</v>
      </c>
      <c r="S81" s="12" cm="1">
        <f t="array" ref="S81">BSCall($P$1,$P$2,$P$4,$P$5,$P$3)</f>
        <v>26.501515084741776</v>
      </c>
      <c r="T81" s="12" cm="1">
        <f t="array" ref="T81">LeisenReimerTrunc("a","c",$P$1,$P$2,$P$3,$P$4,$P$4,$P$5,Q81)</f>
        <v>26.501331760257287</v>
      </c>
    </row>
    <row r="82" spans="3:20" x14ac:dyDescent="0.3">
      <c r="C82" s="10">
        <v>81</v>
      </c>
      <c r="D82" s="10" cm="1">
        <f t="array" ref="D82">Bi_Call_Eur($B$1,$B$2,$B$3,$B$4,$B$5,C82)</f>
        <v>8.4477770308117073</v>
      </c>
      <c r="E82" s="10" cm="1">
        <f t="array" ref="E82">BSCall($B$1,$B$2,$B$4,$B$5,$B$3)</f>
        <v>8.4333186901096084</v>
      </c>
      <c r="F82" s="12" cm="1">
        <f t="array" ref="F82">LeisenReimerTrunc("a", "c", $B$1,$B$2,$B$3,$B$4,$B$4,$B$5,C82)</f>
        <v>8.4332584927495695</v>
      </c>
      <c r="J82" s="12">
        <v>81</v>
      </c>
      <c r="K82" s="12" cm="1">
        <f t="array" ref="K82">Bi_Call_Eur($I$1,$I$2,$I$3,$I$4,$I$5,J82)</f>
        <v>23.34598847208234</v>
      </c>
      <c r="L82" s="12" cm="1">
        <f t="array" ref="L82">BSCall($I$1,$I$2,$I$4,$I$5,$I$3)</f>
        <v>23.290127674229865</v>
      </c>
      <c r="M82" s="12" cm="1">
        <f t="array" ref="M82">LeisenReimerTrunc("a","c",$I$1,$I$2,$I$3,$I$4,$I$4,$I$5,J82)</f>
        <v>23.289963400219744</v>
      </c>
      <c r="Q82" s="12">
        <v>81</v>
      </c>
      <c r="R82" s="12" cm="1">
        <f t="array" ref="R82">Bi_Call_Eur($P$1,$P$2,$P$3,$P$4,$P$5,Q82)</f>
        <v>26.560306780810585</v>
      </c>
      <c r="S82" s="12" cm="1">
        <f t="array" ref="S82">BSCall($P$1,$P$2,$P$4,$P$5,$P$3)</f>
        <v>26.501515084741776</v>
      </c>
      <c r="T82" s="12" cm="1">
        <f t="array" ref="T82">LeisenReimerTrunc("a","c",$P$1,$P$2,$P$3,$P$4,$P$4,$P$5,Q82)</f>
        <v>26.501331760257287</v>
      </c>
    </row>
    <row r="83" spans="3:20" x14ac:dyDescent="0.3">
      <c r="C83" s="10">
        <v>82</v>
      </c>
      <c r="D83" s="10" cm="1">
        <f t="array" ref="D83">Bi_Call_Eur($B$1,$B$2,$B$3,$B$4,$B$5,C83)</f>
        <v>8.4427879595353801</v>
      </c>
      <c r="E83" s="10" cm="1">
        <f t="array" ref="E83">BSCall($B$1,$B$2,$B$4,$B$5,$B$3)</f>
        <v>8.4333186901096084</v>
      </c>
      <c r="F83" s="12" cm="1">
        <f t="array" ref="F83">LeisenReimerTrunc("a", "c", $B$1,$B$2,$B$3,$B$4,$B$4,$B$5,C83)</f>
        <v>8.4332613328071826</v>
      </c>
      <c r="J83" s="12">
        <v>82</v>
      </c>
      <c r="K83" s="12" cm="1">
        <f t="array" ref="K83">Bi_Call_Eur($I$1,$I$2,$I$3,$I$4,$I$5,J83)</f>
        <v>23.286533382041728</v>
      </c>
      <c r="L83" s="12" cm="1">
        <f t="array" ref="L83">BSCall($I$1,$I$2,$I$4,$I$5,$I$3)</f>
        <v>23.290127674229865</v>
      </c>
      <c r="M83" s="12" cm="1">
        <f t="array" ref="M83">LeisenReimerTrunc("a","c",$I$1,$I$2,$I$3,$I$4,$I$4,$I$5,J83)</f>
        <v>23.289971150067018</v>
      </c>
      <c r="Q83" s="12">
        <v>82</v>
      </c>
      <c r="R83" s="12" cm="1">
        <f t="array" ref="R83">Bi_Call_Eur($P$1,$P$2,$P$3,$P$4,$P$5,Q83)</f>
        <v>26.505310876534523</v>
      </c>
      <c r="S83" s="12" cm="1">
        <f t="array" ref="S83">BSCall($P$1,$P$2,$P$4,$P$5,$P$3)</f>
        <v>26.501515084741776</v>
      </c>
      <c r="T83" s="12" cm="1">
        <f t="array" ref="T83">LeisenReimerTrunc("a","c",$P$1,$P$2,$P$3,$P$4,$P$4,$P$5,Q83)</f>
        <v>26.501340408624316</v>
      </c>
    </row>
    <row r="84" spans="3:20" x14ac:dyDescent="0.3">
      <c r="C84" s="10">
        <v>83</v>
      </c>
      <c r="D84" s="10" cm="1">
        <f t="array" ref="D84">Bi_Call_Eur($B$1,$B$2,$B$3,$B$4,$B$5,C84)</f>
        <v>8.4471944693143541</v>
      </c>
      <c r="E84" s="10" cm="1">
        <f t="array" ref="E84">BSCall($B$1,$B$2,$B$4,$B$5,$B$3)</f>
        <v>8.4333186901096084</v>
      </c>
      <c r="F84" s="12" cm="1">
        <f t="array" ref="F84">LeisenReimerTrunc("a", "c", $B$1,$B$2,$B$3,$B$4,$B$4,$B$5,C84)</f>
        <v>8.4332613328071826</v>
      </c>
      <c r="J84" s="12">
        <v>83</v>
      </c>
      <c r="K84" s="12" cm="1">
        <f t="array" ref="K84">Bi_Call_Eur($I$1,$I$2,$I$3,$I$4,$I$5,J84)</f>
        <v>23.344401531205499</v>
      </c>
      <c r="L84" s="12" cm="1">
        <f t="array" ref="L84">BSCall($I$1,$I$2,$I$4,$I$5,$I$3)</f>
        <v>23.290127674229865</v>
      </c>
      <c r="M84" s="12" cm="1">
        <f t="array" ref="M84">LeisenReimerTrunc("a","c",$I$1,$I$2,$I$3,$I$4,$I$4,$I$5,J84)</f>
        <v>23.289971150067018</v>
      </c>
      <c r="Q84" s="12">
        <v>83</v>
      </c>
      <c r="R84" s="12" cm="1">
        <f t="array" ref="R84">Bi_Call_Eur($P$1,$P$2,$P$3,$P$4,$P$5,Q84)</f>
        <v>26.55852813784211</v>
      </c>
      <c r="S84" s="12" cm="1">
        <f t="array" ref="S84">BSCall($P$1,$P$2,$P$4,$P$5,$P$3)</f>
        <v>26.501515084741776</v>
      </c>
      <c r="T84" s="12" cm="1">
        <f t="array" ref="T84">LeisenReimerTrunc("a","c",$P$1,$P$2,$P$3,$P$4,$P$4,$P$5,Q84)</f>
        <v>26.501340408624316</v>
      </c>
    </row>
    <row r="85" spans="3:20" x14ac:dyDescent="0.3">
      <c r="C85" s="10">
        <v>84</v>
      </c>
      <c r="D85" s="10" cm="1">
        <f t="array" ref="D85">Bi_Call_Eur($B$1,$B$2,$B$3,$B$4,$B$5,C85)</f>
        <v>8.4428578297547965</v>
      </c>
      <c r="E85" s="10" cm="1">
        <f t="array" ref="E85">BSCall($B$1,$B$2,$B$4,$B$5,$B$3)</f>
        <v>8.4333186901096084</v>
      </c>
      <c r="F85" s="12" cm="1">
        <f t="array" ref="F85">LeisenReimerTrunc("a", "c", $B$1,$B$2,$B$3,$B$4,$B$4,$B$5,C85)</f>
        <v>8.4332639765107071</v>
      </c>
      <c r="J85" s="12">
        <v>84</v>
      </c>
      <c r="K85" s="12" cm="1">
        <f t="array" ref="K85">Bi_Call_Eur($I$1,$I$2,$I$3,$I$4,$I$5,J85)</f>
        <v>23.287254546019959</v>
      </c>
      <c r="L85" s="12" cm="1">
        <f t="array" ref="L85">BSCall($I$1,$I$2,$I$4,$I$5,$I$3)</f>
        <v>23.290127674229865</v>
      </c>
      <c r="M85" s="12" cm="1">
        <f t="array" ref="M85">LeisenReimerTrunc("a","c",$I$1,$I$2,$I$3,$I$4,$I$4,$I$5,J85)</f>
        <v>23.289978364141042</v>
      </c>
      <c r="Q85" s="12">
        <v>84</v>
      </c>
      <c r="R85" s="12" cm="1">
        <f t="array" ref="R85">Bi_Call_Eur($P$1,$P$2,$P$3,$P$4,$P$5,Q85)</f>
        <v>26.506015503944521</v>
      </c>
      <c r="S85" s="12" cm="1">
        <f t="array" ref="S85">BSCall($P$1,$P$2,$P$4,$P$5,$P$3)</f>
        <v>26.501515084741776</v>
      </c>
      <c r="T85" s="12" cm="1">
        <f t="array" ref="T85">LeisenReimerTrunc("a","c",$P$1,$P$2,$P$3,$P$4,$P$4,$P$5,Q85)</f>
        <v>26.501348459114173</v>
      </c>
    </row>
    <row r="86" spans="3:20" x14ac:dyDescent="0.3">
      <c r="C86" s="10">
        <v>85</v>
      </c>
      <c r="D86" s="10" cm="1">
        <f t="array" ref="D86">Bi_Call_Eur($B$1,$B$2,$B$3,$B$4,$B$5,C86)</f>
        <v>8.4466270150374534</v>
      </c>
      <c r="E86" s="10" cm="1">
        <f t="array" ref="E86">BSCall($B$1,$B$2,$B$4,$B$5,$B$3)</f>
        <v>8.4333186901096084</v>
      </c>
      <c r="F86" s="12" cm="1">
        <f t="array" ref="F86">LeisenReimerTrunc("a", "c", $B$1,$B$2,$B$3,$B$4,$B$4,$B$5,C86)</f>
        <v>8.4332639765107071</v>
      </c>
      <c r="J86" s="12">
        <v>85</v>
      </c>
      <c r="K86" s="12" cm="1">
        <f t="array" ref="K86">Bi_Call_Eur($I$1,$I$2,$I$3,$I$4,$I$5,J86)</f>
        <v>23.342875479066969</v>
      </c>
      <c r="L86" s="12" cm="1">
        <f t="array" ref="L86">BSCall($I$1,$I$2,$I$4,$I$5,$I$3)</f>
        <v>23.290127674229865</v>
      </c>
      <c r="M86" s="12" cm="1">
        <f t="array" ref="M86">LeisenReimerTrunc("a","c",$I$1,$I$2,$I$3,$I$4,$I$4,$I$5,J86)</f>
        <v>23.289978364141042</v>
      </c>
      <c r="Q86" s="12">
        <v>85</v>
      </c>
      <c r="R86" s="12" cm="1">
        <f t="array" ref="R86">Bi_Call_Eur($P$1,$P$2,$P$3,$P$4,$P$5,Q86)</f>
        <v>26.556825256309732</v>
      </c>
      <c r="S86" s="12" cm="1">
        <f t="array" ref="S86">BSCall($P$1,$P$2,$P$4,$P$5,$P$3)</f>
        <v>26.501515084741776</v>
      </c>
      <c r="T86" s="12" cm="1">
        <f t="array" ref="T86">LeisenReimerTrunc("a","c",$P$1,$P$2,$P$3,$P$4,$P$4,$P$5,Q86)</f>
        <v>26.501348459114173</v>
      </c>
    </row>
    <row r="87" spans="3:20" x14ac:dyDescent="0.3">
      <c r="C87" s="10">
        <v>86</v>
      </c>
      <c r="D87" s="10" cm="1">
        <f t="array" ref="D87">Bi_Call_Eur($B$1,$B$2,$B$3,$B$4,$B$5,C87)</f>
        <v>8.4429088142340838</v>
      </c>
      <c r="E87" s="10" cm="1">
        <f t="array" ref="E87">BSCall($B$1,$B$2,$B$4,$B$5,$B$3)</f>
        <v>8.4333186901096084</v>
      </c>
      <c r="F87" s="12" cm="1">
        <f t="array" ref="F87">LeisenReimerTrunc("a", "c", $B$1,$B$2,$B$3,$B$4,$B$4,$B$5,C87)</f>
        <v>8.4332664415526235</v>
      </c>
      <c r="J87" s="12">
        <v>86</v>
      </c>
      <c r="K87" s="12" cm="1">
        <f t="array" ref="K87">Bi_Call_Eur($I$1,$I$2,$I$3,$I$4,$I$5,J87)</f>
        <v>23.287941458936636</v>
      </c>
      <c r="L87" s="12" cm="1">
        <f t="array" ref="L87">BSCall($I$1,$I$2,$I$4,$I$5,$I$3)</f>
        <v>23.290127674229865</v>
      </c>
      <c r="M87" s="12" cm="1">
        <f t="array" ref="M87">LeisenReimerTrunc("a","c",$I$1,$I$2,$I$3,$I$4,$I$4,$I$5,J87)</f>
        <v>23.289985090715795</v>
      </c>
      <c r="Q87" s="12">
        <v>86</v>
      </c>
      <c r="R87" s="12" cm="1">
        <f t="array" ref="R87">Bi_Call_Eur($P$1,$P$2,$P$3,$P$4,$P$5,Q87)</f>
        <v>26.506631125346793</v>
      </c>
      <c r="S87" s="12" cm="1">
        <f t="array" ref="S87">BSCall($P$1,$P$2,$P$4,$P$5,$P$3)</f>
        <v>26.501515084741776</v>
      </c>
      <c r="T87" s="12" cm="1">
        <f t="array" ref="T87">LeisenReimerTrunc("a","c",$P$1,$P$2,$P$3,$P$4,$P$4,$P$5,Q87)</f>
        <v>26.501355965596893</v>
      </c>
    </row>
    <row r="88" spans="3:20" x14ac:dyDescent="0.3">
      <c r="C88" s="10">
        <v>87</v>
      </c>
      <c r="D88" s="10" cm="1">
        <f t="array" ref="D88">Bi_Call_Eur($B$1,$B$2,$B$3,$B$4,$B$5,C88)</f>
        <v>8.446098271278986</v>
      </c>
      <c r="E88" s="10" cm="1">
        <f t="array" ref="E88">BSCall($B$1,$B$2,$B$4,$B$5,$B$3)</f>
        <v>8.4333186901096084</v>
      </c>
      <c r="F88" s="12" cm="1">
        <f t="array" ref="F88">LeisenReimerTrunc("a", "c", $B$1,$B$2,$B$3,$B$4,$B$4,$B$5,C88)</f>
        <v>8.4332664415526235</v>
      </c>
      <c r="J88" s="12">
        <v>87</v>
      </c>
      <c r="K88" s="12" cm="1">
        <f t="array" ref="K88">Bi_Call_Eur($I$1,$I$2,$I$3,$I$4,$I$5,J88)</f>
        <v>23.341406515212242</v>
      </c>
      <c r="L88" s="12" cm="1">
        <f t="array" ref="L88">BSCall($I$1,$I$2,$I$4,$I$5,$I$3)</f>
        <v>23.290127674229865</v>
      </c>
      <c r="M88" s="12" cm="1">
        <f t="array" ref="M88">LeisenReimerTrunc("a","c",$I$1,$I$2,$I$3,$I$4,$I$4,$I$5,J88)</f>
        <v>23.289985090715795</v>
      </c>
      <c r="Q88" s="12">
        <v>87</v>
      </c>
      <c r="R88" s="12" cm="1">
        <f t="array" ref="R88">Bi_Call_Eur($P$1,$P$2,$P$3,$P$4,$P$5,Q88)</f>
        <v>26.555179214566241</v>
      </c>
      <c r="S88" s="12" cm="1">
        <f t="array" ref="S88">BSCall($P$1,$P$2,$P$4,$P$5,$P$3)</f>
        <v>26.501515084741776</v>
      </c>
      <c r="T88" s="12" cm="1">
        <f t="array" ref="T88">LeisenReimerTrunc("a","c",$P$1,$P$2,$P$3,$P$4,$P$4,$P$5,Q88)</f>
        <v>26.501355965596893</v>
      </c>
    </row>
    <row r="89" spans="3:20" x14ac:dyDescent="0.3">
      <c r="C89" s="10">
        <v>88</v>
      </c>
      <c r="D89" s="10" cm="1">
        <f t="array" ref="D89">Bi_Call_Eur($B$1,$B$2,$B$3,$B$4,$B$5,C89)</f>
        <v>8.4429569702420313</v>
      </c>
      <c r="E89" s="10" cm="1">
        <f t="array" ref="E89">BSCall($B$1,$B$2,$B$4,$B$5,$B$3)</f>
        <v>8.4333186901096084</v>
      </c>
      <c r="F89" s="12" cm="1">
        <f t="array" ref="F89">LeisenReimerTrunc("a", "c", $B$1,$B$2,$B$3,$B$4,$B$4,$B$5,C89)</f>
        <v>8.4332687436795961</v>
      </c>
      <c r="J89" s="12">
        <v>88</v>
      </c>
      <c r="K89" s="12" cm="1">
        <f t="array" ref="K89">Bi_Call_Eur($I$1,$I$2,$I$3,$I$4,$I$5,J89)</f>
        <v>23.288552258905096</v>
      </c>
      <c r="L89" s="12" cm="1">
        <f t="array" ref="L89">BSCall($I$1,$I$2,$I$4,$I$5,$I$3)</f>
        <v>23.290127674229865</v>
      </c>
      <c r="M89" s="12" cm="1">
        <f t="array" ref="M89">LeisenReimerTrunc("a","c",$I$1,$I$2,$I$3,$I$4,$I$4,$I$5,J89)</f>
        <v>23.289991372748595</v>
      </c>
      <c r="Q89" s="12">
        <v>88</v>
      </c>
      <c r="R89" s="12" cm="1">
        <f t="array" ref="R89">Bi_Call_Eur($P$1,$P$2,$P$3,$P$4,$P$5,Q89)</f>
        <v>26.507241048259726</v>
      </c>
      <c r="S89" s="12" cm="1">
        <f t="array" ref="S89">BSCall($P$1,$P$2,$P$4,$P$5,$P$3)</f>
        <v>26.501515084741776</v>
      </c>
      <c r="T89" s="12" cm="1">
        <f t="array" ref="T89">LeisenReimerTrunc("a","c",$P$1,$P$2,$P$3,$P$4,$P$4,$P$5,Q89)</f>
        <v>26.501362976002596</v>
      </c>
    </row>
    <row r="90" spans="3:20" x14ac:dyDescent="0.3">
      <c r="C90" s="10">
        <v>89</v>
      </c>
      <c r="D90" s="10" cm="1">
        <f t="array" ref="D90">Bi_Call_Eur($B$1,$B$2,$B$3,$B$4,$B$5,C90)</f>
        <v>8.4455884103954411</v>
      </c>
      <c r="E90" s="10" cm="1">
        <f t="array" ref="E90">BSCall($B$1,$B$2,$B$4,$B$5,$B$3)</f>
        <v>8.4333186901096084</v>
      </c>
      <c r="F90" s="12" cm="1">
        <f t="array" ref="F90">LeisenReimerTrunc("a", "c", $B$1,$B$2,$B$3,$B$4,$B$4,$B$5,C90)</f>
        <v>8.4332687436795961</v>
      </c>
      <c r="J90" s="12">
        <v>89</v>
      </c>
      <c r="K90" s="12" cm="1">
        <f t="array" ref="K90">Bi_Call_Eur($I$1,$I$2,$I$3,$I$4,$I$5,J90)</f>
        <v>23.340028883559658</v>
      </c>
      <c r="L90" s="12" cm="1">
        <f t="array" ref="L90">BSCall($I$1,$I$2,$I$4,$I$5,$I$3)</f>
        <v>23.290127674229865</v>
      </c>
      <c r="M90" s="12" cm="1">
        <f t="array" ref="M90">LeisenReimerTrunc("a","c",$I$1,$I$2,$I$3,$I$4,$I$4,$I$5,J90)</f>
        <v>23.289991372748595</v>
      </c>
      <c r="Q90" s="12">
        <v>89</v>
      </c>
      <c r="R90" s="12" cm="1">
        <f t="array" ref="R90">Bi_Call_Eur($P$1,$P$2,$P$3,$P$4,$P$5,Q90)</f>
        <v>26.553622177346149</v>
      </c>
      <c r="S90" s="12" cm="1">
        <f t="array" ref="S90">BSCall($P$1,$P$2,$P$4,$P$5,$P$3)</f>
        <v>26.501515084741776</v>
      </c>
      <c r="T90" s="12" cm="1">
        <f t="array" ref="T90">LeisenReimerTrunc("a","c",$P$1,$P$2,$P$3,$P$4,$P$4,$P$5,Q90)</f>
        <v>26.501362976002596</v>
      </c>
    </row>
    <row r="91" spans="3:20" x14ac:dyDescent="0.3">
      <c r="C91" s="10">
        <v>90</v>
      </c>
      <c r="D91" s="10" cm="1">
        <f t="array" ref="D91">Bi_Call_Eur($B$1,$B$2,$B$3,$B$4,$B$5,C91)</f>
        <v>8.4429862396440836</v>
      </c>
      <c r="E91" s="10" cm="1">
        <f t="array" ref="E91">BSCall($B$1,$B$2,$B$4,$B$5,$B$3)</f>
        <v>8.4333186901096084</v>
      </c>
      <c r="F91" s="12" cm="1">
        <f t="array" ref="F91">LeisenReimerTrunc("a", "c", $B$1,$B$2,$B$3,$B$4,$B$4,$B$5,C91)</f>
        <v>8.4332708969334789</v>
      </c>
      <c r="J91" s="12">
        <v>90</v>
      </c>
      <c r="K91" s="12" cm="1">
        <f t="array" ref="K91">Bi_Call_Eur($I$1,$I$2,$I$3,$I$4,$I$5,J91)</f>
        <v>23.289159257342405</v>
      </c>
      <c r="L91" s="12" cm="1">
        <f t="array" ref="L91">BSCall($I$1,$I$2,$I$4,$I$5,$I$3)</f>
        <v>23.290127674229865</v>
      </c>
      <c r="M91" s="12" cm="1">
        <f t="array" ref="M91">LeisenReimerTrunc("a","c",$I$1,$I$2,$I$3,$I$4,$I$4,$I$5,J91)</f>
        <v>23.289997248563179</v>
      </c>
      <c r="Q91" s="12">
        <v>90</v>
      </c>
      <c r="R91" s="12" cm="1">
        <f t="array" ref="R91">Bi_Call_Eur($P$1,$P$2,$P$3,$P$4,$P$5,Q91)</f>
        <v>26.507788474222</v>
      </c>
      <c r="S91" s="12" cm="1">
        <f t="array" ref="S91">BSCall($P$1,$P$2,$P$4,$P$5,$P$3)</f>
        <v>26.501515084741776</v>
      </c>
      <c r="T91" s="12" cm="1">
        <f t="array" ref="T91">LeisenReimerTrunc("a","c",$P$1,$P$2,$P$3,$P$4,$P$4,$P$5,Q91)</f>
        <v>26.501369533104427</v>
      </c>
    </row>
    <row r="92" spans="3:20" x14ac:dyDescent="0.3">
      <c r="C92" s="10">
        <v>91</v>
      </c>
      <c r="D92" s="10" cm="1">
        <f t="array" ref="D92">Bi_Call_Eur($B$1,$B$2,$B$3,$B$4,$B$5,C92)</f>
        <v>8.4451087639900155</v>
      </c>
      <c r="E92" s="10" cm="1">
        <f t="array" ref="E92">BSCall($B$1,$B$2,$B$4,$B$5,$B$3)</f>
        <v>8.4333186901096084</v>
      </c>
      <c r="F92" s="12" cm="1">
        <f t="array" ref="F92">LeisenReimerTrunc("a", "c", $B$1,$B$2,$B$3,$B$4,$B$4,$B$5,C92)</f>
        <v>8.4332708969334789</v>
      </c>
      <c r="J92" s="12">
        <v>91</v>
      </c>
      <c r="K92" s="12" cm="1">
        <f t="array" ref="K92">Bi_Call_Eur($I$1,$I$2,$I$3,$I$4,$I$5,J92)</f>
        <v>23.338696918273474</v>
      </c>
      <c r="L92" s="12" cm="1">
        <f t="array" ref="L92">BSCall($I$1,$I$2,$I$4,$I$5,$I$3)</f>
        <v>23.290127674229865</v>
      </c>
      <c r="M92" s="12" cm="1">
        <f t="array" ref="M92">LeisenReimerTrunc("a","c",$I$1,$I$2,$I$3,$I$4,$I$4,$I$5,J92)</f>
        <v>23.289997248563179</v>
      </c>
      <c r="Q92" s="12">
        <v>91</v>
      </c>
      <c r="R92" s="12" cm="1">
        <f t="array" ref="R92">Bi_Call_Eur($P$1,$P$2,$P$3,$P$4,$P$5,Q92)</f>
        <v>26.552144713181249</v>
      </c>
      <c r="S92" s="12" cm="1">
        <f t="array" ref="S92">BSCall($P$1,$P$2,$P$4,$P$5,$P$3)</f>
        <v>26.501515084741776</v>
      </c>
      <c r="T92" s="12" cm="1">
        <f t="array" ref="T92">LeisenReimerTrunc("a","c",$P$1,$P$2,$P$3,$P$4,$P$4,$P$5,Q92)</f>
        <v>26.501369533104427</v>
      </c>
    </row>
    <row r="93" spans="3:20" x14ac:dyDescent="0.3">
      <c r="C93" s="10">
        <v>92</v>
      </c>
      <c r="D93" s="10" cm="1">
        <f t="array" ref="D93">Bi_Call_Eur($B$1,$B$2,$B$3,$B$4,$B$5,C93)</f>
        <v>8.4430079523379842</v>
      </c>
      <c r="E93" s="10" cm="1">
        <f t="array" ref="E93">BSCall($B$1,$B$2,$B$4,$B$5,$B$3)</f>
        <v>8.4333186901096084</v>
      </c>
      <c r="F93" s="12" cm="1">
        <f t="array" ref="F93">LeisenReimerTrunc("a", "c", $B$1,$B$2,$B$3,$B$4,$B$4,$B$5,C93)</f>
        <v>8.4332729138820621</v>
      </c>
      <c r="J93" s="12">
        <v>92</v>
      </c>
      <c r="K93" s="12" cm="1">
        <f t="array" ref="K93">Bi_Call_Eur($I$1,$I$2,$I$3,$I$4,$I$5,J93)</f>
        <v>23.289758640705902</v>
      </c>
      <c r="L93" s="12" cm="1">
        <f t="array" ref="L93">BSCall($I$1,$I$2,$I$4,$I$5,$I$3)</f>
        <v>23.290127674229865</v>
      </c>
      <c r="M93" s="12" cm="1">
        <f t="array" ref="M93">LeisenReimerTrunc("a","c",$I$1,$I$2,$I$3,$I$4,$I$4,$I$5,J93)</f>
        <v>23.290002752447176</v>
      </c>
      <c r="Q93" s="12">
        <v>92</v>
      </c>
      <c r="R93" s="12" cm="1">
        <f t="array" ref="R93">Bi_Call_Eur($P$1,$P$2,$P$3,$P$4,$P$5,Q93)</f>
        <v>26.50830369435818</v>
      </c>
      <c r="S93" s="12" cm="1">
        <f t="array" ref="S93">BSCall($P$1,$P$2,$P$4,$P$5,$P$3)</f>
        <v>26.501515084741776</v>
      </c>
      <c r="T93" s="12" cm="1">
        <f t="array" ref="T93">LeisenReimerTrunc("a","c",$P$1,$P$2,$P$3,$P$4,$P$4,$P$5,Q93)</f>
        <v>26.501375675160439</v>
      </c>
    </row>
    <row r="94" spans="3:20" x14ac:dyDescent="0.3">
      <c r="C94" s="10">
        <v>93</v>
      </c>
      <c r="D94" s="10" cm="1">
        <f t="array" ref="D94">Bi_Call_Eur($B$1,$B$2,$B$3,$B$4,$B$5,C94)</f>
        <v>8.4446357276787811</v>
      </c>
      <c r="E94" s="10" cm="1">
        <f t="array" ref="E94">BSCall($B$1,$B$2,$B$4,$B$5,$B$3)</f>
        <v>8.4333186901096084</v>
      </c>
      <c r="F94" s="12" cm="1">
        <f t="array" ref="F94">LeisenReimerTrunc("a", "c", $B$1,$B$2,$B$3,$B$4,$B$4,$B$5,C94)</f>
        <v>8.4332729138820621</v>
      </c>
      <c r="J94" s="12">
        <v>93</v>
      </c>
      <c r="K94" s="12" cm="1">
        <f t="array" ref="K94">Bi_Call_Eur($I$1,$I$2,$I$3,$I$4,$I$5,J94)</f>
        <v>23.337408719682543</v>
      </c>
      <c r="L94" s="12" cm="1">
        <f t="array" ref="L94">BSCall($I$1,$I$2,$I$4,$I$5,$I$3)</f>
        <v>23.290127674229865</v>
      </c>
      <c r="M94" s="12" cm="1">
        <f t="array" ref="M94">LeisenReimerTrunc("a","c",$I$1,$I$2,$I$3,$I$4,$I$4,$I$5,J94)</f>
        <v>23.290002752447176</v>
      </c>
      <c r="Q94" s="12">
        <v>93</v>
      </c>
      <c r="R94" s="12" cm="1">
        <f t="array" ref="R94">Bi_Call_Eur($P$1,$P$2,$P$3,$P$4,$P$5,Q94)</f>
        <v>26.550693766899215</v>
      </c>
      <c r="S94" s="12" cm="1">
        <f t="array" ref="S94">BSCall($P$1,$P$2,$P$4,$P$5,$P$3)</f>
        <v>26.501515084741776</v>
      </c>
      <c r="T94" s="12" cm="1">
        <f t="array" ref="T94">LeisenReimerTrunc("a","c",$P$1,$P$2,$P$3,$P$4,$P$4,$P$5,Q94)</f>
        <v>26.501375675160439</v>
      </c>
    </row>
    <row r="95" spans="3:20" x14ac:dyDescent="0.3">
      <c r="C95" s="10">
        <v>94</v>
      </c>
      <c r="D95" s="10" cm="1">
        <f t="array" ref="D95">Bi_Call_Eur($B$1,$B$2,$B$3,$B$4,$B$5,C95)</f>
        <v>8.4430277824749584</v>
      </c>
      <c r="E95" s="10" cm="1">
        <f t="array" ref="E95">BSCall($B$1,$B$2,$B$4,$B$5,$B$3)</f>
        <v>8.4333186901096084</v>
      </c>
      <c r="F95" s="12" cm="1">
        <f t="array" ref="F95">LeisenReimerTrunc("a", "c", $B$1,$B$2,$B$3,$B$4,$B$4,$B$5,C95)</f>
        <v>8.4332748057964686</v>
      </c>
      <c r="J95" s="12">
        <v>94</v>
      </c>
      <c r="K95" s="12" cm="1">
        <f t="array" ref="K95">Bi_Call_Eur($I$1,$I$2,$I$3,$I$4,$I$5,J95)</f>
        <v>23.290264787828985</v>
      </c>
      <c r="L95" s="12" cm="1">
        <f t="array" ref="L95">BSCall($I$1,$I$2,$I$4,$I$5,$I$3)</f>
        <v>23.290127674229865</v>
      </c>
      <c r="M95" s="12" cm="1">
        <f t="array" ref="M95">LeisenReimerTrunc("a","c",$I$1,$I$2,$I$3,$I$4,$I$4,$I$5,J95)</f>
        <v>23.290007915140116</v>
      </c>
      <c r="Q95" s="12">
        <v>94</v>
      </c>
      <c r="R95" s="12" cm="1">
        <f t="array" ref="R95">Bi_Call_Eur($P$1,$P$2,$P$3,$P$4,$P$5,Q95)</f>
        <v>26.508799969481032</v>
      </c>
      <c r="S95" s="12" cm="1">
        <f t="array" ref="S95">BSCall($P$1,$P$2,$P$4,$P$5,$P$3)</f>
        <v>26.501515084741776</v>
      </c>
      <c r="T95" s="12" cm="1">
        <f t="array" ref="T95">LeisenReimerTrunc("a","c",$P$1,$P$2,$P$3,$P$4,$P$4,$P$5,Q95)</f>
        <v>26.501381436470872</v>
      </c>
    </row>
    <row r="96" spans="3:20" x14ac:dyDescent="0.3">
      <c r="C96" s="10">
        <v>95</v>
      </c>
      <c r="D96" s="10" cm="1">
        <f t="array" ref="D96">Bi_Call_Eur($B$1,$B$2,$B$3,$B$4,$B$5,C96)</f>
        <v>8.4441910168213123</v>
      </c>
      <c r="E96" s="10" cm="1">
        <f t="array" ref="E96">BSCall($B$1,$B$2,$B$4,$B$5,$B$3)</f>
        <v>8.4333186901096084</v>
      </c>
      <c r="F96" s="12" cm="1">
        <f t="array" ref="F96">LeisenReimerTrunc("a", "c", $B$1,$B$2,$B$3,$B$4,$B$4,$B$5,C96)</f>
        <v>8.4332748057964686</v>
      </c>
      <c r="J96" s="12">
        <v>95</v>
      </c>
      <c r="K96" s="12" cm="1">
        <f t="array" ref="K96">Bi_Call_Eur($I$1,$I$2,$I$3,$I$4,$I$5,J96)</f>
        <v>23.336179505014737</v>
      </c>
      <c r="L96" s="12" cm="1">
        <f t="array" ref="L96">BSCall($I$1,$I$2,$I$4,$I$5,$I$3)</f>
        <v>23.290127674229865</v>
      </c>
      <c r="M96" s="12" cm="1">
        <f t="array" ref="M96">LeisenReimerTrunc("a","c",$I$1,$I$2,$I$3,$I$4,$I$4,$I$5,J96)</f>
        <v>23.290007915140116</v>
      </c>
      <c r="Q96" s="12">
        <v>95</v>
      </c>
      <c r="R96" s="12" cm="1">
        <f t="array" ref="R96">Bi_Call_Eur($P$1,$P$2,$P$3,$P$4,$P$5,Q96)</f>
        <v>26.549356464629803</v>
      </c>
      <c r="S96" s="12" cm="1">
        <f t="array" ref="S96">BSCall($P$1,$P$2,$P$4,$P$5,$P$3)</f>
        <v>26.501515084741776</v>
      </c>
      <c r="T96" s="12" cm="1">
        <f t="array" ref="T96">LeisenReimerTrunc("a","c",$P$1,$P$2,$P$3,$P$4,$P$4,$P$5,Q96)</f>
        <v>26.501381436470872</v>
      </c>
    </row>
    <row r="97" spans="3:20" x14ac:dyDescent="0.3">
      <c r="C97" s="10">
        <v>96</v>
      </c>
      <c r="D97" s="10" cm="1">
        <f t="array" ref="D97">Bi_Call_Eur($B$1,$B$2,$B$3,$B$4,$B$5,C97)</f>
        <v>8.443031561110617</v>
      </c>
      <c r="E97" s="10" cm="1">
        <f t="array" ref="E97">BSCall($B$1,$B$2,$B$4,$B$5,$B$3)</f>
        <v>8.4333186901096084</v>
      </c>
      <c r="F97" s="12" cm="1">
        <f t="array" ref="F97">LeisenReimerTrunc("a", "c", $B$1,$B$2,$B$3,$B$4,$B$4,$B$5,C97)</f>
        <v>8.4332765827920486</v>
      </c>
      <c r="J97" s="12">
        <v>96</v>
      </c>
      <c r="K97" s="12" cm="1">
        <f t="array" ref="K97">Bi_Call_Eur($I$1,$I$2,$I$3,$I$4,$I$5,J97)</f>
        <v>23.290788057119588</v>
      </c>
      <c r="L97" s="12" cm="1">
        <f t="array" ref="L97">BSCall($I$1,$I$2,$I$4,$I$5,$I$3)</f>
        <v>23.290127674229865</v>
      </c>
      <c r="M97" s="12" cm="1">
        <f t="array" ref="M97">LeisenReimerTrunc("a","c",$I$1,$I$2,$I$3,$I$4,$I$4,$I$5,J97)</f>
        <v>23.29001276427454</v>
      </c>
      <c r="Q97" s="12">
        <v>96</v>
      </c>
      <c r="R97" s="12" cm="1">
        <f t="array" ref="R97">Bi_Call_Eur($P$1,$P$2,$P$3,$P$4,$P$5,Q97)</f>
        <v>26.509309513140533</v>
      </c>
      <c r="S97" s="12" cm="1">
        <f t="array" ref="S97">BSCall($P$1,$P$2,$P$4,$P$5,$P$3)</f>
        <v>26.501515084741776</v>
      </c>
      <c r="T97" s="12" cm="1">
        <f t="array" ref="T97">LeisenReimerTrunc("a","c",$P$1,$P$2,$P$3,$P$4,$P$4,$P$5,Q97)</f>
        <v>26.50138684787288</v>
      </c>
    </row>
    <row r="98" spans="3:20" x14ac:dyDescent="0.3">
      <c r="C98" s="10">
        <v>97</v>
      </c>
      <c r="D98" s="10" cm="1">
        <f t="array" ref="D98">Bi_Call_Eur($B$1,$B$2,$B$3,$B$4,$B$5,C98)</f>
        <v>8.4437717982338825</v>
      </c>
      <c r="E98" s="10" cm="1">
        <f t="array" ref="E98">BSCall($B$1,$B$2,$B$4,$B$5,$B$3)</f>
        <v>8.4333186901096084</v>
      </c>
      <c r="F98" s="12" cm="1">
        <f t="array" ref="F98">LeisenReimerTrunc("a", "c", $B$1,$B$2,$B$3,$B$4,$B$4,$B$5,C98)</f>
        <v>8.4332765827920486</v>
      </c>
      <c r="J98" s="12">
        <v>97</v>
      </c>
      <c r="K98" s="12" cm="1">
        <f t="array" ref="K98">Bi_Call_Eur($I$1,$I$2,$I$3,$I$4,$I$5,J98)</f>
        <v>23.335016890209165</v>
      </c>
      <c r="L98" s="12" cm="1">
        <f t="array" ref="L98">BSCall($I$1,$I$2,$I$4,$I$5,$I$3)</f>
        <v>23.290127674229865</v>
      </c>
      <c r="M98" s="12" cm="1">
        <f t="array" ref="M98">LeisenReimerTrunc("a","c",$I$1,$I$2,$I$3,$I$4,$I$4,$I$5,J98)</f>
        <v>23.29001276427454</v>
      </c>
      <c r="Q98" s="12">
        <v>97</v>
      </c>
      <c r="R98" s="12" cm="1">
        <f t="array" ref="R98">Bi_Call_Eur($P$1,$P$2,$P$3,$P$4,$P$5,Q98)</f>
        <v>26.548051379958494</v>
      </c>
      <c r="S98" s="12" cm="1">
        <f t="array" ref="S98">BSCall($P$1,$P$2,$P$4,$P$5,$P$3)</f>
        <v>26.501515084741776</v>
      </c>
      <c r="T98" s="12" cm="1">
        <f t="array" ref="T98">LeisenReimerTrunc("a","c",$P$1,$P$2,$P$3,$P$4,$P$4,$P$5,Q98)</f>
        <v>26.50138684787288</v>
      </c>
    </row>
    <row r="99" spans="3:20" x14ac:dyDescent="0.3">
      <c r="C99" s="10">
        <v>98</v>
      </c>
      <c r="D99" s="10" cm="1">
        <f t="array" ref="D99">Bi_Call_Eur($B$1,$B$2,$B$3,$B$4,$B$5,C99)</f>
        <v>8.4430693239092989</v>
      </c>
      <c r="E99" s="10" cm="1">
        <f t="array" ref="E99">BSCall($B$1,$B$2,$B$4,$B$5,$B$3)</f>
        <v>8.4333186901096084</v>
      </c>
      <c r="F99" s="12" cm="1">
        <f t="array" ref="F99">LeisenReimerTrunc("a", "c", $B$1,$B$2,$B$3,$B$4,$B$4,$B$5,C99)</f>
        <v>8.4332782540009124</v>
      </c>
      <c r="J99" s="12">
        <v>98</v>
      </c>
      <c r="K99" s="12" cm="1">
        <f t="array" ref="K99">Bi_Call_Eur($I$1,$I$2,$I$3,$I$4,$I$5,J99)</f>
        <v>23.291239023331119</v>
      </c>
      <c r="L99" s="12" cm="1">
        <f t="array" ref="L99">BSCall($I$1,$I$2,$I$4,$I$5,$I$3)</f>
        <v>23.290127674229865</v>
      </c>
      <c r="M99" s="12" cm="1">
        <f t="array" ref="M99">LeisenReimerTrunc("a","c",$I$1,$I$2,$I$3,$I$4,$I$4,$I$5,J99)</f>
        <v>23.290017324735771</v>
      </c>
      <c r="Q99" s="12">
        <v>98</v>
      </c>
      <c r="R99" s="12" cm="1">
        <f t="array" ref="R99">Bi_Call_Eur($P$1,$P$2,$P$3,$P$4,$P$5,Q99)</f>
        <v>26.50970349420156</v>
      </c>
      <c r="S99" s="12" cm="1">
        <f t="array" ref="S99">BSCall($P$1,$P$2,$P$4,$P$5,$P$3)</f>
        <v>26.501515084741776</v>
      </c>
      <c r="T99" s="12" cm="1">
        <f t="array" ref="T99">LeisenReimerTrunc("a","c",$P$1,$P$2,$P$3,$P$4,$P$4,$P$5,Q99)</f>
        <v>26.501391937136507</v>
      </c>
    </row>
    <row r="100" spans="3:20" x14ac:dyDescent="0.3">
      <c r="C100" s="10">
        <v>99</v>
      </c>
      <c r="D100" s="10" cm="1">
        <f t="array" ref="D100">Bi_Call_Eur($B$1,$B$2,$B$3,$B$4,$B$5,C100)</f>
        <v>8.4433573014484065</v>
      </c>
      <c r="E100" s="10" cm="1">
        <f t="array" ref="E100">BSCall($B$1,$B$2,$B$4,$B$5,$B$3)</f>
        <v>8.4333186901096084</v>
      </c>
      <c r="F100" s="12" cm="1">
        <f t="array" ref="F100">LeisenReimerTrunc("a", "c", $B$1,$B$2,$B$3,$B$4,$B$4,$B$5,C100)</f>
        <v>8.4332782540009124</v>
      </c>
      <c r="J100" s="12">
        <v>99</v>
      </c>
      <c r="K100" s="12" cm="1">
        <f t="array" ref="K100">Bi_Call_Eur($I$1,$I$2,$I$3,$I$4,$I$5,J100)</f>
        <v>23.333892330712715</v>
      </c>
      <c r="L100" s="12" cm="1">
        <f t="array" ref="L100">BSCall($I$1,$I$2,$I$4,$I$5,$I$3)</f>
        <v>23.290127674229865</v>
      </c>
      <c r="M100" s="12" cm="1">
        <f t="array" ref="M100">LeisenReimerTrunc("a","c",$I$1,$I$2,$I$3,$I$4,$I$4,$I$5,J100)</f>
        <v>23.290017324735771</v>
      </c>
      <c r="Q100" s="12">
        <v>99</v>
      </c>
      <c r="R100" s="12" cm="1">
        <f t="array" ref="R100">Bi_Call_Eur($P$1,$P$2,$P$3,$P$4,$P$5,Q100)</f>
        <v>26.546787939436939</v>
      </c>
      <c r="S100" s="12" cm="1">
        <f t="array" ref="S100">BSCall($P$1,$P$2,$P$4,$P$5,$P$3)</f>
        <v>26.501515084741776</v>
      </c>
      <c r="T100" s="12" cm="1">
        <f t="array" ref="T100">LeisenReimerTrunc("a","c",$P$1,$P$2,$P$3,$P$4,$P$4,$P$5,Q100)</f>
        <v>26.501391937136507</v>
      </c>
    </row>
    <row r="101" spans="3:20" x14ac:dyDescent="0.3">
      <c r="C101" s="10">
        <v>100</v>
      </c>
      <c r="D101" s="10" cm="1">
        <f t="array" ref="D101">Bi_Call_Eur($B$1,$B$2,$B$3,$B$4,$B$5,C101)</f>
        <v>8.4430504401746056</v>
      </c>
      <c r="E101" s="10" cm="1">
        <f t="array" ref="E101">BSCall($B$1,$B$2,$B$4,$B$5,$B$3)</f>
        <v>8.4333186901096084</v>
      </c>
      <c r="F101" s="12" cm="1">
        <f t="array" ref="F101">LeisenReimerTrunc("a", "c", $B$1,$B$2,$B$3,$B$4,$B$4,$B$5,C101)</f>
        <v>8.4332798276504857</v>
      </c>
      <c r="J101" s="12">
        <v>100</v>
      </c>
      <c r="K101" s="12" cm="1">
        <f t="array" ref="K101">Bi_Call_Eur($I$1,$I$2,$I$3,$I$4,$I$5,J101)</f>
        <v>23.291678570216842</v>
      </c>
      <c r="L101" s="12" cm="1">
        <f t="array" ref="L101">BSCall($I$1,$I$2,$I$4,$I$5,$I$3)</f>
        <v>23.290127674229865</v>
      </c>
      <c r="M101" s="12" cm="1">
        <f t="array" ref="M101">LeisenReimerTrunc("a","c",$I$1,$I$2,$I$3,$I$4,$I$4,$I$5,J101)</f>
        <v>23.290021618992572</v>
      </c>
      <c r="Q101" s="12">
        <v>100</v>
      </c>
      <c r="R101" s="12" cm="1">
        <f t="array" ref="R101">Bi_Call_Eur($P$1,$P$2,$P$3,$P$4,$P$5,Q101)</f>
        <v>26.510116427964011</v>
      </c>
      <c r="S101" s="12" cm="1">
        <f t="array" ref="S101">BSCall($P$1,$P$2,$P$4,$P$5,$P$3)</f>
        <v>26.501515084741776</v>
      </c>
      <c r="T101" s="12" cm="1">
        <f t="array" ref="T101">LeisenReimerTrunc("a","c",$P$1,$P$2,$P$3,$P$4,$P$4,$P$5,Q101)</f>
        <v>26.501396729334292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Report 2</vt:lpstr>
      <vt:lpstr>Report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Sebastiano Monti</dc:creator>
  <cp:lastModifiedBy>Sebastiano Monti</cp:lastModifiedBy>
  <dcterms:created xsi:type="dcterms:W3CDTF">2022-03-18T16:01:21Z</dcterms:created>
  <dcterms:modified xsi:type="dcterms:W3CDTF">2022-04-01T14:38:17Z</dcterms:modified>
</cp:coreProperties>
</file>